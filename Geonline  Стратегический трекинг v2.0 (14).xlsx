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ision&amp;Strategy" sheetId="1" r:id="rId5"/>
    <sheet state="hidden" name="ОКР на 2-ое полугодие" sheetId="2" r:id="rId6"/>
    <sheet state="hidden" name="OKR Дамир" sheetId="3" r:id="rId7"/>
    <sheet state="hidden" name="OKR Шынгыс" sheetId="4" r:id="rId8"/>
    <sheet state="hidden" name="OKR Максат" sheetId="5" r:id="rId9"/>
    <sheet state="hidden" name="OKR Мерей" sheetId="6" r:id="rId10"/>
    <sheet state="hidden" name="OKR Турар" sheetId="7" r:id="rId11"/>
    <sheet state="hidden" name="OKR Жанель" sheetId="8" r:id="rId12"/>
    <sheet state="hidden" name="OKR Айдана" sheetId="9" r:id="rId13"/>
    <sheet state="hidden" name="OKR Айым" sheetId="10" r:id="rId14"/>
    <sheet state="hidden" name="OKR Арай" sheetId="11" r:id="rId15"/>
    <sheet state="hidden" name="Банк гипотез идей задач" sheetId="12" r:id="rId16"/>
    <sheet state="hidden" name="Ограничения  узелки" sheetId="13" r:id="rId17"/>
    <sheet state="visible" name="📊 ВСЕ OKR" sheetId="14" r:id="rId18"/>
    <sheet state="visible" name="Самарханов" sheetId="15" r:id="rId19"/>
    <sheet state="visible" name="Жүсіпбек" sheetId="16" r:id="rId20"/>
    <sheet state="visible" name="Тоқтағазинов" sheetId="17" r:id="rId21"/>
    <sheet state="visible" name="Койгельдина" sheetId="18" r:id="rId22"/>
    <sheet state="visible" name="Фархатов" sheetId="19" r:id="rId23"/>
    <sheet state="visible" name="Мурсалимова" sheetId="20" r:id="rId24"/>
    <sheet state="visible" name="Тұрар" sheetId="21" r:id="rId25"/>
    <sheet state="visible" name="Мухаметова" sheetId="22" r:id="rId26"/>
    <sheet state="visible" name="Бектегенова" sheetId="23" r:id="rId2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1. SuperApp Ecosystem: 9 сервисов + AI персонализация
2. B2B2C Ecosystem: Школы, вузы, фонды
3. B2B2G Ecosystem: Партнерство с государством
4. Community Ecosystem: GeoFest, GeoLeague, GeoCamp, амбассадоры
5. Technology Ecosystem: IN HOUSE IT, automation, integration
6. Content &amp; Creator Ecosystem: Kreativ department, 200K social followers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ЕСЛИ мы внедрим принцип OKR-фокуса во все процессы компании, ТО повысим эффективность команды на 50%, ПОТОМУ ЧТО исключим непродуктивные активности</t>
      </text>
    </comment>
    <comment authorId="0" ref="B16">
      <text>
        <t xml:space="preserve">ЕСЛИ мы создадим систему executive коучинга и поддержки лидерства, ТО улучшим eNPS до 95% и снизим текучку до 5%, ПОТОМУ ЧТО команда получит профессиональное развитие</t>
      </text>
    </comment>
    <comment authorId="0" ref="B17">
      <text>
        <t xml:space="preserve">ЕСЛИ мы обязательно внедрим ChatGPT во все рабочие процессы, ТО повысим индивидуальную продуктивность на 30%, ПОТОМУ ЧТО автоматизируем рутинные задачи</t>
      </text>
    </comment>
    <comment authorId="0" ref="B18">
      <text>
        <t xml:space="preserve">ЕСЛИ мы создадим детальную систему Balanced Scorecard с метриками по всем перспективам, ТО улучшим стратегическое управление и достижение финансовых целей на 25%, ПОТОМУ ЧТО получим комплексное понимание драйверов бизнеса</t>
      </text>
    </comment>
    <comment authorId="0" ref="B19">
      <text>
        <t xml:space="preserve">ЕСЛИ упразднить должность исполнительного директора и создать Strategic Development Department ТО повысится эффективность на 15-20% ПОТОМУ ЧТО устранится дублирование функций и повысится скорость принятия решений</t>
      </text>
    </comment>
    <comment authorId="0" ref="B20">
      <text>
        <t xml:space="preserve">ЕСЛИ мы запустим программу внутреннего предпринимательства для топ-менеджеров, ТО повысим eNPS на 20 пунктов, ПОТОМУ ЧТО сотрудники получат возможность реализации собственных идей</t>
      </text>
    </comment>
    <comment authorId="0" ref="B21">
      <text>
        <t xml:space="preserve">ЕСЛИ мы внедрим систему continuous feedback вместо годовых аттестаций, ТО улучшим производительность на 20%, ПОТОМУ ЧТО регулярная обратная связь эффективнее периодической</t>
      </text>
    </comment>
    <comment authorId="0" ref="B22">
      <text>
        <t xml:space="preserve">ЕСЛИ мы запустим программу внутреннего карьерного роста с четкими траекториями, ТО снизим текучку на 40%, ПОТОМУ ЧТО сотрудники будут видеть перспективы развития в компании</t>
      </text>
    </comment>
    <comment authorId="0" ref="B23">
      <text>
        <t xml:space="preserve">ЕСЛИ мы наймем CIO и техническую команду из 6 человек, ТО ускорим разработку в 3 раза, ПОТОМУ ЧТО профессиональная команда работает эффективнее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3">
      <text>
        <t xml:space="preserve">ЕСЛИ мы запустим SuperApp с 9 интегрированными сервисами, ТО увеличим MAU до 15 000, DAU до 5000 и станем лидером рынка, ПОТОМУ ЧТО пользователи получат единую экосистему для поступления</t>
      </text>
    </comment>
    <comment authorId="0" ref="B24">
      <text>
        <t xml:space="preserve">ЕСЛИ мы запустим B2B направление для школ и образовательных центров, ТО 
удвоим среднегодовую выручку до ₸4 млрд, ПОТОМУ ЧТО получим новый крупный сегмент с высоким чеком</t>
      </text>
    </comment>
    <comment authorId="0" ref="B25">
      <text>
        <t xml:space="preserve">ЕСЛИ мы запустим франшизную модель в регионах Казахстана, ТО увеличим охват в 3 раза без больших инвестиций, ПОТОМУ ЧТО масштабируемся через партнеров</t>
      </text>
    </comment>
    <comment authorId="0" ref="B26">
      <text>
        <t xml:space="preserve">ЕСЛИ мы расширим продуктовую линейку на физику, химию, биологию и IELTS, ТО увеличим общий TAM в 3 раза и диверсифицируем доходы, ПОТОМУ ЧТО захватим весь образовательный цикл старших классов</t>
      </text>
    </comment>
    <comment authorId="0" ref="B27">
      <text>
        <t xml:space="preserve">ЕСЛИ мы выйдем на рынки СНГ (Узбекистан, Кыргызстан), ТО увеличим студенческую базу до 50 000 учеников к 2030, ПОТОМУ ЧТО получим доступ к схожим образовательным системам с меньшей конкуренцией</t>
      </text>
    </comment>
    <comment authorId="0" ref="B28">
      <text>
        <t xml:space="preserve">ЕСЛИ мы разработаем дополнительные ИИ-функции для персонализации (рекомендации, адаптивные тесты), ТО повысим пользовательский опыт и retention на 40%, ПОТОМУ ЧТО персонализированная помощь увеличивает вовлеченность</t>
      </text>
    </comment>
    <comment authorId="0" ref="B29">
      <text>
        <t xml:space="preserve">ЕСЛИ мы создадим мобильное приложение с offline режимом, ТО увеличим время использования на 40%, ПОТОМУ ЧТО студенты смогут учиться в любых условиях</t>
      </text>
    </comment>
    <comment authorId="0" ref="B30">
      <text>
        <t xml:space="preserve">ЕСЛИ мы создадим систему peer-to-peer обучения между студентами, ТО повысим engagement на 25%, ПОТОМУ ЧТО социальное взаимодействие усиливает мотивацию</t>
      </text>
    </comment>
    <comment authorId="0" ref="B31">
      <text>
        <t xml:space="preserve">ЕСЛИ мы запустим B2G2C воронки для работы со школами, ТО снизим CAC на 30%, ПОТОМУ ЧТО школы дают прямой доступ к целевой аудитории</t>
      </text>
    </comment>
    <comment authorId="0" ref="B32">
      <text>
        <t xml:space="preserve">ЕСЛИ мы разработаем полноценный SuperApp с 9/9 сервисами, ТО увеличим MAU до 15000 и удержание на 40%, ПОТОМУ ЧТО единая экосистема повышает вовлеченность</t>
      </text>
    </comment>
    <comment authorId="0" ref="B33">
      <text>
        <t xml:space="preserve">ЕСЛИ мы создадим ИИ-агента БарсГеонлайн для персонализации обучения, ТО повысим retention до 70% и NPS до 90%, ПОТОМУ ЧТО каждый студент получит индивидуальную траекторию</t>
      </text>
    </comment>
    <comment authorId="0" ref="B34">
      <text>
        <t xml:space="preserve">ЕСЛИ мы внедрим комплексную (пробные тесты, генерация тестов, ежемесячный контроль прогресса), ТО увеличим количество тестирований до 15К в месяц и повысим средний балл до 38/50, ПОТОМУ ЧТО регулярная практика и удобные инструменты повышают активность и результаты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">
      <text>
        <t xml:space="preserve">ЕСЛИ мы используем TikTok как основной канал привлечения А-сегмента, ТО получим рост лидов на 30%, ПОТОМУ ЧТО там находится наша целевая аудитория Gen Z</t>
      </text>
    </comment>
    <comment authorId="0" ref="B25">
      <text>
        <t xml:space="preserve">ЕСЛИ мы сохраним нишевое позиционирование "эксперты географических комбинаций", ТО удержим лидерство в сегменте и получим 10% доли рынка, ПОТОМУ ЧТО 70% клиентов подтверждают правильность специализации</t>
      </text>
    </comment>
    <comment authorId="0" ref="B26">
      <text>
        <t xml:space="preserve">ЕСЛИ мы внедрим инфлюенс-маркетинг с 3 типами блогеров (миллионники, мини-блогеры, opinion-лидеры), ТО получим 200K подписчиков и охват 10 млн, ПОТОМУ ЧТО таргетированное влияние эффективнее массовой рекламы</t>
      </text>
    </comment>
    <comment authorId="0" ref="B27">
      <text>
        <t xml:space="preserve">ЕСЛИ мы создадим креативный отдел маркетинга (продакшн), ТО повысим конверсию вебинаров в 2 раза, ПОТОМУ ЧТО профессиональный контент лучше удерживает внимание</t>
      </text>
    </comment>
    <comment authorId="0" ref="B28">
      <text>
        <t xml:space="preserve">ЕСЛИ мы создадим амбассадорскую программу с годовыми контрактами, ТО получим 30% новых лидов от рефералов, ПОТОМУ ЧТО долгосрочные отношения эффективнее разовых</t>
      </text>
    </comment>
    <comment authorId="0" ref="B29">
      <text>
        <t xml:space="preserve">ЕСЛИ мы запустим программу User Generated Content с поощрениями, ТО увеличим органический охват на 50%, ПОТОМУ ЧТО контент от пользователей воспринимается как более достоверный</t>
      </text>
    </comment>
    <comment authorId="0" ref="B30">
      <text>
        <t xml:space="preserve">ЕСЛИ мы протестируем TikTok как приоритетный канал с выделенным бюджетом, ТО получим рост лидов Gen Z на 50%, ПОТОМУ ЧТО это основная платформа нашей целевой аудитории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ЕСЛИ мы создадим систему community management как ключевую компетенцию, ТО повысим retention на 40% и NPS до 95%, ПОТОМУ ЧТО студенты получат постоянную поддержку и мотивацию</t>
      </text>
    </comment>
    <comment authorId="0" ref="B16">
      <text>
        <t xml:space="preserve">ЕСЛИ создать отдел заботы о клиентах вместо контроля качества ТО повысится лояльность поколения Z на 40% ПОТОМУ ЧТО данное поколение особенно чувствительно к качеству сервиса</t>
      </text>
    </comment>
    <comment authorId="0" ref="B17">
      <text>
        <t xml:space="preserve">ЕСЛИ мы масштабируем успешную географическую методику на все 5 предметов (физика, химия, биология, IELTS, математика), ТО увеличим TAM в 3 раза и получим средний балл ≥38 по всем предметам, ПОТОМУ ЧТО проверенная методика даст конкурентное преимущество во всех направлениях</t>
      </text>
    </comment>
    <comment authorId="0" ref="B18">
      <text>
        <t xml:space="preserve">ЕСЛИ мы создадим программу 'Рекордсмены' с индивидуальными планами для 30+ учеников, ТО получим 12/12 рекордсменов по комбинациям, ПОТОМУ ЧТО персонализированный подход дает максимальные результаты</t>
      </text>
    </comment>
    <comment authorId="0" ref="B19">
      <text>
        <t xml:space="preserve">ЕСЛИ мы внедрим систему адаптивного обучения с ИИ-рекомендациями, ТО повысим результативность слабых студентов на 30%, ПОТОМУ ЧТО персонализированный подход компенсирует пробелы</t>
      </text>
    </comment>
    <comment authorId="0" ref="B20">
      <text>
        <t xml:space="preserve">ЕСЛИ мы создадим систему менторства с выпускниками-рекордсменами, ТО повысим мотивацию текущих студентов на 35%, ПОТОМУ ЧТО success stories вдохновляют и дают практические советы</t>
      </text>
    </comment>
    <comment authorId="0" ref="B21">
      <text>
        <t xml:space="preserve">ЕСЛИ проведём Customer Development интервью по 25-30 клиентов на сотрудника, ТО улучшим понимание потребностей и повысим конверсию на 15%, ПОТОМУ ЧТО глубокое понимание клиентов улучшает продажи</t>
      </text>
    </comment>
    <comment authorId="0" ref="B22">
      <text>
        <t xml:space="preserve">ЕСЛИ мы внедрим систему геймификации и рейтингов, ТО повысим доходимость до ЕНТ до 80%, ПОТОМУ ЧТО игровые элементы увеличивают мотивацию учеников</t>
      </text>
    </comment>
    <comment authorId="0" ref="B23">
      <text>
        <t xml:space="preserve">ЕСЛИ мы создадим детальную продуктовую линейку по месяцам с учетом академического календаря, ТО оптимизируем запуски и повысим конверсию на 15%, ПОТОМУ ЧТО своевременность критична в образовании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ЕСЛИ мы внедрим подписочную модель, ТО увеличим LTV в 3 раза и стабилизируем выручку, ПОТОМУ ЧТО клиенты будут платить регулярно за доступ к экосистеме</t>
      </text>
    </comment>
    <comment authorId="0" ref="B14">
      <text>
        <t xml:space="preserve">ЕСЛИ мы автоматизируем продажи через интеграцию с Kaspi, ТО решим проблему сезонных просадок марта-мая, ПОТОМУ ЧТО снизим порог входа и ускорим конверсию</t>
      </text>
    </comment>
    <comment authorId="0" ref="B15">
      <text>
        <t xml:space="preserve">ЕСЛИ мы создадим премиум видеокурсы с экспертами ОРТ, ТО увеличим конверсию премиум сегмента на 15%, ПОТОМУ ЧТО создадим дополнительную ценность и доверие</t>
      </text>
    </comment>
    <comment authorId="0" ref="B16">
      <text>
        <t xml:space="preserve">ЕСЛИ мы создадим премиальный VIP-пакет для А-сегмента клиентов, ТО увеличим ARPU на 40% и улучшим позиционирование, ПОТОМУ ЧТО А-сегмент готов инвестировать в качественное образование и персональный подход</t>
      </text>
    </comment>
    <comment authorId="0" ref="B17">
      <text>
        <t xml:space="preserve">ЕСЛИ мы создадим оптимизированную структуру отдела продаж (closer/farmer + операционный менеджер), ТО увеличим конверсию до 20%, ПОТОМУ ЧТО специализация и поддержка повышают эффективность каждого этапа</t>
      </text>
    </comment>
    <comment authorId="0" ref="B18">
      <text>
        <t xml:space="preserve">ЕСЛИ мы автоматизируем продажи через интеграцию с Kaspi Bank и внедрим новые скрипты с акцентом на боли клиента, ТО решим проблему сезонности продаж и увеличим конверсию до 22%, ПОТОМУ ЧТО упростим процесс покупки и улучшим качество работы с возражениями</t>
      </text>
    </comment>
    <comment authorId="0" ref="B19">
      <text>
        <t xml:space="preserve">ЕСЛИ мы внедрим систему lead scoring и автоматизированную квалификацию, ТО повысим качество лидов и конверсию на 25%, ПОТОМУ ЧТО будем работать только с готовыми к покупке клиентами</t>
      </text>
    </comment>
    <comment authorId="0" ref="B20">
      <text>
        <t xml:space="preserve">ЕСЛИ мы внедрим автоподписку и подписочную модель, ТО увеличим LTV в 3 раза, ПОТОМУ ЧТО повторные платежи стабилизируют доходы</t>
      </text>
    </comment>
    <comment authorId="0" ref="B21">
      <text>
        <t xml:space="preserve">ЕСЛИ мы интегрируем CRM систему в SuperApp, ТО повысим эффективность продаж на 30%, ПОТОМУ ЧТО менеджеры получат полную информацию о клиентах в едином интерфейсе</t>
      </text>
    </comment>
    <comment authorId="0" ref="B22">
      <text>
        <t xml:space="preserve">ЕСЛИ мы создадим систему динамического ценообразования на основе спроса, ТО увеличим прибыльность на 15%, ПОТОМУ ЧТО сможем максимизировать выручку в периоды высокого спроса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tc={11ec6d25-e1cb-4818-be4d-ffed42337114}</author>
    <author>tc={1975bfa1-c2a6-49c6-8329-354d766d2656}</author>
    <author>tc={1affedf7-ad45-4ee3-8dd6-b4cc74e80e92}</author>
    <author>tc={23e97e2a-65b4-44de-bad1-d223c8d4a2fe}</author>
    <author>tc={3e0e0251-782b-40be-a376-3c95999d809e}</author>
    <author>tc={45fc6774-6ca7-43b9-89d1-dfb7d5af8419}</author>
    <author>tc={48cb7dfd-56a3-4256-b747-a79647021f67}</author>
    <author>tc={545d258a-49a3-4680-8517-d465995123ee}</author>
    <author>tc={6361ed17-68b8-4058-bc11-110bd9768d1b}</author>
    <author>tc={775c4843-d289-4fd7-9ce2-2cdbeb82ad13}</author>
    <author>tc={7c4391af-e525-4b5e-8a9b-dabe9d96468c}</author>
    <author>tc={8990f6f8-5b6c-40bc-b916-f9e7db9f35ca}</author>
    <author>tc={8cee8f3b-b014-4a53-ac1f-459b2aa61d88}</author>
    <author>tc={9dadc54d-c6b5-4a3e-84f3-3f3df1b266c3}</author>
    <author>tc={a22721c5-a787-45c6-bb2f-909232382297}</author>
    <author>tc={b5ae4133-cb66-4ff1-ad1d-a6315364e23a}</author>
  </authors>
  <commentList>
    <comment authorId="0" xr:uid="{11ec6d25-e1cb-4818-be4d-ffed42337114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Собраны направления и идеи работы по каналам. Нужны метрики
</t>
      </text>
    </comment>
    <comment authorId="1" xr:uid="{1975bfa1-c2a6-49c6-8329-354d766d2656}" ref="D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3.2
</t>
      </text>
    </comment>
    <comment authorId="2" xr:uid="{1affedf7-ad45-4ee3-8dd6-b4cc74e80e92}" ref="F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17.02
</t>
      </text>
    </comment>
    <comment authorId="3" xr:uid="{23e97e2a-65b4-44de-bad1-d223c8d4a2fe}" ref="E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средний
</t>
      </text>
    </comment>
    <comment authorId="4" xr:uid="{3e0e0251-782b-40be-a376-3c95999d809e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24.02 крайний срок. Будет произведен стресс-тест и сравнение с прошлыми результатами по оптимизации
</t>
      </text>
    </comment>
    <comment authorId="5" xr:uid="{45fc6774-6ca7-43b9-89d1-dfb7d5af8419}" ref="B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ГИПОТЕЗА
</t>
      </text>
    </comment>
    <comment authorId="6" xr:uid="{48cb7dfd-56a3-4256-b747-a79647021f67}" ref="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Неделя 16.02-22.02
1) Пробные тесты custdev завершен: 40 респондентов
2) Тренажеры: 7 респондентов
Неделя 23.02-28.02
Дополним тренажеры до 25 респондентов
</t>
      </text>
    </comment>
    <comment authorId="7" xr:uid="{545d258a-49a3-4680-8517-d465995123ee}" ref="G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Тестировка будет в марте
</t>
      </text>
    </comment>
    <comment authorId="8" xr:uid="{6361ed17-68b8-4058-bc11-110bd9768d1b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Завал задачи аусторс компанией. Повторно поставлена на неделю 23.02-28.02
</t>
      </text>
    </comment>
    <comment authorId="9" xr:uid="{775c4843-d289-4fd7-9ce2-2cdbeb82ad13}" ref="D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3.3
</t>
      </text>
    </comment>
    <comment authorId="10" xr:uid="{7c4391af-e525-4b5e-8a9b-dabe9d96468c}" ref="G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марте будем тестить
</t>
      </text>
    </comment>
    <comment authorId="11" xr:uid="{8990f6f8-5b6c-40bc-b916-f9e7db9f35ca}" ref="C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Если добавить ежедневные бесплатные попытки в тренажеры, то DAU вырастит, ПОТОМУ ЧТО у детей будет повод каждый день заходить в SuperApp
</t>
      </text>
    </comment>
    <comment authorId="12" xr:uid="{8cee8f3b-b014-4a53-ac1f-459b2aa61d88}" ref="F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17.02
</t>
      </text>
    </comment>
    <comment authorId="13" xr:uid="{9dadc54d-c6b5-4a3e-84f3-3f3df1b266c3}" ref="C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Новая гипотеза
ЕСЛИ показывать правильный ответ сразу после каждого вопроса в тренажёре,
ТО пользователи будут дольше заниматься и чаще завершать сессию,
ПОТОМУ ЧТО мгновенная обратная связь снижает фрустрацию и помогает учиться на ошибке.
</t>
      </text>
    </comment>
    <comment authorId="14" xr:uid="{a22721c5-a787-45c6-bb2f-909232382297}" ref="E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средний
</t>
      </text>
    </comment>
    <comment authorId="15" xr:uid="{b5ae4133-cb66-4ff1-ad1d-a6315364e23a}" ref="I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паузе
</t>
      </text>
    </comment>
  </commentList>
</comments>
</file>

<file path=xl/sharedStrings.xml><?xml version="1.0" encoding="utf-8"?>
<sst xmlns="http://schemas.openxmlformats.org/spreadsheetml/2006/main" count="4822" uniqueCount="1533">
  <si>
    <t>СТРАТЕГИЯ КОМПАНИИ GEONLINE</t>
  </si>
  <si>
    <t>ДОЛГОСРОЧНОЕ ВИДЕНИЕ</t>
  </si>
  <si>
    <t>Горизонт</t>
  </si>
  <si>
    <t>Миссия</t>
  </si>
  <si>
    <t>Видение</t>
  </si>
  <si>
    <t>Финансовая амбиция</t>
  </si>
  <si>
    <t>Географическая амбиция</t>
  </si>
  <si>
    <t>Рыночные амбиции</t>
  </si>
  <si>
    <t>Экосистемные амбиции</t>
  </si>
  <si>
    <t>2035 (3-10 лет)</t>
  </si>
  <si>
    <t xml:space="preserve">"Помогать ученикам достигать рекордных результатов на ЕНТ и поступать в ВУЗы мечты через качественное образование, передовые технологии и индивидуализацию обучения
</t>
  </si>
  <si>
    <t xml:space="preserve">"Стать ведущим EdTech-холдингом в СНГ с SuperApp для подготовки к поступлению в ВУЗы мечты
</t>
  </si>
  <si>
    <t xml:space="preserve">
2035:
- $50 млн оборот
</t>
  </si>
  <si>
    <t xml:space="preserve">
2026-2030: Полное покрытие Казахстана + расширение в СНГ (Кыргызстан, Узбекистан, Таджикистан)
2030-2035: Лидерство в СНГ, 200K студентов из multiple countries</t>
  </si>
  <si>
    <t xml:space="preserve">
- 2030: Top-3 EdTech Казахстана, #1 по качеству
- 2035: Ведущий EdTech-холдинг в СНГ</t>
  </si>
  <si>
    <t xml:space="preserve">Трансформация в образовательный холдинг с 6 экосистемами:
</t>
  </si>
  <si>
    <t>💰 ФИНАНСОВАЯ ЦЕЛЬ НА 2025-2026 ГОД</t>
  </si>
  <si>
    <t>Вариант</t>
  </si>
  <si>
    <t>Выручка</t>
  </si>
  <si>
    <t>Рентабельность</t>
  </si>
  <si>
    <t>Студенты / чек</t>
  </si>
  <si>
    <t>Утверждена (?)</t>
  </si>
  <si>
    <t>Срок</t>
  </si>
  <si>
    <t>Ответственный</t>
  </si>
  <si>
    <t>Базовый</t>
  </si>
  <si>
    <t>₸2.4 млрд</t>
  </si>
  <si>
    <t>30%+</t>
  </si>
  <si>
    <t>12,000 учеников
₸200 000 средний чек
20% конверсия в продажу</t>
  </si>
  <si>
    <t>Да</t>
  </si>
  <si>
    <t>июнь 2026</t>
  </si>
  <si>
    <t>Дамир</t>
  </si>
  <si>
    <t>🎯 СТРАТЕГИЧЕСКИЕ OKR (Enablers --&gt; Процессы --&gt; Клиенты --&gt; Финансовая цель)</t>
  </si>
  <si>
    <t>Тип</t>
  </si>
  <si>
    <t>Objective / Key Result</t>
  </si>
  <si>
    <t>Сейчас</t>
  </si>
  <si>
    <t>Целевое состояние</t>
  </si>
  <si>
    <t>Комментарий (какие ограничения преодолеваем)</t>
  </si>
  <si>
    <t>Enablers</t>
  </si>
  <si>
    <t>Сформировать команду, способную
достичь амбициозных целей</t>
  </si>
  <si>
    <t>└─ Найм ключевых сотрудников</t>
  </si>
  <si>
    <t>Критические роли не закрыты (HR Generalist, CIO, Product Manager отсутствуют)</t>
  </si>
  <si>
    <t>6 ключевых ролей закрыты (HR Generalist, СМК-менеджер, Power BI Analyst, Operations Manager, PR specialist, Geography Teacher)</t>
  </si>
  <si>
    <t>октябрь 2025</t>
  </si>
  <si>
    <t>Собственник в операционке (+1)</t>
  </si>
  <si>
    <t>└─ In House техническая команда</t>
  </si>
  <si>
    <t>IT на аутсорсе (QazaqSoft), SuperApp MVP готов (~20 млн ₸), 3/9 сервисов активны</t>
  </si>
  <si>
    <t>IN HOUSE IT team сформирована (Backend, Frontend, UX/UI, Product Manager, DevOps, QA)</t>
  </si>
  <si>
    <t>Автоматизация платформы (+1)</t>
  </si>
  <si>
    <t>└─ Развитие ТОПов</t>
  </si>
  <si>
    <t>50+ млн ₸ инвестировано в развитие топов за 2.5 года</t>
  </si>
  <si>
    <t>У каждого топ-менеджера индивидуальный план развития (коучинг, MBA, тренинги, наставники)</t>
  </si>
  <si>
    <t>ongoing</t>
  </si>
  <si>
    <t>Зависимость от собственника (+1)</t>
  </si>
  <si>
    <t>└─ Довольная команда</t>
  </si>
  <si>
    <t>70% eNPS</t>
  </si>
  <si>
    <t>eNPS сотрудников 90% (опросы: ноябрь</t>
  </si>
  <si>
    <t>февраль</t>
  </si>
  <si>
    <t>Текучка кадров в продажах (+1)</t>
  </si>
  <si>
    <t>└─ Автоматизация процессов</t>
  </si>
  <si>
    <t>≥50% ключевых процессов автоматизировано (Bitrix24, PowerBI, LMS, сквозная аналитика)</t>
  </si>
  <si>
    <t>Мерей</t>
  </si>
  <si>
    <t>└─ Middle-менеджмент и HR-бренд</t>
  </si>
  <si>
    <t>4 топ-менеджера, структура департаментов, рост 86→180+ требует middle layer</t>
  </si>
  <si>
    <t>10-11 team leads во всех отделах + развитый HR-бренд</t>
  </si>
  <si>
    <t>Процессы</t>
  </si>
  <si>
    <t>Продуктовая трансформация SuperApp</t>
  </si>
  <si>
    <t>Шынгыс</t>
  </si>
  <si>
    <t>└─ 9/9 сервисов SuperApp запущены</t>
  </si>
  <si>
    <t>3/9 сервисов активны в SuperApp</t>
  </si>
  <si>
    <t>9/9 сервисов запущены (Курстар, Тренажер, Материалдар, Байқау, Мамандықтар, ЖОО, Марафондар, Флеш-карталар, Куиздар)</t>
  </si>
  <si>
    <t>декабрь 2025</t>
  </si>
  <si>
    <t>Клиент однолетний (+1)</t>
  </si>
  <si>
    <t>└─ Приложением пользуются</t>
  </si>
  <si>
    <t>3,000 MAU, 1,000 DAU</t>
  </si>
  <si>
    <t>MAU 15,000, DAU 5,000</t>
  </si>
  <si>
    <t>└─ Пройденные тесты</t>
  </si>
  <si>
    <t>10,000 пройденных тестов</t>
  </si>
  <si>
    <t>└─ Регистрации в SuperApp</t>
  </si>
  <si>
    <t>8,000 зарегистрированных пользователей</t>
  </si>
  <si>
    <t>50,000 зарегистрированных пользователей</t>
  </si>
  <si>
    <t>Неэффективные каналы (+1)</t>
  </si>
  <si>
    <t>Увеличение конверсии и engagement</t>
  </si>
  <si>
    <t>Максат</t>
  </si>
  <si>
    <t>└─ Квалифицированные лиды</t>
  </si>
  <si>
    <t>50,000 квалифицированных лидов</t>
  </si>
  <si>
    <t>└─ Увеличить охват маркетинговых каналов</t>
  </si>
  <si>
    <t>200,000 подписчиков (YouTube 50K, Instagram 30K, TikTok 100K)</t>
  </si>
  <si>
    <t>сентябрь 2025</t>
  </si>
  <si>
    <t>└─ Регулярные запуски кампаний</t>
  </si>
  <si>
    <t>2 запуска/месяц на 25,000 охват</t>
  </si>
  <si>
    <t>└─ Увеличить доходимость вебинаров</t>
  </si>
  <si>
    <t>Увеличить доходимость вебинара в 2 раза</t>
  </si>
  <si>
    <t>Креативное производство и influence маркетинга</t>
  </si>
  <si>
    <t>Масштабирование с качеством (+1)</t>
  </si>
  <si>
    <t>└─ Создать креативный отдел</t>
  </si>
  <si>
    <t>Креативная продукция планируется</t>
  </si>
  <si>
    <t>Креативный отдел создан (режиссер, сценарист, оператор)</t>
  </si>
  <si>
    <t>ноябрь 2025</t>
  </si>
  <si>
    <t>└─ Запустить influence маркетинг</t>
  </si>
  <si>
    <t>Influence-маркетинг в планах</t>
  </si>
  <si>
    <t>1 годовой амбассадор + 5 YouTube блогеров задействованы</t>
  </si>
  <si>
    <t>Клиенты</t>
  </si>
  <si>
    <t>Достичь лидерства по качеству образовательных результатов</t>
  </si>
  <si>
    <t>Тұрар</t>
  </si>
  <si>
    <t>└─ Средний балл по географии на ЕНТ</t>
  </si>
  <si>
    <t>32/50</t>
  </si>
  <si>
    <t>38/50 средний балл</t>
  </si>
  <si>
    <t>└─ Рекордсмены по географии</t>
  </si>
  <si>
    <t>33% с 40+, 25% с 45+</t>
  </si>
  <si>
    <t>12 рекордсменов (12/12 баллов на трех ЕНТ)</t>
  </si>
  <si>
    <t>└─ Абсолютные рекордсмены</t>
  </si>
  <si>
    <t>2 ученика с 140/140 баллов</t>
  </si>
  <si>
    <t>Кассовый разрыв (+1)</t>
  </si>
  <si>
    <t>└─ Поступление на грант</t>
  </si>
  <si>
    <t>75% поступление на грант</t>
  </si>
  <si>
    <t>└─ Удовлетворенность студентов (NPS)</t>
  </si>
  <si>
    <t>75% базовый NPS</t>
  </si>
  <si>
    <t>90% годовой NPS</t>
  </si>
  <si>
    <t>└─ Доходимость до ЕНТ (retention)</t>
  </si>
  <si>
    <t>70%</t>
  </si>
  <si>
    <t>80% доходимость до ЕНТ</t>
  </si>
  <si>
    <t>Партнерская экспансия</t>
  </si>
  <si>
    <t>└─ Гранты от партнерских вузов</t>
  </si>
  <si>
    <t>Удвоить количество грантов (2x vs 2024)</t>
  </si>
  <si>
    <t>август 2026</t>
  </si>
  <si>
    <t>└─ Внутренние гранты GeOnline</t>
  </si>
  <si>
    <t>Внутренняя грантовая программа планируется</t>
  </si>
  <si>
    <t>Освоить 100% внутренние гранты</t>
  </si>
  <si>
    <t>└─ Партнерство со школами</t>
  </si>
  <si>
    <t>Пилоты 3-5 школ в планах, реализация начинается</t>
  </si>
  <si>
    <t>Пилоты в ≥20 школах</t>
  </si>
  <si>
    <t>март 2026</t>
  </si>
  <si>
    <t>Стандартизация продаж (+1)</t>
  </si>
  <si>
    <t>└─ Партнерство с фондами</t>
  </si>
  <si>
    <t>Партнерство с ≥3 фондами</t>
  </si>
  <si>
    <t>└─ База активных учителей</t>
  </si>
  <si>
    <t>Реферальная программа для учителей в разработке (MVP)</t>
  </si>
  <si>
    <t>200 активных учителей (20% вовлечены)</t>
  </si>
  <si>
    <t>└─ Ключевые события</t>
  </si>
  <si>
    <t>GeoFest, GeoLeague Grand Final, GeoCamp Dubai проведены</t>
  </si>
  <si>
    <t>Отдел продаж</t>
  </si>
  <si>
    <t>Жанель</t>
  </si>
  <si>
    <t>└─ Количество учеников</t>
  </si>
  <si>
    <t>5,200 учеников</t>
  </si>
  <si>
    <t>12,000 учеников</t>
  </si>
  <si>
    <t>└─ Конверсия в продажу</t>
  </si>
  <si>
    <t>20% годовая конверсия с первичного касания</t>
  </si>
  <si>
    <t>постоянно</t>
  </si>
  <si>
    <t>└─ Удерживать средний чек</t>
  </si>
  <si>
    <t>200,000 ₸ средний чек</t>
  </si>
  <si>
    <t>в течение года</t>
  </si>
  <si>
    <t>🛑 ОГРАНИЧЕНИЯ И УЗЕЛКИ (выявлены и приоритезированы в ходе стратегических сессии)</t>
  </si>
  <si>
    <t>Rank</t>
  </si>
  <si>
    <t>Constraint_Name</t>
  </si>
  <si>
    <t>Приоритет</t>
  </si>
  <si>
    <t>Type</t>
  </si>
  <si>
    <t>TOC_Score</t>
  </si>
  <si>
    <t>Через какие OKR решаем</t>
  </si>
  <si>
    <t>Через какие гипотезы решаем</t>
  </si>
  <si>
    <t>Собственник застревает в операционке</t>
  </si>
  <si>
    <t>🔴 Critical</t>
  </si>
  <si>
    <t>Ментальные/Культурные</t>
  </si>
  <si>
    <t>Найм HR • Развитие ТОПов</t>
  </si>
  <si>
    <t>Зависимость бизнеса от собственника</t>
  </si>
  <si>
    <t>Развитие ТОПов • Middle-менеджмент</t>
  </si>
  <si>
    <t>Кассовый разрыв из-за сезонности</t>
  </si>
  <si>
    <t>Физические/Ресурсные</t>
  </si>
  <si>
    <t>12К учеников • B2B школы</t>
  </si>
  <si>
    <t>Клиент однолетний</t>
  </si>
  <si>
    <t>🟡 Candidate</t>
  </si>
  <si>
    <t>Политики/Процессы</t>
  </si>
  <si>
    <t>SuperApp 9/9 • MAU 15К</t>
  </si>
  <si>
    <t>Текучка кадров в продажах</t>
  </si>
  <si>
    <t>Найм HR • Конверсия 20%</t>
  </si>
  <si>
    <t>Нехватка финансовых метрик</t>
  </si>
  <si>
    <t>Power BI Analyst • Автоматизация</t>
  </si>
  <si>
    <t>Масштабирование при сохранении качества</t>
  </si>
  <si>
    <t>MAU 15К • NPS 90%</t>
  </si>
  <si>
    <t>Неэффективные маркетинговые каналы</t>
  </si>
  <si>
    <t>Лиды 50К • TikTok 100K</t>
  </si>
  <si>
    <t>Сложность автоматизации платформы</t>
  </si>
  <si>
    <t>Техкоманда • SuperApp</t>
  </si>
  <si>
    <t>Недостаточная стандартизация в продажах</t>
  </si>
  <si>
    <t>Конверсия 20% • Скрипты</t>
  </si>
  <si>
    <t>Амбициозная цель без плана</t>
  </si>
  <si>
    <t>OKR-фокус • Balanced Scorecard</t>
  </si>
  <si>
    <t>Проблема ценообразования у экспертов</t>
  </si>
  <si>
    <t>⚪ Secondary</t>
  </si>
  <si>
    <t>Средний чек • Конверсия</t>
  </si>
  <si>
    <t>Проблема с десятиклассниками</t>
  </si>
  <si>
    <t>Рыночные/Внешние</t>
  </si>
  <si>
    <t>10-класс офферы • MAU</t>
  </si>
  <si>
    <t>Нехватка специалиста по процессам</t>
  </si>
  <si>
    <t>Operations Manager • Автоматизация</t>
  </si>
  <si>
    <t>Work-Life Balance собственника</t>
  </si>
  <si>
    <t>Executive коучинг • Делегирование</t>
  </si>
  <si>
    <t>Отсутствие Product Manager</t>
  </si>
  <si>
    <t>Техкоманда • Product Manager</t>
  </si>
  <si>
    <t>Несоответствие маркетинг-продукт</t>
  </si>
  <si>
    <t>SuperApp • MAU рост</t>
  </si>
  <si>
    <t>Недостаточная реферальная программа</t>
  </si>
  <si>
    <t>Реферальная программа • NPS</t>
  </si>
  <si>
    <t>💰 ОБЩАЯ ЦЕЛЬ НА 2026 ГОД - Качественный и Количественный Активный Рост</t>
  </si>
  <si>
    <t>Цель</t>
  </si>
  <si>
    <t>Целевая Метрика</t>
  </si>
  <si>
    <t>Финансовая</t>
  </si>
  <si>
    <t>Рост выручка х2.5 в Оборотах бизнеса при масштабируемой модели LTV/CAC&gt;4</t>
  </si>
  <si>
    <t>₸2.0 млрд
30% операционная маржинальность</t>
  </si>
  <si>
    <t>₸1.034 млрд
26% операционная прибыль</t>
  </si>
  <si>
    <t>Топ-Команда</t>
  </si>
  <si>
    <t>Клиентская</t>
  </si>
  <si>
    <t>Вырасти х2.5 в количестве клиентов и повысить средний чек, улучшая конверсию через эффективный маркетинг и процессы продаж</t>
  </si>
  <si>
    <t>10,000 учеников
₸200 000 средний чек
20% конверсия в продажу</t>
  </si>
  <si>
    <t>4,000 учеников
₸247 000 средний чек
13,3% конверсия в продажу</t>
  </si>
  <si>
    <t>Описать и стандартизирвоать и автоматизировать топ-3 бизнес процессов компании, которые позволят дальше масштабировать компанию х2 ежегодно</t>
  </si>
  <si>
    <t>Бизнес-процессы по 
1) финансам, 
2) управление окр, 
3) академ отделы
 описаны и оцифрованы на 80% и работают через цифровую среду</t>
  </si>
  <si>
    <t>Команда</t>
  </si>
  <si>
    <t>Разработана и успешно внедрена и практикуется всеми сотрудниками Корп.Культура Geonline - через Миссию, Ценности и Принципы компании. Это фундамент для масштаба и достижения долгосрочных целей компании</t>
  </si>
  <si>
    <t xml:space="preserve">eNPS - 80%+
Внедрен Кодекс
</t>
  </si>
  <si>
    <t>eNPS - 66%</t>
  </si>
  <si>
    <t>OKR-1: Команда и процессы для масштабирования</t>
  </si>
  <si>
    <t>сейчас (статус на Январь 2026)</t>
  </si>
  <si>
    <t>Метрики</t>
  </si>
  <si>
    <t>Cроки</t>
  </si>
  <si>
    <t>6 ключевых ролей закрыты и адаптированы к работе (HR Generalist, SMK, Power BI, Operations Manager, PR, Geography Teacher)</t>
  </si>
  <si>
    <t>май 2026</t>
  </si>
  <si>
    <t>Самарханов Дамир</t>
  </si>
  <si>
    <t>≥50% ключевых процессов автоматизировано (Bitrix24, PowerBI)</t>
  </si>
  <si>
    <t>20-30%</t>
  </si>
  <si>
    <t>80%+</t>
  </si>
  <si>
    <t>Сформирована орг структура на следующий учебный год</t>
  </si>
  <si>
    <t>сейчас действует старая под текущую продктовую матрицу</t>
  </si>
  <si>
    <t>утврежденная орг структура с учетом расширения</t>
  </si>
  <si>
    <t>Ключевые учителя (химия, құқық, информатика) наняты вовремя и в соответствии с портретом позиции и адаптированы</t>
  </si>
  <si>
    <t>сейчас их нет</t>
  </si>
  <si>
    <t>Разработана, прописана и внедрена миссия, ценности, принципы компании и команда топ менеджмента и мидл менеджмента синхронизирована</t>
  </si>
  <si>
    <t>разрозненная документация</t>
  </si>
  <si>
    <t>утврежденный кодекс</t>
  </si>
  <si>
    <t>Команда синхронизирована и регулярные OKR сессии. Еженедельные ОКР-митинги запущены, координатор назначен, координация топов 8/10 к маю 2026</t>
  </si>
  <si>
    <t>сейчас ОКР делаются по отдельности с каждым</t>
  </si>
  <si>
    <t>80% встреч проведены вовремя и в полном объеме</t>
  </si>
  <si>
    <t>февраль-май 2026</t>
  </si>
  <si>
    <t>OKR-2: Отдел продаж</t>
  </si>
  <si>
    <t>привлечено 10 000 учеников</t>
  </si>
  <si>
    <t>Койгельдина Жанель</t>
  </si>
  <si>
    <t>Конверсия с первичного касания достигла 20%</t>
  </si>
  <si>
    <t>Средний чек удержан на уровне 200 000 ₸</t>
  </si>
  <si>
    <t>247 тыс</t>
  </si>
  <si>
    <t>200 тыс</t>
  </si>
  <si>
    <t>Реализована сквозная аналитика по ключевым метрикам по каналам продаж</t>
  </si>
  <si>
    <t>еженедельная аналитика по каждоому каналу
план-факт выполнения 80-90%</t>
  </si>
  <si>
    <t>OKR-3: Продуктовая трансформация SuperApp</t>
  </si>
  <si>
    <t xml:space="preserve">Разработана и реализуется Бизнес-стратегия по SuperApp </t>
  </si>
  <si>
    <t>нету</t>
  </si>
  <si>
    <t>утверждена Стратегия на 1-3-года</t>
  </si>
  <si>
    <t>Тоқтағазинов Шыңғыс</t>
  </si>
  <si>
    <t>Достигнуты показатели активности: Регистрация 50 тыс, 15 000 MAU и 5 000 DAU</t>
  </si>
  <si>
    <t>10 тыс Уникальных пользователей
6 426 MAU
1 396 DAU</t>
  </si>
  <si>
    <t>50 тыс уникальных пользователей
15 000 MAU
5 000 DAU</t>
  </si>
  <si>
    <t>Пользователями пройдено 10 000+ тестов в SuperApp, запущены и проданы безшовно мини продукты (up-sale/cross-sale) на общую сумму 20 млн тг</t>
  </si>
  <si>
    <t>только закончили разработки тестов</t>
  </si>
  <si>
    <t>10 000 тестов
20 млн тенге
2-3 ключевых мини-курса</t>
  </si>
  <si>
    <t>IT-команда выполнила запланированный объём работ в срок и в рамках утверждённого бюджета</t>
  </si>
  <si>
    <t>есть IT команда на аутсорсе. есть календарь мероприятий</t>
  </si>
  <si>
    <t>OTIF (On-time In Full) - 90%
в рамках утвержденного бюджета до 100%</t>
  </si>
  <si>
    <t>9/9 сервисов SuperApp запущены (Курстар, Тренажер, Материалдар, Байқау сынағы, Мамандықтар, ЖОО, Марафондар, Флеш-карталар, Куиздар)</t>
  </si>
  <si>
    <t>OKR-4: Партнерская экспансия</t>
  </si>
  <si>
    <t xml:space="preserve">100 грантов и скидок от партнерских вузов  </t>
  </si>
  <si>
    <t>45 грантов</t>
  </si>
  <si>
    <t>100 грантов</t>
  </si>
  <si>
    <t>апрель</t>
  </si>
  <si>
    <t>Сервис «Пробные тесты» успешно запущен в пилотном режиме в 20+ школах</t>
  </si>
  <si>
    <t>на стадии реализации</t>
  </si>
  <si>
    <t>Тестирование в 20 школах</t>
  </si>
  <si>
    <t>май</t>
  </si>
  <si>
    <t>100% внутренних грантов GeOnline освоены и доведены до конечных получателей</t>
  </si>
  <si>
    <t>100% освоение</t>
  </si>
  <si>
    <t>сентябрь 2026</t>
  </si>
  <si>
    <t>OKR-5: Масштабирование лидогенерации (performance) и снижение САС</t>
  </si>
  <si>
    <t xml:space="preserve">Привлечено 65 000 квалифицированных лидов </t>
  </si>
  <si>
    <t>31 500 квалифицированных лидов</t>
  </si>
  <si>
    <t>65 000 квалифицированных лидов</t>
  </si>
  <si>
    <t>Фархатов Айбол</t>
  </si>
  <si>
    <t>CAC удержана в диапазоне 25 000 – 30 000 ₸ при масштабировании трафика</t>
  </si>
  <si>
    <t xml:space="preserve">CAC 42 000 ₸  </t>
  </si>
  <si>
    <t xml:space="preserve">CAC 25 000 – 30 000 ₸  </t>
  </si>
  <si>
    <t>Стабильная система запусков: в среднем 2 запуска в месяц, с общим охватом 25 000+ пользователей</t>
  </si>
  <si>
    <t>2 запуска в месяц с охватом 18 000 - 20 000+ пользователей</t>
  </si>
  <si>
    <t>2 запуска в месяц с охватом 25 000+ пользователей</t>
  </si>
  <si>
    <t>Доходимость вебинаров увеличена в 2 раза за счёт улучшения прогрева, сценариев и напоминаний</t>
  </si>
  <si>
    <t>доходимость вебинара 30-40%</t>
  </si>
  <si>
    <t>доходимость вебинара 50%+</t>
  </si>
  <si>
    <t>уточнить доходимость</t>
  </si>
  <si>
    <t>Кликабельность баннеров доведена до 50% благодаря оптимизации креативов и офферов</t>
  </si>
  <si>
    <t>кликабельность 30%</t>
  </si>
  <si>
    <t>кликабельность 50%</t>
  </si>
  <si>
    <t>OKR-6: Увеличение конверсии и engagement (content)</t>
  </si>
  <si>
    <t>Instagram-аудитория увеличена на 30 000 подписчиков,
достигнут ежемесячный охват 10 млн+ просмотров</t>
  </si>
  <si>
    <t>Мурсалимова Айдана</t>
  </si>
  <si>
    <t>Суммарная аудитория в соцсетях достигла 200 000 подписчиков:</t>
  </si>
  <si>
    <t>Наняты все ключевые сотрудники отдела, адаптированы и дают результат</t>
  </si>
  <si>
    <t>Работа с 20 инфлюенс амбассадорами курса, UGC контент</t>
  </si>
  <si>
    <t>публикации, охваты</t>
  </si>
  <si>
    <t>OKR-7: Финансовый контроль, обеспечение роста без кассового разрыва</t>
  </si>
  <si>
    <t>Внедрены Power BI-дашборды для ключевых направлений бизнеса и каждый руководитель по своим отделам пользуются</t>
  </si>
  <si>
    <t>Финансы, ОП есть. Академ и Маркетинг в процессе</t>
  </si>
  <si>
    <t>4 направления: Финансы, Отдел продаж, маркетинг, академ</t>
  </si>
  <si>
    <t>март 2026 год</t>
  </si>
  <si>
    <t>Жүсіпбек Мерей</t>
  </si>
  <si>
    <t>Разработать и внедрить систему бюджетирования финансов компании и контроля бюджета (с горизонтом планирования помесячно на 12 мес)</t>
  </si>
  <si>
    <t>бюджет делается на каждый месяц, фин модель раз в год и раз в полгода обновляется</t>
  </si>
  <si>
    <t>бюджет разработан и утвержден
ежемесячный план-факт отклонение не более чем 10%
ежемесячный отчет по план-факту и причинам отклоенений</t>
  </si>
  <si>
    <t>уменьшение Доли постоянных расходов удержана на 30% от выручки</t>
  </si>
  <si>
    <t>32% (июль-декабрь)</t>
  </si>
  <si>
    <t>доля постоянных расходов уменьшена на 30%</t>
  </si>
  <si>
    <t xml:space="preserve">июль 2026 </t>
  </si>
  <si>
    <t>в этом уч году мыы не утвердили фин модель и из-за этого постоянные расходы в уче году составит 40% от выручки</t>
  </si>
  <si>
    <t>Обеспечить достаточный оборотный капитал для роста компании (запас на 2-3 мес с учетом роста)</t>
  </si>
  <si>
    <t>нет резервов, есть кассовый разрыв на 100 млн тг. До июля мы не можем сформировать резервный фонд</t>
  </si>
  <si>
    <t>не менее 80% планового оборотного капитала всегда в наличии
отсутсвие кассового разрыва</t>
  </si>
  <si>
    <t>EBITDA min 30%</t>
  </si>
  <si>
    <t>EBITDA 26% (июль-декабрь)</t>
  </si>
  <si>
    <t>EBITDA 30%</t>
  </si>
  <si>
    <t>Контроль САС на уровне 25 000 - 30 000 тг</t>
  </si>
  <si>
    <t>OKR-8: Академическое превосходство</t>
  </si>
  <si>
    <t>Средний результат учеников по профильным предметам на основном ЕНТ составил 34 из 50 баллов, история Казахстана 15 баллов</t>
  </si>
  <si>
    <t>28-29 балл</t>
  </si>
  <si>
    <t>Тұрар Серік</t>
  </si>
  <si>
    <t>Подготовлено 12 рекордсменов, показавших рекордные результаты на всех трех ЕНТ</t>
  </si>
  <si>
    <t>2 ученика достигли максимального результата — 140 из 140 баллов на ЕНТ</t>
  </si>
  <si>
    <t>Годовой показатель NPS составил ≥90%, 75% выпускников поступили на грант в вузы Казахстана</t>
  </si>
  <si>
    <t>Разработана организационная структура академического отдела на следующий учебный год</t>
  </si>
  <si>
    <t>июль 2026</t>
  </si>
  <si>
    <t>Запущен внутренний обучающий курс для команды академического отдела</t>
  </si>
  <si>
    <t>Подготовлен кадровый резерв академического отдела на следующий учебный год</t>
  </si>
  <si>
    <t>Система курсов полностью структурирована и упорядочена</t>
  </si>
  <si>
    <t>июль-август 2026</t>
  </si>
  <si>
    <t xml:space="preserve">OKR-HR-9:  </t>
  </si>
  <si>
    <t>Внедрена RACI-матрица полномочий для руководителей уровня СЕО-1-2-3</t>
  </si>
  <si>
    <t>Мухаметова Арай</t>
  </si>
  <si>
    <t xml:space="preserve">Сформирована и внедрена корпоративная культура  </t>
  </si>
  <si>
    <t>Пока не оформлена она в отдельный документ</t>
  </si>
  <si>
    <t>апрель 2026</t>
  </si>
  <si>
    <t>У каждого топ-менеджера разработан и реализуется в полном объеме индивидуальный план развития</t>
  </si>
  <si>
    <t>надо обсудить с СЕО бюджет и т.д</t>
  </si>
  <si>
    <t>10 ИПР
80% реализации ИПР мероприятий</t>
  </si>
  <si>
    <t>Повысить eNPS сотрудников до 80%</t>
  </si>
  <si>
    <t xml:space="preserve">Сформирован мидл менеджмент управленцев во всех ключевых отделах </t>
  </si>
  <si>
    <t>Все функциональные обязанности в компании полностью описаны, документооборот приведён в порядок</t>
  </si>
  <si>
    <t>HR-бренд компании</t>
  </si>
  <si>
    <t xml:space="preserve">OKR-PR-10:  </t>
  </si>
  <si>
    <t>Проведены ключевые флагманские мероприятия GeOnline:
GeoFest, GeoLeague Grand Final, GeoCamp Dubai</t>
  </si>
  <si>
    <t>Бектегенова Айым</t>
  </si>
  <si>
    <t>Размещены статьи и публикации в СМИ, усиливающие узнаваемость и экспертное позиционирование бренда</t>
  </si>
  <si>
    <t>Развит PR и личный бренд Дамира К., участие в рейтинге Forbes 30u30</t>
  </si>
  <si>
    <t>Подготовлен и запланирован проект «Түлектер кеші»</t>
  </si>
  <si>
    <t>Выстроено партнёрство с 3 фондами</t>
  </si>
  <si>
    <t>OKR-11: Запуск новых мини-продуктов</t>
  </si>
  <si>
    <t xml:space="preserve">Запуск мини продуктов (книги) и продать на 40 000 000 </t>
  </si>
  <si>
    <t>Книга в процессе запуска</t>
  </si>
  <si>
    <t>40 000 000 тг</t>
  </si>
  <si>
    <t>Сделано за 1-полугодие</t>
  </si>
  <si>
    <t>Партнерская Экспансия</t>
  </si>
  <si>
    <t>Заключены партнёрства с 3 и более фондами, расширяющими социальное и образовательное влияние GeOnline</t>
  </si>
  <si>
    <t>Меморандум с 3 фондами заключен</t>
  </si>
  <si>
    <t>январь 2026</t>
  </si>
  <si>
    <t>🎯 ПЕРСОНАЛЬНЫЙ OKR ТРЕКЕР: Дамир Самарханов</t>
  </si>
  <si>
    <t>📊 МОИ OKRs И KEY RESULTS - CEO</t>
  </si>
  <si>
    <t>OKR-HR1: Команда для масштабирования</t>
  </si>
  <si>
    <t>⏱ Сентябрь 2025 - Август 2026</t>
  </si>
  <si>
    <t xml:space="preserve">  ✓ KR1: 6 ключевых ролей закрыты (HR Generalist, SMK, Power BI, Operations Manager, PR, Geography Teacher)</t>
  </si>
  <si>
    <t xml:space="preserve">  ✓ KR2: IN HOUSE IT команда сформирована (Backend, Frontend, UX/UI, PM, DevOps, QA)</t>
  </si>
  <si>
    <t xml:space="preserve">  ✓ KR3: У каждого топ-менеджера индивидуальный план развития (коучинг, MBA, тренинги)</t>
  </si>
  <si>
    <t xml:space="preserve">  ✓ KR4: eNPS сотрудников 90% (опросы: ноябрь, февраль, июнь)</t>
  </si>
  <si>
    <t xml:space="preserve">  ✓ KR5: ≥50% ключевых процессов автоматизировано (Bitrix24, PowerBI, LMS)</t>
  </si>
  <si>
    <t xml:space="preserve">  ✓ KR6: 10-11 team leads во всех отделах + развитый HR-бренд</t>
  </si>
  <si>
    <t>🧪 МОИ ГИПОТЕЗЫ В РАБОТЕ</t>
  </si>
  <si>
    <t>ID</t>
  </si>
  <si>
    <t>Гипотеза (краткое)</t>
  </si>
  <si>
    <t>Связь с OKR/KR</t>
  </si>
  <si>
    <t>Ограничение</t>
  </si>
  <si>
    <t>Статус</t>
  </si>
  <si>
    <t>% Прогресс</t>
  </si>
  <si>
    <t>Старт</t>
  </si>
  <si>
    <t>Дедлайн</t>
  </si>
  <si>
    <t>Завершено</t>
  </si>
  <si>
    <t>Чеклист</t>
  </si>
  <si>
    <t>Результат</t>
  </si>
  <si>
    <t>H001</t>
  </si>
  <si>
    <t>OKR везде</t>
  </si>
  <si>
    <t>Стратегическая</t>
  </si>
  <si>
    <t>Автоматизация процессов</t>
  </si>
  <si>
    <t>Собственник в операционке</t>
  </si>
  <si>
    <t>🔴 Критический</t>
  </si>
  <si>
    <t>📋 Planned</t>
  </si>
  <si>
    <t>0%</t>
  </si>
  <si>
    <t>31.12.2026</t>
  </si>
  <si>
    <t>H002</t>
  </si>
  <si>
    <t>Коучинг лидерства</t>
  </si>
  <si>
    <t>Процессная/HR</t>
  </si>
  <si>
    <t>Развитие ТОПов</t>
  </si>
  <si>
    <t>Зависимость от собственника</t>
  </si>
  <si>
    <t>H003</t>
  </si>
  <si>
    <t>ИИ в процессах</t>
  </si>
  <si>
    <t>31.06.2026</t>
  </si>
  <si>
    <t>H004</t>
  </si>
  <si>
    <t>Balanced Scorecard</t>
  </si>
  <si>
    <t>H005</t>
  </si>
  <si>
    <t>Упразднение ИД</t>
  </si>
  <si>
    <t>Middle-менеджмент и HR-бренд</t>
  </si>
  <si>
    <t>H007</t>
  </si>
  <si>
    <t>Программа интрапренерства</t>
  </si>
  <si>
    <t>Довольная команда</t>
  </si>
  <si>
    <t>🟡 Высокий</t>
  </si>
  <si>
    <t>H008</t>
  </si>
  <si>
    <t>Непрерывная обратная связь</t>
  </si>
  <si>
    <t>H009</t>
  </si>
  <si>
    <t>Карьерные треки</t>
  </si>
  <si>
    <t>H010</t>
  </si>
  <si>
    <t>CIO + 6 разработчиков</t>
  </si>
  <si>
    <t>In House техническая команда</t>
  </si>
  <si>
    <t>Автоматизация платформы</t>
  </si>
  <si>
    <t>⚪ Средний</t>
  </si>
  <si>
    <t>📈 СТАТИСТИКА ГИПОТЕЗ</t>
  </si>
  <si>
    <t>Всего гипотез:</t>
  </si>
  <si>
    <t>✅ Validated:</t>
  </si>
  <si>
    <t>🔄 In Progress:</t>
  </si>
  <si>
    <t>❌ Rejected:</t>
  </si>
  <si>
    <t>📋 Planned:</t>
  </si>
  <si>
    <t xml:space="preserve"> </t>
  </si>
  <si>
    <t>🎯 ПЕРСОНАЛЬНЫЙ OKR ТРЕКЕР: Тоқтағазинов Шыңғыс</t>
  </si>
  <si>
    <t>📊 МОИ OKRs И KEY RESULTS - Исполнительный директор</t>
  </si>
  <si>
    <t>OKR-S1: Продуктовая трансформация SuperApp</t>
  </si>
  <si>
    <t>⏱ Декабрь 2025 - Июнь 2026</t>
  </si>
  <si>
    <r>
      <rPr>
        <rFont val="Arial"/>
        <b/>
        <color theme="1"/>
        <sz val="9.0"/>
      </rPr>
      <t>KR1:</t>
    </r>
    <r>
      <rPr>
        <rFont val="Arial"/>
        <color theme="1"/>
        <sz val="9.0"/>
      </rPr>
      <t xml:space="preserve"> Разработана и реализуется Бизнес-стратегия по SuperApp </t>
    </r>
  </si>
  <si>
    <r>
      <rPr>
        <rFont val="Arial"/>
        <b/>
        <color theme="1"/>
        <sz val="9.0"/>
      </rPr>
      <t>KR2:</t>
    </r>
    <r>
      <rPr>
        <rFont val="Arial"/>
        <color theme="1"/>
        <sz val="9.0"/>
      </rPr>
      <t xml:space="preserve"> Достигнуты показатели активности: Регистрация 50 тыс, 15 000 MAU и 5 000 DAU</t>
    </r>
  </si>
  <si>
    <r>
      <rPr>
        <rFont val="Arial"/>
        <b/>
        <color theme="1"/>
        <sz val="9.0"/>
      </rPr>
      <t xml:space="preserve">KR3: </t>
    </r>
    <r>
      <rPr>
        <rFont val="Arial"/>
        <b val="0"/>
        <color theme="1"/>
        <sz val="9.0"/>
      </rPr>
      <t>Пользователями пройдено 10 000+ тестов в SuperApp, запущены и проданы безшовно мини продукты (up-sale/cross-sale) на общую сумму 20 млн тг</t>
    </r>
  </si>
  <si>
    <r>
      <rPr>
        <rFont val="Arial"/>
        <b/>
        <color theme="1"/>
        <sz val="9.0"/>
      </rPr>
      <t>KR4:</t>
    </r>
    <r>
      <rPr>
        <rFont val="Arial"/>
        <color theme="1"/>
        <sz val="9.0"/>
      </rPr>
      <t xml:space="preserve"> IT-команда выполнила запланированный объём работ в срок и в рамках утверждённого бюджета</t>
    </r>
  </si>
  <si>
    <r>
      <rPr>
        <rFont val="Arial"/>
        <b/>
        <color theme="1"/>
        <sz val="9.0"/>
      </rPr>
      <t>KR5:</t>
    </r>
    <r>
      <rPr>
        <rFont val="Arial"/>
        <color theme="1"/>
        <sz val="9.0"/>
      </rPr>
      <t xml:space="preserve"> 9/9 сервисов SuperApp запущены (Курстар, Тренажер, Материалдар, Байқау сынағы, Мамандықтар, ЖОО, Марафондар, Флеш-карталар, Куиздар)</t>
    </r>
  </si>
  <si>
    <t>OKR-S2: Партнерская экспансия</t>
  </si>
  <si>
    <r>
      <rPr>
        <rFont val="Arial"/>
        <b/>
        <color theme="1"/>
        <sz val="9.0"/>
      </rPr>
      <t xml:space="preserve">✓ KR1: </t>
    </r>
    <r>
      <rPr>
        <rFont val="Arial"/>
        <color theme="1"/>
        <sz val="9.0"/>
      </rPr>
      <t>100 грантов и скидок от партнерских вузов</t>
    </r>
  </si>
  <si>
    <r>
      <rPr>
        <rFont val="Arial"/>
        <b/>
        <color theme="1"/>
        <sz val="9.0"/>
      </rPr>
      <t xml:space="preserve">✓ KR2: </t>
    </r>
    <r>
      <rPr>
        <rFont val="Arial"/>
        <b val="0"/>
        <color theme="1"/>
        <sz val="9.0"/>
      </rPr>
      <t>100% внутренних грантов GeOnline освоены и доведены до конечных получателей</t>
    </r>
  </si>
  <si>
    <r>
      <rPr>
        <rFont val="Arial"/>
        <b/>
        <color theme="1"/>
        <sz val="9.0"/>
      </rPr>
      <t xml:space="preserve">✓ KR3: </t>
    </r>
    <r>
      <rPr>
        <rFont val="Arial"/>
        <b val="0"/>
        <color theme="1"/>
        <sz val="9.0"/>
      </rPr>
      <t>Сервис «Пробные тесты» успешно запущен в пилотном режиме в 20+ школах</t>
    </r>
  </si>
  <si>
    <t>✓ KR4: Партнерство с ≥3 фондами</t>
  </si>
  <si>
    <t>SuperApp 9 сервисов</t>
  </si>
  <si>
    <t>9/9 сервисов SuperApp запущены</t>
  </si>
  <si>
    <t>30.06.2026</t>
  </si>
  <si>
    <t>B2B для школ</t>
  </si>
  <si>
    <t>Партнерство со школами</t>
  </si>
  <si>
    <t>Стандартизация продаж</t>
  </si>
  <si>
    <t>Продуктовая</t>
  </si>
  <si>
    <t>H006</t>
  </si>
  <si>
    <t>Приложением пользуются</t>
  </si>
  <si>
    <t>B2G2C воронки</t>
  </si>
  <si>
    <t>Маркетинговая</t>
  </si>
  <si>
    <t>H011</t>
  </si>
  <si>
    <t>H012</t>
  </si>
  <si>
    <t>Система тестирования</t>
  </si>
  <si>
    <t>Пройденные тесты</t>
  </si>
  <si>
    <t>🎯 ПЕРСОНАЛЬНЫЙ OKR ТРЕКЕР: Мақсат</t>
  </si>
  <si>
    <t>📊 МОИ OKRs И KEY RESULTS - Marketing Lead</t>
  </si>
  <si>
    <t>OKR-M1: Масштабирование лидогенерации</t>
  </si>
  <si>
    <t>⏱ Июль 2025 - Июнь 2026</t>
  </si>
  <si>
    <t xml:space="preserve">  ✓ KR1: 50,000 квалифицированных лидов за год</t>
  </si>
  <si>
    <t xml:space="preserve">  ✓ KR2: 50,000 человек по воронкам при CAC ≤20,000 ₸</t>
  </si>
  <si>
    <t xml:space="preserve">  ✓ KR3: 2 запуска/месяц на 25,000 охват каждый</t>
  </si>
  <si>
    <t xml:space="preserve">  ✓ KR4: 200,000 подписчиков (YouTube 50K, Instagram 30K, TikTok 100K)</t>
  </si>
  <si>
    <t>OKR-M2: Увеличение конверсии и engagement</t>
  </si>
  <si>
    <t>⏱ Сентябрь 2025</t>
  </si>
  <si>
    <t xml:space="preserve">  ✓ KR1: +30,000 подписчиков Instagram, 10 млн охват/месяц</t>
  </si>
  <si>
    <t xml:space="preserve">  ✓ KR2: Увеличить доходимость вебинара в 2 раза</t>
  </si>
  <si>
    <t xml:space="preserve">  ✓ KR3: Кликабельность баннеров 50%</t>
  </si>
  <si>
    <t>OKR-M3: Креативное производство и influence маркетинг</t>
  </si>
  <si>
    <t>⏱ Сентябрь - Ноябрь 2025</t>
  </si>
  <si>
    <t xml:space="preserve">  ✓ KR1: Креативный отдел создан (режиссер, сценарист, оператор)</t>
  </si>
  <si>
    <t xml:space="preserve">  ✓ KR2: 1 годовой амбассадор + 5 YouTube блогеров задействованы</t>
  </si>
  <si>
    <t>TikTok главный канал</t>
  </si>
  <si>
    <t>Увеличить охват маркетинговых каналов</t>
  </si>
  <si>
    <t>Неэффективные каналы</t>
  </si>
  <si>
    <t>Эксперты по географии</t>
  </si>
  <si>
    <t>Блогеры и амбассадоры</t>
  </si>
  <si>
    <t>Запустить influence маркетинг</t>
  </si>
  <si>
    <t>Масштабирование с качеством</t>
  </si>
  <si>
    <t>Продакшн-отдел</t>
  </si>
  <si>
    <t>Создать креативный отдел</t>
  </si>
  <si>
    <t>Программа амбассадоров</t>
  </si>
  <si>
    <t>Квалифицированные лиды</t>
  </si>
  <si>
    <t>UGC контент</t>
  </si>
  <si>
    <t>TikTok выделенный бюджет</t>
  </si>
  <si>
    <t>Утвердить бюджет на февраль</t>
  </si>
  <si>
    <t>KR-1</t>
  </si>
  <si>
    <t>обучение нужно по аналитике и цифрам</t>
  </si>
  <si>
    <t>Тик ток, YouTube возобновить</t>
  </si>
  <si>
    <t>копирайтер нужен</t>
  </si>
  <si>
    <t>Поменять креативы для таргета</t>
  </si>
  <si>
    <t>Анализ нужен по креативам, конкурентам</t>
  </si>
  <si>
    <t>Засинхронится с ОП по квал лиду</t>
  </si>
  <si>
    <t>Сходить к ОП послушать разговор с клиентами</t>
  </si>
  <si>
    <t>САС научится считать</t>
  </si>
  <si>
    <t>KR-2</t>
  </si>
  <si>
    <t>С финансистом поговорить</t>
  </si>
  <si>
    <t>Критерий для KR-3</t>
  </si>
  <si>
    <t>Дамир мырза и ОП, Максат</t>
  </si>
  <si>
    <t>Понять KR-4</t>
  </si>
  <si>
    <t>Понять боли ЦА</t>
  </si>
  <si>
    <t>👤 МЕРЕЙ - Автоматизация и Процессы</t>
  </si>
  <si>
    <t>📋 МОИ OKRs OVERVIEW</t>
  </si>
  <si>
    <t>OKR Code</t>
  </si>
  <si>
    <t>KR1: Bitrix24 внедрен (CRM, задачи, документооборот)</t>
  </si>
  <si>
    <t>KR2: PowerBI дашборды (продажи, маркетинг, академия)</t>
  </si>
  <si>
    <t>KR3: Сквозная аналитика (когорты, воронки, retention)</t>
  </si>
  <si>
    <t>KR4: ≥50% процессов автоматизировано</t>
  </si>
  <si>
    <t>Kaspi Pay интеграция</t>
  </si>
  <si>
    <t>Sales</t>
  </si>
  <si>
    <t>Конверсия в продажу</t>
  </si>
  <si>
    <t>Когортная аналитика</t>
  </si>
  <si>
    <t>PowerBI платформа</t>
  </si>
  <si>
    <t>Автоматизация админ</t>
  </si>
  <si>
    <t>Lead scoring автомат</t>
  </si>
  <si>
    <t>CRM интеграция</t>
  </si>
  <si>
    <t>Управленческий учет</t>
  </si>
  <si>
    <t>Прогноз cash flow</t>
  </si>
  <si>
    <t>EBITDA 26%</t>
  </si>
  <si>
    <t>Связь с KR</t>
  </si>
  <si>
    <t>Гипотеза/ Задача</t>
  </si>
  <si>
    <t>Метрика</t>
  </si>
  <si>
    <t>Конец</t>
  </si>
  <si>
    <t>Помощь</t>
  </si>
  <si>
    <t>KR-3 KR-5</t>
  </si>
  <si>
    <t>Антикризисный план</t>
  </si>
  <si>
    <t>Пошаговые действия задокументированы, обсуждение и утверждение СЕО</t>
  </si>
  <si>
    <t>11-12 февраля</t>
  </si>
  <si>
    <t>15 февраля</t>
  </si>
  <si>
    <t>Предложение на след уч год: утвердим постоянные расходы чтобы EBITDA 30% и сверх расходы принимает финансист</t>
  </si>
  <si>
    <t>Доработка Power BI академ и маркетинг отдела</t>
  </si>
  <si>
    <t>Дали доступ к каждому отделу для пользования</t>
  </si>
  <si>
    <t>1 марта</t>
  </si>
  <si>
    <t>Айбол, Турар, Рауан, СЕО</t>
  </si>
  <si>
    <t>KR-5</t>
  </si>
  <si>
    <t>Найти вариант уменьшения себестоимости</t>
  </si>
  <si>
    <t>Если себес снизим с 42% до 37% в течении 6 мес и будем держать, то сможем увеличить EBITDA</t>
  </si>
  <si>
    <t>CEO</t>
  </si>
  <si>
    <t xml:space="preserve">Новый доп продукт поможет закрыть минусы в плохих месяцах </t>
  </si>
  <si>
    <t>Чистыми 5 млн тг от нового продукта</t>
  </si>
  <si>
    <t>Шынгыс, Айбол, СЕО</t>
  </si>
  <si>
    <t>🎯 ПЕРСОНАЛЬНЫЙ OKR ТРЕКЕР: Тұрар</t>
  </si>
  <si>
    <t>📊 МОИ OKRs И KEY RESULTS - Academic Director</t>
  </si>
  <si>
    <t>OKR-A1: Білім беру нәтижелерінің сапасы</t>
  </si>
  <si>
    <t>⏱ Учебный год 2025/26</t>
  </si>
  <si>
    <t xml:space="preserve">  ✓ KR1: 38/50 средний балл по географии на ЕНТ</t>
  </si>
  <si>
    <t xml:space="preserve">  ✓ KR2: 12 рекордсменов (12/12 баллов на трех ЕНТ)</t>
  </si>
  <si>
    <t xml:space="preserve">  ✓ KR3: 2 ученика с результатом 140/140 баллов</t>
  </si>
  <si>
    <t xml:space="preserve">  ✓ KR4: 75% поступление на грант</t>
  </si>
  <si>
    <t xml:space="preserve">  ✓ KR5: Годовой NPS ≥90%</t>
  </si>
  <si>
    <t xml:space="preserve">  ✓ KR6: 80% доходимость до ЕНТ (retention)</t>
  </si>
  <si>
    <t>Community менеджмент</t>
  </si>
  <si>
    <t>Удовлетворенность студентов (NPS)</t>
  </si>
  <si>
    <t>Кассовый разрыв</t>
  </si>
  <si>
    <t>Customer care отдел</t>
  </si>
  <si>
    <t>Методика 5 предметов</t>
  </si>
  <si>
    <t>Средний балл по географии на ЕНТ</t>
  </si>
  <si>
    <t>Индивидуальные планы</t>
  </si>
  <si>
    <t>Рекордсмены по географии</t>
  </si>
  <si>
    <t>Адаптивный ИИ</t>
  </si>
  <si>
    <t>Менторы-рекордсмены</t>
  </si>
  <si>
    <t>CustDev интервью</t>
  </si>
  <si>
    <t>Геймификация</t>
  </si>
  <si>
    <t>Доходимость до ЕНТ (retention)</t>
  </si>
  <si>
    <t>Линейка по месяцам</t>
  </si>
  <si>
    <t>Элита</t>
  </si>
  <si>
    <t>16.02-17.05</t>
  </si>
  <si>
    <t>Орташа ұпайдың өсуіне және рекорд қоюға әсер етеді, 140 ұпай, NPS әсер етеді</t>
  </si>
  <si>
    <t>Оқу жоспары, зачет тапсырмалары, тест тапсырмалары, менторлық обучениелер, тікелей эфирдегі сабақтар</t>
  </si>
  <si>
    <t>Маркетинг көрсету керек, продуктовое обещание высокое</t>
  </si>
  <si>
    <t>Марафон</t>
  </si>
  <si>
    <t>23.02-22.04</t>
  </si>
  <si>
    <t>Система, контроль, стратегия</t>
  </si>
  <si>
    <t>Отзывы студентов</t>
  </si>
  <si>
    <t>GeoBox</t>
  </si>
  <si>
    <t>NPS қа әсер етеді</t>
  </si>
  <si>
    <t>Отдел продаж (1000+ алмаган)</t>
  </si>
  <si>
    <t>🎯 ПЕРСОНАЛЬНЫЙ OKR ТРЕКЕР: Жанель</t>
  </si>
  <si>
    <t>📊 МОИ OKRs И KEY RESULTS - Sales Director</t>
  </si>
  <si>
    <t>OKR-SALES1: Финансовый прорыв и масштабирование</t>
  </si>
  <si>
    <t xml:space="preserve">  ✓ KR1: 14,000 учеников</t>
  </si>
  <si>
    <t xml:space="preserve">  ✓ KR2: 20% конверсия с первичного касания</t>
  </si>
  <si>
    <t xml:space="preserve">  ✓ KR3: Удержание среднего чека 200,000 ₸ </t>
  </si>
  <si>
    <t>Подписка на курсы</t>
  </si>
  <si>
    <t>Удерживать средний чек</t>
  </si>
  <si>
    <t>31.03.2026</t>
  </si>
  <si>
    <t>Премиум с экспертами</t>
  </si>
  <si>
    <t>VIP-пакет премиум</t>
  </si>
  <si>
    <t>Closer/Farmer модель</t>
  </si>
  <si>
    <t>Динамические цены</t>
  </si>
  <si>
    <t>ИИ менеджера протестировать</t>
  </si>
  <si>
    <t>Время</t>
  </si>
  <si>
    <t>Ср время ответа сократится, измерить до. Дозвон поднять можно, Х2 до 35-40%</t>
  </si>
  <si>
    <t>Звонобот</t>
  </si>
  <si>
    <t>Пока информация не полная и не выбрали еще поставщика услуг</t>
  </si>
  <si>
    <t>Дозвон поднимет, сократит время работы с базой до 1500-2000 лид успеет обработать</t>
  </si>
  <si>
    <t>Опер менеджер</t>
  </si>
  <si>
    <t>CRM вопросы есть, не хватает фокуса и внимания разобраться с ним</t>
  </si>
  <si>
    <t>К концу сл недели системно разместить все лиды</t>
  </si>
  <si>
    <t>Исполнитель тим лиды, контроль Жанель</t>
  </si>
  <si>
    <t>Ретаргет(цена снизилась, подписочная модель)</t>
  </si>
  <si>
    <t>CV поднимется</t>
  </si>
  <si>
    <t>Выйти к родителям через контент</t>
  </si>
  <si>
    <t>Обучение для команды 10 про смыслы</t>
  </si>
  <si>
    <t>РнО</t>
  </si>
  <si>
    <t>ср, чт 18:00-19:00</t>
  </si>
  <si>
    <t>Retention поднять, ОКК нужен + Академ</t>
  </si>
  <si>
    <t xml:space="preserve">Подписчики - 23.9 тыс, ежемесячный охват - 7 млн </t>
  </si>
  <si>
    <t>Суммарная аудитория (Инстаграм, ТикТок, YouTube, Telegram - 97 000 )</t>
  </si>
  <si>
    <t>2 инфлюенсера есть</t>
  </si>
  <si>
    <t>Гипотеза</t>
  </si>
  <si>
    <t>Главные ограничения</t>
  </si>
  <si>
    <t>Окончание</t>
  </si>
  <si>
    <t>Новый формат киношные ролики "Ситуативные ролики"</t>
  </si>
  <si>
    <t>Ср лайки, комментариев, охваты +15%</t>
  </si>
  <si>
    <t>Тайм-менеджмент, то что не успевают. Академ хочет съемку</t>
  </si>
  <si>
    <t>9 февраля</t>
  </si>
  <si>
    <t>17 февраля</t>
  </si>
  <si>
    <t>Прогрев к GeoCamp</t>
  </si>
  <si>
    <t>30-40 тыс охват в рилсах</t>
  </si>
  <si>
    <t xml:space="preserve">Тайм-менеджмент </t>
  </si>
  <si>
    <t>10 февраля</t>
  </si>
  <si>
    <t>21 февраля</t>
  </si>
  <si>
    <t>KR</t>
  </si>
  <si>
    <t>Партнер табу (мерч, ВУЗ (Шынгыс) -3-5 млн, канцтовары 1.5-3 млн, виньетка (Шынгыс) 1.5-3 млн, лента - 1.5-3 млн). Общая сумма - 10 млн тг.  Дать платную публикацию на такие СМИ как ZTB. Мерч дизайн, Марапаттау үздіктерді + боксы . Программа camp (Шынгыс)</t>
  </si>
  <si>
    <t xml:space="preserve">Охват в контенте ср рилс - 30-40К, 13-15 рилс до 25.02. UGC контент - 5 студент. СМИ (уточнить) -2 публикация. </t>
  </si>
  <si>
    <t>Шынгыс, Аружан, Айдана</t>
  </si>
  <si>
    <t>айына 2 СМИ публикация</t>
  </si>
  <si>
    <t xml:space="preserve">6 подкаст шығу (1 подкаст уже есть), </t>
  </si>
  <si>
    <t>Июнь</t>
  </si>
  <si>
    <t>Август</t>
  </si>
  <si>
    <t>Созвон с Куралай ханым по миссии и ценностям компании</t>
  </si>
  <si>
    <t>Назначить даты и время по проведению тренинга для топ и мидл менеджмента по миссиям компании</t>
  </si>
  <si>
    <t>11 февраля</t>
  </si>
  <si>
    <t>Куралай ханым</t>
  </si>
  <si>
    <t>KR-2 KR-4</t>
  </si>
  <si>
    <t>Тренинг по Эмоциональному интеллекту</t>
  </si>
  <si>
    <t>Активности для топ менеджмента для сплочения команды</t>
  </si>
  <si>
    <t>Cash Flow</t>
  </si>
  <si>
    <t>до 21 февраля</t>
  </si>
  <si>
    <t>KR-6</t>
  </si>
  <si>
    <t>Отдел маркетинга ДИ</t>
  </si>
  <si>
    <t>Прописанные ДИ и каждый знает чем он будет заниматься</t>
  </si>
  <si>
    <t>EXIT интервью</t>
  </si>
  <si>
    <t xml:space="preserve">Welcome kit </t>
  </si>
  <si>
    <t>Короткое описание</t>
  </si>
  <si>
    <t>Гипотеза (полное описание)</t>
  </si>
  <si>
    <t>Какой OKR достигаем</t>
  </si>
  <si>
    <t>Какой узелок / ограничение решаем</t>
  </si>
  <si>
    <t>Как поймем что достигли</t>
  </si>
  <si>
    <t>Метрика опровержения</t>
  </si>
  <si>
    <t>ЕСЛИ мы запустим SuperApp с 9 интегрированными сервисами, ТО увеличим MAU до 15 000 и станем лидером рынка, ПОТОМУ ЧТО пользователи получат единую экосистему для поступления</t>
  </si>
  <si>
    <t>MAU ≥ 15 000</t>
  </si>
  <si>
    <t>MAU &lt; 5 000</t>
  </si>
  <si>
    <t>ЕСЛИ мы внедрим подписочную модель, ТО увеличим LTV в 3 раза и стабилизируем выручку, ПОТОМУ ЧТО клиенты будут платить регулярно за доступ к экосистеме</t>
  </si>
  <si>
    <t>LTV рост ≥ 200%</t>
  </si>
  <si>
    <t>LTV рост &lt; 50%</t>
  </si>
  <si>
    <t>ЕСЛИ мы автоматизируем продажи через интеграцию с Kaspi, ТО решим проблему сезонных просадок марта-мая, ПОТОМУ ЧТО снизим порог входа и ускорим конверсию</t>
  </si>
  <si>
    <t>Конверсия ≥ 20%</t>
  </si>
  <si>
    <t>Конверсия &lt; 10%</t>
  </si>
  <si>
    <t>ЕСЛИ мы используем TikTok как основной канал привлечения А-сегмента, ТО получим рост лидов на 30%, ПОТОМУ ЧТО там находится наша целевая аудитория Gen Z</t>
  </si>
  <si>
    <t>Лиды рост ≥ 30%</t>
  </si>
  <si>
    <t>Лиды рост &lt; 10%</t>
  </si>
  <si>
    <t>ЕСЛИ мы запустим B2B направление для школ и образовательных центров, ТО удвоим среднегодовую выручку до ₸4 млрд, ПОТОМУ ЧТО получим новый крупный сегмент с высоким чеком</t>
  </si>
  <si>
    <t>Выручка B2B ≥ ₸1 млрд</t>
  </si>
  <si>
    <t>Выручка B2B &lt; ₸300 млн</t>
  </si>
  <si>
    <t>Франшизы в регионах</t>
  </si>
  <si>
    <t>ЕСЛИ мы запустим франшизную модель в регионах Казахстана, ТО увеличим охват в 3 раза без больших инвестиций, ПОТОМУ ЧТО масштабируемся через партнеров</t>
  </si>
  <si>
    <t>10 франшиз запущено</t>
  </si>
  <si>
    <t>&lt; 3 франшиз за год</t>
  </si>
  <si>
    <t>ЕСЛИ мы создадим премиум видеокурсы с экспертами ОРТ, ТО увеличим конверсию премиум сегмента на 15%, ПОТОМУ ЧТО создадим дополнительную ценность и доверие</t>
  </si>
  <si>
    <t>Конверсия премиум ≥ 25%</t>
  </si>
  <si>
    <t>Конверсия премиум &lt; 15%</t>
  </si>
  <si>
    <t>Физика, химия, IELTS</t>
  </si>
  <si>
    <t>ЕСЛИ мы расширим продуктовую линейку на физику, химию, биологию и IELTS, ТО увеличим общий TAM в 3 раза и диверсифицируем доходы, ПОТОМУ ЧТО захватим весь образовательный цикл старших классов</t>
  </si>
  <si>
    <t>TAM рост ≥ 200%</t>
  </si>
  <si>
    <t>TAM рост &lt; 100%</t>
  </si>
  <si>
    <t>Экспансия СНГ</t>
  </si>
  <si>
    <t>ЕСЛИ мы выйдем на рынки СНГ (Узбекистан, Кыргызстан), ТО увеличим студенческую базу до 50 000 учеников к 2030, ПОТОМУ ЧТО получим доступ к схожим образовательным системам с меньшей конкуренцией</t>
  </si>
  <si>
    <t>50K студентов СНГ</t>
  </si>
  <si>
    <t>&lt; 15K студентов СНГ</t>
  </si>
  <si>
    <t>31.12.2030</t>
  </si>
  <si>
    <t>ЕСЛИ мы создадим систему community management как ключевую компетенцию, ТО повысим retention на 40% и NPS до 95%, ПОТОМУ ЧТО студенты получат постоянную поддержку и мотивацию</t>
  </si>
  <si>
    <t>Retention ≥ 75% + NPS ≥ 95%</t>
  </si>
  <si>
    <t>Retention &lt; 60% или NPS &lt; 85%</t>
  </si>
  <si>
    <t>Турар</t>
  </si>
  <si>
    <t>ЕСЛИ мы внедрим принцип OKR-фокуса во все процессы компании, ТО повысим эффективность команды на 50%, ПОТОМУ ЧТО исключим непродуктивные активности</t>
  </si>
  <si>
    <t>Продуктивность +50%</t>
  </si>
  <si>
    <t>Продуктивность &lt; +20%</t>
  </si>
  <si>
    <t>ЕСЛИ мы создадим систему executive коучинга и поддержки лидерства, ТО улучшим eNPS до 95% и снизим текучку до 5%, ПОТОМУ ЧТО команда получит профессиональное развитие</t>
  </si>
  <si>
    <t>eNPS ≥ 95% + Текучка ≤ 5%</t>
  </si>
  <si>
    <t>eNPS &lt; 85% или Текучка &gt; 10%</t>
  </si>
  <si>
    <t>ЕСЛИ мы обязательно внедрим ChatGPT во все рабочие процессы, ТО повысим индивидуальную продуктивность на 30%, ПОТОМУ ЧТО автоматизируем рутинные задачи</t>
  </si>
  <si>
    <t>Продуктивность +30%</t>
  </si>
  <si>
    <t>Продуктивность &lt; +10%</t>
  </si>
  <si>
    <t>ЕСЛИ мы создадим детальную систему Balanced Scorecard с метриками по всем перспективам, ТО улучшим стратегическое управление и достижение финансовых целей на 25%, ПОТОМУ ЧТО получим комплексное понимание драйверов бизнеса</t>
  </si>
  <si>
    <t>Достижение финансовых целей 100%</t>
  </si>
  <si>
    <t>Достижение финансовых целей &lt; 85%</t>
  </si>
  <si>
    <t>ЕСЛИ упразднить должность исполнительного директора и создать Strategic Development Department ТО повысится эффективность на 15-20% ПОТОМУ ЧТО устранится дублирование функций и повысится скорость принятия решений</t>
  </si>
  <si>
    <t>Время принятия решений -30%, Устранение 5+ дублирующих функций</t>
  </si>
  <si>
    <t>Время решений без изменений, &lt; 3 функций устранено</t>
  </si>
  <si>
    <t>ЕСЛИ перейти от средних показателей к когортной юнит-экономике ТО точность управленческих решений повысится в 2-3 раза ПОТОМУ ЧТО финансы станут органом зрения стратегии</t>
  </si>
  <si>
    <t>Внедрение когортного анализа для 100% кампаний, ROMI-прогнозы с точностью 90%+</t>
  </si>
  <si>
    <t>Когортный анализ &lt; 70% кампаний, точность прогнозов &lt; 75%</t>
  </si>
  <si>
    <t>ЕСЛИ создать отдел заботы о клиентах вместо контроля качества ТО повысится лояльность поколения Z на 40% ПОТОМУ ЧТО данное поколение особенно чувствительно к качеству сервиса</t>
  </si>
  <si>
    <t>NPS среди Gen Z ≥ 85%, Retention Gen Z +35%</t>
  </si>
  <si>
    <t>NPS Gen Z &lt; 75%, Retention Gen Z +15%</t>
  </si>
  <si>
    <t>ЕСЛИ мы создадим премиальный VIP-пакет для А-сегмента клиентов, ТО увеличим ARPU на 40% и улучшим позиционирование, ПОТОМУ ЧТО А-сегмент готов инвестировать в качественное образование и персональный подход</t>
  </si>
  <si>
    <t>ARPU ≥ ₸280 000 (рост на 40%)</t>
  </si>
  <si>
    <t>ARPU &lt; ₸220 000 (рост &lt; 10%)</t>
  </si>
  <si>
    <t>ЕСЛИ мы масштабируем успешную географическую методику на все 5 предметов (физика, химия, биология, IELTS, математика), ТО увеличим TAM в 3 раза и получим средний балл ≥38 по всем предметам, ПОТОМУ ЧТО проверенная методика даст конкурентное преимущество во всех направлениях</t>
  </si>
  <si>
    <t>Запуск всех 5 предметов + средний балл ≥38</t>
  </si>
  <si>
    <t>Средний балл &lt;35 по новым предметам, запущено &lt;3 предметов</t>
  </si>
  <si>
    <t>ЕСЛИ мы сохраним нишевое позиционирование "эксперты географических комбинаций", ТО удержим лидерство в сегменте и получим 10% доли рынка, ПОТОМУ ЧТО 70% клиентов подтверждают правильность специализации</t>
  </si>
  <si>
    <t>Доля рынка ≥10% + сохранение премиум позиционирования</t>
  </si>
  <si>
    <t>Доля рынка &lt;7% или потеря премиум статуса</t>
  </si>
  <si>
    <t>ЕСЛИ мы запустим программу внутреннего предпринимательства для топ-менеджеров, ТО повысим eNPS на 20 пунктов, ПОТОМУ ЧТО сотрудники получат возможность реализации собственных идей</t>
  </si>
  <si>
    <t>eNPS +20 пунктов</t>
  </si>
  <si>
    <t>ЕСЛИ мы внедрим систему continuous feedback вместо годовых аттестаций, ТО улучшим производительность на 20%, ПОТОМУ ЧТО регулярная обратная связь эффективнее периодической</t>
  </si>
  <si>
    <t>Производительность +20%</t>
  </si>
  <si>
    <t>ЕСЛИ мы запустим программу внутреннего карьерного роста с четкими траекториями, ТО снизим текучку на 40%, ПОТОМУ ЧТО сотрудники будут видеть перспективы развития в компании</t>
  </si>
  <si>
    <t>Текучка -40%</t>
  </si>
  <si>
    <t>ЕСЛИ мы наймем CIO и техническую команду из 6 человек, ТО ускорим разработку в 3 раза, ПОТОМУ ЧТО профессиональная команда работает эффективнее</t>
  </si>
  <si>
    <t>Скорость разработки +200%</t>
  </si>
  <si>
    <t>ИИ-персонализация</t>
  </si>
  <si>
    <t>ЕСЛИ мы разработаем дополнительные ИИ-функции для персонализации (рекомендации, адаптивные тесты), ТО повысим пользовательский опыт и retention на 40%, ПОТОМУ ЧТО персонализированная помощь увеличивает вовлеченность</t>
  </si>
  <si>
    <t>Retention +40%</t>
  </si>
  <si>
    <t>ЕСЛИ мы создадим единую аналитическую платформу для всех процессов, ТО ускорим принятие решений в 2 раза, ПОТОМУ ЧТО данные будут доступны в реальном времени</t>
  </si>
  <si>
    <t>Скорость принятия решений +100%</t>
  </si>
  <si>
    <t>Мобайл с offline</t>
  </si>
  <si>
    <t>ЕСЛИ мы создадим мобильное приложение с offline режимом, ТО увеличим время использования на 40%, ПОТОМУ ЧТО студенты смогут учиться в любых условиях</t>
  </si>
  <si>
    <t>Время использования +40%</t>
  </si>
  <si>
    <t>ЕСЛИ мы создадим программу 'Рекордсмены' с индивидуальными планами для 30+ учеников, ТО получим 12/12 рекордсменов по комбинациям, ПОТОМУ ЧТО персонализированный подход дает максимальные результаты</t>
  </si>
  <si>
    <t>12 рекордсменов по комбинациям</t>
  </si>
  <si>
    <t>P2P обучение</t>
  </si>
  <si>
    <t>ЕСЛИ мы создадим систему peer-to-peer обучения между студентами, ТО повысим engagement на 25%, ПОТОМУ ЧТО социальное взаимодействие усиливает мотивацию</t>
  </si>
  <si>
    <t>Engagement +25%</t>
  </si>
  <si>
    <t>ЕСЛИ мы внедрим систему адаптивного обучения с ИИ-рекомендациями, ТО повысим результативность слабых студентов на 30%, ПОТОМУ ЧТО персонализированный подход компенсирует пробелы</t>
  </si>
  <si>
    <t>Результативность слабых студентов +30%</t>
  </si>
  <si>
    <t>ЕСЛИ мы создадим систему менторства с выпускниками-рекордсменами, ТО повысим мотивацию текущих студентов на 35%, ПОТОМУ ЧТО success stories вдохновляют и дают практические советы</t>
  </si>
  <si>
    <t>Мотивация студентов +35%</t>
  </si>
  <si>
    <t>ЕСЛИ мы внедрим инфлюенс-маркетинг с 3 типами блогеров (миллионники, мини-блогеры, opinion-лидеры), ТО получим 200K подписчиков и охват 10 млн, ПОТОМУ ЧТО таргетированное влияние эффективнее массовой рекламы</t>
  </si>
  <si>
    <t>200K подписчиков + 10М охват</t>
  </si>
  <si>
    <t>ЕСЛИ мы создадим креативный отдел маркетинга (продакшн), ТО повысим конверсию вебинаров в 2 раза, ПОТОМУ ЧТО профессиональный контент лучше удерживает внимание</t>
  </si>
  <si>
    <t>Конверсия вебинаров +100%</t>
  </si>
  <si>
    <t>ЕСЛИ мы запустим B2G2C воронки для работы со школами, ТО снизим CAC на 30%, ПОТОМУ ЧТО школы дают прямой доступ к целевой аудитории</t>
  </si>
  <si>
    <t>CAC снижение на 30%</t>
  </si>
  <si>
    <t>ЕСЛИ мы создадим амбассадорскую программу с годовыми контрактами, ТО получим 30% новых лидов от рефералов, ПОТОМУ ЧТО долгосрочные отношения эффективнее разовых</t>
  </si>
  <si>
    <t>30% лидов от амбассадоров</t>
  </si>
  <si>
    <t>ЕСЛИ мы запустим программу User Generated Content с поощрениями, ТО увеличим органический охват на 50%, ПОТОМУ ЧТО контент от пользователей воспринимается как более достоверный</t>
  </si>
  <si>
    <t>Органический охват +50%</t>
  </si>
  <si>
    <t>ЕСЛИ мы протестируем TikTok как приоритетный канал с выделенным бюджетом, ТО получим рост лидов Gen Z на 50%, ПОТОМУ ЧТО это основная платформа нашей целевой аудитории</t>
  </si>
  <si>
    <t>Лиды Gen Z +50%</t>
  </si>
  <si>
    <t>ЕСЛИ мы внедрим систему автоматизации административных процессов, ТО сократим время на рутину на 50%, ПОТОМУ ЧТО автоматизация освобождает время для стратегических задач</t>
  </si>
  <si>
    <t>Время на рутину -50%</t>
  </si>
  <si>
    <t>ЕСЛИ мы создадим оптимизированную структуру отдела продаж (closer/farmer + операционный менеджер), ТО увеличим конверсию до 20%, ПОТОМУ ЧТО специализация и поддержка повышают эффективность каждого этапа</t>
  </si>
  <si>
    <t>Конверсия 20%</t>
  </si>
  <si>
    <t>ЕСЛИ мы автоматизируем продажи через интеграцию с Kaspi Bank и внедрим новые скрипты с акцентом на боли клиента, ТО решим проблему сезонности продаж и увеличим конверсию до 22%, ПОТОМУ ЧТО упростим процесс покупки и улучшим качество работы с возражениями</t>
  </si>
  <si>
    <t>Стабильные продажи круглый год + конверсия 22%</t>
  </si>
  <si>
    <t>ЕСЛИ мы внедрим систему lead scoring и автоматизированную квалификацию, ТО повысим качество лидов и конверсию на 25%, ПОТОМУ ЧТО будем работать только с готовыми к покупке клиентами</t>
  </si>
  <si>
    <t>Конверсия квалифицированных лидов +25%</t>
  </si>
  <si>
    <t>ЕСЛИ проведём Customer Development интервью по 25-30 клиентов на сотрудника, ТО улучшим понимание потребностей и повысим конверсию на 15%, ПОТОМУ ЧТО глубокое понимание клиентов улучшает продажи</t>
  </si>
  <si>
    <t>Конверсия +15% от CD</t>
  </si>
  <si>
    <t>SuperApp 9/9</t>
  </si>
  <si>
    <t>ЕСЛИ мы разработаем полноценный SuperApp с 9/9 сервисами, ТО увеличим MAU до 15000 и удержание на 40%, ПОТОМУ ЧТО единая экосистема повышает вовлеченность</t>
  </si>
  <si>
    <t>MAU 15000 + Retention +40%</t>
  </si>
  <si>
    <t>ИИ-агент БарсГео</t>
  </si>
  <si>
    <t>ЕСЛИ мы создадим ИИ-агента БарсГеонлайн для персонализации обучения, ТО повысим retention до 70% и NPS до 90%, ПОТОМУ ЧТО каждый студент получит индивидуальную траекторию</t>
  </si>
  <si>
    <t>Retention ≥ 70% + NPS ≥ 90%</t>
  </si>
  <si>
    <t>ЕСЛИ мы внедрим комплексную систему тестирования (пробные тесты, генерация тестов, ежемесячный контроль прогресса), ТО увеличим количество тестирований до 15К в месяц и повысим средний балл до 38/50, ПОТОМУ ЧТО регулярная практика и удобные инструменты повышают активность и результаты</t>
  </si>
  <si>
    <t>15К тестов в месяц + средний балл 38/50</t>
  </si>
  <si>
    <t>ЕСЛИ мы внедрим систему геймификации и рейтингов, ТО повысим доходимость до ЕНТ до 80%, ПОТОМУ ЧТО игровые элементы увеличивают мотивацию учеников</t>
  </si>
  <si>
    <t>Доходимость до ЕНТ 80%</t>
  </si>
  <si>
    <t>ЕСЛИ мы внедрим автоподписку и подписочную модель, ТО увеличим LTV в 3 раза, ПОТОМУ ЧТО повторные платежи стабилизируют доходы</t>
  </si>
  <si>
    <t>LTV увеличение в 3 раза</t>
  </si>
  <si>
    <t>ЕСЛИ мы создадим детальную продуктовую линейку по месяцам с учетом академического календаря, ТО оптимизируем запуски и повысим конверсию на 15%, ПОТОМУ ЧТО своевременность критична в образовании</t>
  </si>
  <si>
    <t>Конверсия +15% на новые продукты</t>
  </si>
  <si>
    <t>ЕСЛИ мы интегрируем CRM систему в SuperApp, ТО повысим эффективность продаж на 30%, ПОТОМУ ЧТО менеджеры получат полную информацию о клиентах в едином интерфейсе</t>
  </si>
  <si>
    <t>Эффективность продаж +30%</t>
  </si>
  <si>
    <t>ЕСЛИ мы внедрим управленческую отчетность и контроль юнит-экономики, ТО достигнем рентабельности 30-35%, ПОТОМУ ЧТО data-driven управление снижает неэффективные расходы</t>
  </si>
  <si>
    <t>EBITDA 30-35%</t>
  </si>
  <si>
    <t>ЕСЛИ мы внедрим систему прогнозирования cash flow на базе когортной аналитики, ТО повысим точность планирования до 95%, ПОТОМУ ЧТО понимание поведения когорт дает предсказуемость доходов</t>
  </si>
  <si>
    <t>Точность прогнозов 95%</t>
  </si>
  <si>
    <t>ЕСЛИ мы создадим систему динамического ценообразования на основе спроса, ТО увеличим прибыльность на 15%, ПОТОМУ ЧТО сможем максимизировать выручку в периоды высокого спроса</t>
  </si>
  <si>
    <t>Прибыльность +15%</t>
  </si>
  <si>
    <t>№</t>
  </si>
  <si>
    <t>Ограничение / узелок</t>
  </si>
  <si>
    <t>Тип ограничения (TOC)</t>
  </si>
  <si>
    <t>TOC Score (%)</t>
  </si>
  <si>
    <t>Системное влияние</t>
  </si>
  <si>
    <t>Цепная реакция</t>
  </si>
  <si>
    <t>Частота</t>
  </si>
  <si>
    <t>Перегрузка</t>
  </si>
  <si>
    <t>Явные указания</t>
  </si>
  <si>
    <t>Контекст</t>
  </si>
  <si>
    <t>Топ-решение</t>
  </si>
  <si>
    <t>Источник</t>
  </si>
  <si>
    <t>Упоминаний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</si>
  <si>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</si>
  <si>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</si>
  <si>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</si>
  <si>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</si>
  <si>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</si>
  <si>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</si>
  <si>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</si>
  <si>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</si>
  <si>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</si>
  <si>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</si>
  <si>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</si>
  <si>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</si>
  <si>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🔴</t>
  </si>
  <si>
    <t>25-30 часов на ручные операции, команда несамостоятельна, при попытках делегировать проваливались</t>
  </si>
  <si>
    <t>Нанять HR-специалиста; Внедрить трекеров для топ-менеджеров; Развивать топ-менеджеров через обучение</t>
  </si>
  <si>
    <t>Geonline raw транскрипт установочного звонка 04 августа.md</t>
  </si>
  <si>
    <t>Все ключевые решения и знания в одном человеке, риск при масштабировании</t>
  </si>
  <si>
    <t>Развитие топ-менеджеров через делегирование; Документирование процессов и знаний; Создать систему принятия решений без собственника</t>
  </si>
  <si>
    <t>Дамир Geonline raw Deepgram транскрипция стратегической сессии собственника 07 августа 2025.md</t>
  </si>
  <si>
    <t>4 месяца пиковых, 4 средних, 4 месяца почти в ноль (декабрь, апрель-июнь). Фикс. расходы ~35%</t>
  </si>
  <si>
    <t>Распределить крупные расходы по месяцам; Привлечь спонсоров; Создать финансовую подушку; Запустить доп. продукты для десятиклассников</t>
  </si>
  <si>
    <t>Geonline raw транскрипт yandex стратегической сессии 27 сентября 2025 1 из 6.md</t>
  </si>
  <si>
    <t>🟡</t>
  </si>
  <si>
    <t>Покупают один раз и уходят. Нет второй/третьей продуктовой линейки. LTV = средний чек 200 тыс</t>
  </si>
  <si>
    <t>Создать SuperApp с дополнительными продуктами; Разработать продукты для студентов (английский, IELTS); Реферальная система; Платформа для других экспертов</t>
  </si>
  <si>
    <t>Geonline raw транскрипт firefly стратегической сессии 27 сентября 2025 5 из 6.md</t>
  </si>
  <si>
    <t>Несистемный найм и адаптация. Молодая команда (19-23 года). Каждый руководитель сам нанимал</t>
  </si>
  <si>
    <t>Нанять HR-специалиста/кадровика; Систематизировать процессы найма и адаптации; Создать документацию и регламенты; Трекеры для развития</t>
  </si>
  <si>
    <t>Отсутствие чёткой финансовой модели, dashboards, прогнозирования. Недостаточно компетенций финансового менеджера</t>
  </si>
  <si>
    <t>Нанять финансового трекера для развития фин. менеджера; Создать финансовые dashboards; Внедрить OKR с метриками; Автоматизировать отчётность</t>
  </si>
  <si>
    <t>Geonline raw deepgram транскрипт стратегической сессии 13 августа 2025.md</t>
  </si>
  <si>
    <t>Проблема масштабирования при сохранении качества</t>
  </si>
  <si>
    <t>Риск падения качества и NPS при росте в 2 раза до 8000 учеников</t>
  </si>
  <si>
    <t>Автоматизация через платформу для снижения нагрузки на кураторов; Увеличить нагрузку на куратора с 46-48 до 60-70 через автоматизацию; Стандартизация процессов</t>
  </si>
  <si>
    <t>Geonline raw транскрипт стратегической сессии 05 сентября.md</t>
  </si>
  <si>
    <t>CAC ~23000 тг при чеке 200000 (11.5%). TikTok неэффективен. 40% Instagram, 30% сарафан</t>
  </si>
  <si>
    <t>Усилить органический контент и сарафанное радио; Оптимизировать расходы на платную рекламу; Внедрить реферальную программу; Фокус на контент-маркетинг</t>
  </si>
  <si>
    <t>Сложность автоматизации и разработки платформы</t>
  </si>
  <si>
    <t>Потрачено ~20 млн тенге. Нет понимания кого нанимать в техкоманду, как выстроить процессы разработки</t>
  </si>
  <si>
    <t>Провести стратсессию по SuperApp; Создать бизнес-модель платформы; Определить MVP; Нанять Product Manager; Собрать техкоманду (frontend, backend)</t>
  </si>
  <si>
    <t>Geonline raw транскрипт firefly стратегической сессии 27 сентября 2025 6 из 6.md</t>
  </si>
  <si>
    <t>Недостаточная стандартизация в отделе продаж</t>
  </si>
  <si>
    <t>Отсутствие регламентов, распределения обязанностей, CRM не настроена для работы с двумя продуктами</t>
  </si>
  <si>
    <t>Прописать регламенты работы для всех ролей; Распределить обязанности между Rob, Tim Lead и менеджерами; Настроить CRM; Система обучения новых сотрудников</t>
  </si>
  <si>
    <t>Geonline raw транскрипт firefly стратегической сессии 27 сентября 2025 4 из 6.md</t>
  </si>
  <si>
    <t>Амбициозная цель роста без детального плана</t>
  </si>
  <si>
    <t>Цель 1.5 млрд за учебный год (2x рост), но недостаточно детального плана и метрик</t>
  </si>
  <si>
    <t>Детализировать цели по месяцам и направлениям; Внедрить OKR с ключевыми метриками; Создать финансовую модель с прогнозами; Еженедельный трекинг</t>
  </si>
  <si>
    <t>Geonline raw  deepgram транскрипт стратегической сессии 12 августа 2025.md</t>
  </si>
  <si>
    <t>⚪</t>
  </si>
  <si>
    <t>Эксперты не могут отделить личную ценность от ценности продукта, что мешает гибкому ценообразованию</t>
  </si>
  <si>
    <t>Обучение команды различать ценность и цену; Фокус на ценности для клиента; Анализ конкурентов; Упаковка через результаты; Механистический подход</t>
  </si>
  <si>
    <t>Сложность в привлечении десятиклассников, которые не понимают необходимость ранней подготовки. Слабый сезон декабрь, апрель-май</t>
  </si>
  <si>
    <t>Разработать спец. продукты для десятиклассников; Усилить маркетинг на раннюю подготовку; Программа лояльности; Работа со школами; Интенсивы в слабые месяцы</t>
  </si>
  <si>
    <t>Отсутствие роли для описания, стандартизации и оптимизации бизнес-процессов. ~80 процессов не описаны</t>
  </si>
  <si>
    <t>Нанять специалиста по бизнес-процессам; Описать и стандартизировать ключевые процессы; Внедрить систему управления процессами; Создать библиотеку регламентов</t>
  </si>
  <si>
    <t>Постоянная перегрузка работой, сложность балансирования между работой, здоровьем, семьёй</t>
  </si>
  <si>
    <t>Делегирование операционных задач топ-менеджерам; Найм HR и ключевых специалистов; Автоматизация; Установка личных границ; Работа с коучем</t>
  </si>
  <si>
    <t>Нет специалиста для системного создания и развития продуктовой линейки</t>
  </si>
  <si>
    <t>Нанять Product Manager; Создать продуктовую стратегию; Разработать roadmap новых продуктов; Внедрить процесс product development; Тестировать гипотезы</t>
  </si>
  <si>
    <t>Несоответствие маркетинговых обещаний и продукта</t>
  </si>
  <si>
    <t>Риск того, что маркетинг обещает одно, а продукт/академия поставляет другое</t>
  </si>
  <si>
    <t>Синхронизация маркетинга и академической части; Регулярные встречи между отделами; Тестирование обещаний; Корректировка сообщений; Единый CJM</t>
  </si>
  <si>
    <t>Geonline raw транскрипт стратегической сессии 04 сентября финансы.md</t>
  </si>
  <si>
    <t>30% клиентов приходит по рекомендациям, но нет системной работы с этим каналом</t>
  </si>
  <si>
    <t>Создать структурированную реферальную программу с бонусами; Автоматизировать трекинг; Стимулировать амбассадоров; Контент для шеринга; Работа с отзывами</t>
  </si>
  <si>
    <t>Низкий барьер входа на рынок онлайн-образования</t>
  </si>
  <si>
    <t>Появление множества конкурентов, рынок становится более конкурентным, старые преимущества ослабевают</t>
  </si>
  <si>
    <t>Усиление бренда через PR и контент; Фокус на результатах (40+ баллов у каждого третьего); Развитие SuperApp как экосистемы; Партнёрства со школами; Уникальная методология</t>
  </si>
  <si>
    <t>Отсутствие гипотезно-ориентированной культуры</t>
  </si>
  <si>
    <t>Команда делает утверждения вместо формулирования гипотез, которые нужно проверять через CustDev</t>
  </si>
  <si>
    <t>Внедрить культуру гипотез и экспериментов; Регулярные CustDev сессии; Формализация процесса тестирования гипотез; Обучение Lean Startup; Backlog гипотез</t>
  </si>
  <si>
    <t>Проблема с профориентацией учеников</t>
  </si>
  <si>
    <t>Ученики не всегда правильно выбирают профильные предметы, даже с хорошими баллами не поступают на грант</t>
  </si>
  <si>
    <t>Добавить профориентацию как отдельный продукт; Партнёрство с психологами-профориентологами; Консультации по выбору комбинации предметов; Тестирование склонностей; Работа с родителями</t>
  </si>
  <si>
    <t>Устаревшая программа университетов vs рынок</t>
  </si>
  <si>
    <t>Программы ВУЗов не успевают за изменениями в бизнесе, что создаёт возможность для новых продуктов</t>
  </si>
  <si>
    <t>Создать курсы для студентов по современным навыкам; Партнёрство с университетами; Онлайн-курсы по soft skills; Программы по актуальным компетенциям (time/people/process management)</t>
  </si>
  <si>
    <t>🎯 GEONLINE: ВСЕ OKR НА 2-ОЕ ПОЛУГОДИЕ 2026</t>
  </si>
  <si>
    <t>📅 Период:</t>
  </si>
  <si>
    <t>Февраль - Июнь 2026</t>
  </si>
  <si>
    <t>🎯 Главная цель:</t>
  </si>
  <si>
    <t>₸2.0 млрд выручка, 10,000 учеников, 30% EBITDA</t>
  </si>
  <si>
    <t>👥 Участников:</t>
  </si>
  <si>
    <t>9 топ-менеджеров</t>
  </si>
  <si>
    <t>📋 Всего OKR:</t>
  </si>
  <si>
    <t>11 каскадированных OKR</t>
  </si>
  <si>
    <t>👥 РАСПРЕДЕЛЕНИЕ OKR ПО УЧАСТНИКАМ</t>
  </si>
  <si>
    <t>Участник</t>
  </si>
  <si>
    <t>Должность</t>
  </si>
  <si>
    <t>BSC</t>
  </si>
  <si>
    <t>Ответственность</t>
  </si>
  <si>
    <t>Количество KR</t>
  </si>
  <si>
    <t>OKR-1, OKR-4, OKR-11</t>
  </si>
  <si>
    <t>CFO</t>
  </si>
  <si>
    <t>Финансы</t>
  </si>
  <si>
    <t>OKR-7</t>
  </si>
  <si>
    <t>CPO</t>
  </si>
  <si>
    <t>OKR-3, OKR-4</t>
  </si>
  <si>
    <t>Продажи</t>
  </si>
  <si>
    <t>OKR-2</t>
  </si>
  <si>
    <t>Маркетинг</t>
  </si>
  <si>
    <t>OKR-5</t>
  </si>
  <si>
    <t>Контент</t>
  </si>
  <si>
    <t>OKR-6</t>
  </si>
  <si>
    <t>Академия</t>
  </si>
  <si>
    <t>OKR-8</t>
  </si>
  <si>
    <t>HR</t>
  </si>
  <si>
    <t>OKR-HR-9</t>
  </si>
  <si>
    <t>PR</t>
  </si>
  <si>
    <t>OKR-PR-10</t>
  </si>
  <si>
    <t>📋 ДЕТАЛЬНЫЙ СПИСОК ВСЕХ OKR И KEY RESULTS</t>
  </si>
  <si>
    <t>№ KR</t>
  </si>
  <si>
    <t>Ключевой результат</t>
  </si>
  <si>
    <t>Текущий статус</t>
  </si>
  <si>
    <t>Целевая метрика</t>
  </si>
  <si>
    <t>1.1</t>
  </si>
  <si>
    <t>4 из 6</t>
  </si>
  <si>
    <t>6 из 6</t>
  </si>
  <si>
    <t>1.2</t>
  </si>
  <si>
    <t>1.3</t>
  </si>
  <si>
    <t>1.4</t>
  </si>
  <si>
    <t>2026-03-03 00:00:00</t>
  </si>
  <si>
    <t>1.5</t>
  </si>
  <si>
    <t>1.6</t>
  </si>
  <si>
    <t>11.1</t>
  </si>
  <si>
    <t>11.3</t>
  </si>
  <si>
    <t>2.1</t>
  </si>
  <si>
    <t>4200</t>
  </si>
  <si>
    <t>10000</t>
  </si>
  <si>
    <t>2.2</t>
  </si>
  <si>
    <t>0.133</t>
  </si>
  <si>
    <t>0.2</t>
  </si>
  <si>
    <t>2.3</t>
  </si>
  <si>
    <t>2.4</t>
  </si>
  <si>
    <t>3.1</t>
  </si>
  <si>
    <t>3.2</t>
  </si>
  <si>
    <t>3.3</t>
  </si>
  <si>
    <t>3.4</t>
  </si>
  <si>
    <t>3.5</t>
  </si>
  <si>
    <t>2026-09-07 00:00:00</t>
  </si>
  <si>
    <t>2026-09-09 00:00:00</t>
  </si>
  <si>
    <t>4.1</t>
  </si>
  <si>
    <t>4.2</t>
  </si>
  <si>
    <t>4.3</t>
  </si>
  <si>
    <t>5.1</t>
  </si>
  <si>
    <t>5.2</t>
  </si>
  <si>
    <t>5.3</t>
  </si>
  <si>
    <t>5.4</t>
  </si>
  <si>
    <t>5.5</t>
  </si>
  <si>
    <t>6.1</t>
  </si>
  <si>
    <t>6.2</t>
  </si>
  <si>
    <t>6.3</t>
  </si>
  <si>
    <t>6.4</t>
  </si>
  <si>
    <t>7.1</t>
  </si>
  <si>
    <t>7.2</t>
  </si>
  <si>
    <t>7.3</t>
  </si>
  <si>
    <t>7.4</t>
  </si>
  <si>
    <t>нет резервов, есть кассовый разрыв на 100 млн тг. В течении след 6 месяцев мы не можем сформировать резервный фонд</t>
  </si>
  <si>
    <t>7.5</t>
  </si>
  <si>
    <t>7.6</t>
  </si>
  <si>
    <t>8.1</t>
  </si>
  <si>
    <t>8.2</t>
  </si>
  <si>
    <t>2026-12-02 00:00:00</t>
  </si>
  <si>
    <t>8.3</t>
  </si>
  <si>
    <t>135</t>
  </si>
  <si>
    <t>8.4</t>
  </si>
  <si>
    <t>0.96</t>
  </si>
  <si>
    <t>8.5</t>
  </si>
  <si>
    <t>8.6</t>
  </si>
  <si>
    <t>8.7</t>
  </si>
  <si>
    <t>8.8</t>
  </si>
  <si>
    <t xml:space="preserve">OKR-PR-10: </t>
  </si>
  <si>
    <t>PR-10.1</t>
  </si>
  <si>
    <t>PR-10.2</t>
  </si>
  <si>
    <t>PR-10.3</t>
  </si>
  <si>
    <t>PR-10.4</t>
  </si>
  <si>
    <t>PR-10.5</t>
  </si>
  <si>
    <t xml:space="preserve">OKR-HR-9: </t>
  </si>
  <si>
    <t>HR-9.1</t>
  </si>
  <si>
    <t>HR-9.2</t>
  </si>
  <si>
    <t>HR-9.3</t>
  </si>
  <si>
    <t>HR-9.4</t>
  </si>
  <si>
    <t>0.66</t>
  </si>
  <si>
    <t>0.8</t>
  </si>
  <si>
    <t>HR-9.5</t>
  </si>
  <si>
    <t>HR-9.6</t>
  </si>
  <si>
    <t>HR-9.7</t>
  </si>
  <si>
    <t>📊 ЕЖЕНЕДЕЛЬНЫЙ ТРЕКИНГ: Самарханов Дамир</t>
  </si>
  <si>
    <t>Должность:</t>
  </si>
  <si>
    <t>BSC-категория:</t>
  </si>
  <si>
    <t>Ответственность:</t>
  </si>
  <si>
    <t>Период:</t>
  </si>
  <si>
    <t>Последняя встреча:</t>
  </si>
  <si>
    <t>25 февраля 2026</t>
  </si>
  <si>
    <t>Следующая встреча:</t>
  </si>
  <si>
    <t>03 марта  2026</t>
  </si>
  <si>
    <t>🎯 ПАНЕЛЬ OKR: КЛЮЧЕВЫЕ РЕЗУЛЬТАТЫ</t>
  </si>
  <si>
    <t>Краткое название</t>
  </si>
  <si>
    <t>Прогресс</t>
  </si>
  <si>
    <t>Комментарий</t>
  </si>
  <si>
    <t>6 ключевых ролей</t>
  </si>
  <si>
    <t>≥50% автоматизировано</t>
  </si>
  <si>
    <t>Сформирована орг структура</t>
  </si>
  <si>
    <t>Ключевые учителя (химия, құқық,</t>
  </si>
  <si>
    <t>Разработана, прописана внедрена</t>
  </si>
  <si>
    <t>Команда синхронизирована</t>
  </si>
  <si>
    <t>100 грантов и</t>
  </si>
  <si>
    <t>Сервис «Пробные тесты» успешно</t>
  </si>
  <si>
    <t>100% внутренних грантов GeOnline</t>
  </si>
  <si>
    <t>Запуск мини продуктов (книги)</t>
  </si>
  <si>
    <t>Заключены партнёрства 3 более</t>
  </si>
  <si>
    <t>⚡ АКТИВНЫЙ ТРЕКИНГ ИНИЦИАТИВ</t>
  </si>
  <si>
    <t>Связь KR</t>
  </si>
  <si>
    <t>Инициатива</t>
  </si>
  <si>
    <t>Неделя 1</t>
  </si>
  <si>
    <t>Неделя 2</t>
  </si>
  <si>
    <t>Неделя 3</t>
  </si>
  <si>
    <t>Неделя 4</t>
  </si>
  <si>
    <t>Комментарии</t>
  </si>
  <si>
    <t>🔬 ГИПОТЕЗА</t>
  </si>
  <si>
    <t>📦 ПРОЕКТ</t>
  </si>
  <si>
    <t>📌 ЗАДАЧА</t>
  </si>
  <si>
    <t>💡 ИДЕЯ</t>
  </si>
  <si>
    <t>💡 БЭКЛОГ: ИДЕИ И ГИПОТЕЗЫ НА БУДУЩЕЕ</t>
  </si>
  <si>
    <t>Идея/Гипотеза</t>
  </si>
  <si>
    <t>Потенциальная связь с KR</t>
  </si>
  <si>
    <t>Дата добавления</t>
  </si>
  <si>
    <t>📚 ЛЕГЕНДА РАБОТЫ С ТРЕКИНГ-ЛИСТОМ</t>
  </si>
  <si>
    <t>🎯 ТИПЫ ИНИЦИАТИВ:</t>
  </si>
  <si>
    <t>Четкое действие, 30 мин - 2 часа, есть срок и ответственный</t>
  </si>
  <si>
    <t>Группа задач, решили делать, есть план и декомпозиция</t>
  </si>
  <si>
    <t>Решили делать, но не знаем как. Требует согласования</t>
  </si>
  <si>
    <t>Еще не решили делать. Обсуждается как возможность</t>
  </si>
  <si>
    <t>📊 СТАТУСЫ ПРОГРЕССА:</t>
  </si>
  <si>
    <t>🟢 На треке</t>
  </si>
  <si>
    <t>≥80% прогресса к дедлайну</t>
  </si>
  <si>
    <t>🟡 Риск</t>
  </si>
  <si>
    <t>50-79% прогресса, требует внимания</t>
  </si>
  <si>
    <t>🔴 Блокер</t>
  </si>
  <si>
    <t>&lt;50% прогресса, критическая проблема</t>
  </si>
  <si>
    <t>✅ Выполнено</t>
  </si>
  <si>
    <t>Завершено успешно</t>
  </si>
  <si>
    <t>🔄 В работе</t>
  </si>
  <si>
    <t>Активно выполняется</t>
  </si>
  <si>
    <t>⏸️ На паузе</t>
  </si>
  <si>
    <t>Временно приостановлено</t>
  </si>
  <si>
    <t>⚠️ Требует решения</t>
  </si>
  <si>
    <t>Блокер или нужно решение руководства</t>
  </si>
  <si>
    <t>💭 Обсуждается</t>
  </si>
  <si>
    <t>В процессе согласования</t>
  </si>
  <si>
    <t>🔮 Бэклог</t>
  </si>
  <si>
    <t>В списке на будущее</t>
  </si>
  <si>
    <t>⚡ ПРАВИЛА РАБОТЫ:</t>
  </si>
  <si>
    <t>1.</t>
  </si>
  <si>
    <t>Еженедельное обновление каждый понедельник</t>
  </si>
  <si>
    <t>2.</t>
  </si>
  <si>
    <t>Обсуждение на трекшн-встрече (15-30 мин)</t>
  </si>
  <si>
    <t>3.</t>
  </si>
  <si>
    <t>Фокус на 3-5 активных инициативах максимум</t>
  </si>
  <si>
    <t>4.</t>
  </si>
  <si>
    <t>Приоритет: ЗАДАЧИ → ПРОЕКТЫ → ГИПОТЕЗЫ → ИДЕИ</t>
  </si>
  <si>
    <t>🎨 ЦВЕТА BSC:</t>
  </si>
  <si>
    <t>🎯 Команда</t>
  </si>
  <si>
    <t>Синий (#4472C4)</t>
  </si>
  <si>
    <t>⚙️ Процессы</t>
  </si>
  <si>
    <t>Оранжевый (#ED7D31)</t>
  </si>
  <si>
    <t>🎓 Клиенты</t>
  </si>
  <si>
    <t>Зеленый (#70AD47)</t>
  </si>
  <si>
    <t>💰 Финансы</t>
  </si>
  <si>
    <t>Фиолетовый (#9E480E)</t>
  </si>
  <si>
    <t>📊 ЕЖЕНЕДЕЛЬНЫЙ ТРЕКИНГ: Жүсіпбек Мерей</t>
  </si>
  <si>
    <t>• Антикризисный план утверждён: сокращение до 50 млн тг/мес на март
• Power BI: Академия доработана, маркетинг (Айбол) — в ожидании
• Платёжный календарь по 13 марта составлен полностью
• Гипотеза: делегировать мелкие оплаты ответственному лицу
• Спрогнозировать CAC на март совместно с Айболом — срок 5 марта</t>
  </si>
  <si>
    <t>4 марта 2026</t>
  </si>
  <si>
    <t>• Финальная сверка Power BI (финансы + ОП + академия)
• Варианты снижения себестоимости с 42% до 37%
• Статус нового дополнительного продукта (карта/учебник)
• Прогноз CAC на март с Айболом</t>
  </si>
  <si>
    <t>Внедрены Power BI-дашборды</t>
  </si>
  <si>
    <t>On track</t>
  </si>
  <si>
    <t>Разработать внедрить систему</t>
  </si>
  <si>
    <t>Выполнено</t>
  </si>
  <si>
    <t>на этот учебный год есть, на 2026-27 еще  нет</t>
  </si>
  <si>
    <t>уменьшение Доли постоянных</t>
  </si>
  <si>
    <t>32% (июль-декабрь), февраль, март, апрель, май прогноз 50%</t>
  </si>
  <si>
    <t>Опаздываем</t>
  </si>
  <si>
    <t>Обеспечить достаточный оборотный</t>
  </si>
  <si>
    <t>Перенесли</t>
  </si>
  <si>
    <t>EBITDA</t>
  </si>
  <si>
    <t>Контроль САС уровне 25</t>
  </si>
  <si>
    <t>Мы не умеем правильно ставить план / прогнозировать</t>
  </si>
  <si>
    <t>Неделя 5</t>
  </si>
  <si>
    <t>7.3, 7.5</t>
  </si>
  <si>
    <t>Разработать и согласовать антикризисный план с CEO</t>
  </si>
  <si>
    <t>15 февраля 2026</t>
  </si>
  <si>
    <t>Старт: 11-12 февраля. Пошаговые действия задокументировать, обсудить и утвердить с CEO. Связь: KR-3 (постоянные расходы), KR-5 (EBITDA).</t>
  </si>
  <si>
    <t>Доработать Power BI дашборды для Академии и Маркетинга</t>
  </si>
  <si>
    <t>1 марта 2026 +1 неделя (до 15 марта)</t>
  </si>
  <si>
    <t>В процессе</t>
  </si>
  <si>
    <t>Финансы , ОП, Академ уже готовы. Нужна помощь: Айбол (Маркетинг).</t>
  </si>
  <si>
    <t>Айбол не дал ТЗ.</t>
  </si>
  <si>
    <t>Найти варианты снижения себестоимости с 42% до 37% за 6 месяцев</t>
  </si>
  <si>
    <t>1 марта 2026</t>
  </si>
  <si>
    <t>⏸️ Не начато</t>
  </si>
  <si>
    <t>Гипотеза: если себестоимость снизить с 42% до 37% и удерживать 6 мес — это позволит увеличить EBITDA. Нужна помощь CEO.</t>
  </si>
  <si>
    <t>Новый дополнительный продукт для закрытия минусов в слабые месяца (карта и учебник)</t>
  </si>
  <si>
    <t>Обсуждается</t>
  </si>
  <si>
    <t>Метрика: чистыми 5 млн тг от нового продукта. Нужна синхронизация с Шынгысом (CPO), Айболом (Маркетинг), CEO.</t>
  </si>
  <si>
    <t>На 10 марта подготовить</t>
  </si>
  <si>
    <t>Уточнить ответственных у СЕО</t>
  </si>
  <si>
    <t>Составлен платежной календарь на март</t>
  </si>
  <si>
    <t>Если мы передадим мелкие оплаты (определить сумму) другому ответственному лицу, мы освободим время СЕО, ускорим оплаты</t>
  </si>
  <si>
    <t>Начать с 10 марта</t>
  </si>
  <si>
    <t>Спрогнозировать САС на март с Айболом + зафексировать план по лидам</t>
  </si>
  <si>
    <t>до 5 марта</t>
  </si>
  <si>
    <t>до 10 марта</t>
  </si>
  <si>
    <t>Если СЕО с финансистом сделает собрание для ТОП менеджеров и открыто донесут причины текущего кассового разрыва, поделится мерами устранения кассового разрыва, то это поможет 1) снизить риск возникновения КР в след году 2) показать прозразчность взаимосвязи между сотрудниками и сплотить команду 3) сформировать привычку бережливого отношения к денежным ресурсам компаний</t>
  </si>
  <si>
    <t>BL-1</t>
  </si>
  <si>
    <t>Внедрить систему бюджетирования с горизонтом 12 мес (помесячно)</t>
  </si>
  <si>
    <t>Высокий</t>
  </si>
  <si>
    <t>12.02.2026</t>
  </si>
  <si>
    <t>BL-2</t>
  </si>
  <si>
    <t>Контроль CAC совместно с маркетингом: раздельный учёт по каналам</t>
  </si>
  <si>
    <t>BL-3</t>
  </si>
  <si>
    <t>Формирование резервного оборотного капитала на 2-3 месяца</t>
  </si>
  <si>
    <t>Финансист шығындардың орынсыз немесе орынды болуын нақтырақ айта алады, егер СЕО шешімдерді финансистпен бірге  ақылдасып, қабылдаса(KPI т.б мәселелер)</t>
  </si>
  <si>
    <t>High</t>
  </si>
  <si>
    <t>18.02.2026</t>
  </si>
  <si>
    <t>Регулярно раз  в 3 месяца анализировать результаты сотрудников по KPI системе и делать выводы. Это нам даст выяснить работает ли система мотивации должным образом, своевременно подкорректировать, тем самым достичь годовых планов</t>
  </si>
  <si>
    <t>7.3, 7.5, 7.6</t>
  </si>
  <si>
    <t>Medium</t>
  </si>
  <si>
    <t>📊 ЕЖЕНЕДЕЛЬНЫЙ ТРЕКИНГ: Тоқтағазинов Шыңғыс</t>
  </si>
  <si>
    <t>• Внутреннее тестирование тренажёров (7 чел.) и пробных тестов (40 чел.) завершено
• Найдено 2–3 крупных бага — исправление до внешнего анонса
• Маркетинговое исследование для SuperApp: заказано у Айдара
• CRM-интеграция: синхронизация с отделом маркетинга и ОП
• Стратегия SuperApp 1–3 года — в разработке, фокус на март</t>
  </si>
  <si>
    <t>2 марта 2026</t>
  </si>
  <si>
    <t>• Анонс пробных тестов (видео-туториал от маркетинга)
• Результаты маркетингового исследования от Айдара
• Статус документа стратегии SuperApp
• Прогресс CRM-интеграции</t>
  </si>
  <si>
    <t>Разработана реализуется</t>
  </si>
  <si>
    <t>сдвинуть дату на апрель-май, чтобы провести качественное маркетинг исследование</t>
  </si>
  <si>
    <t>Достигнуты показатели активности:</t>
  </si>
  <si>
    <t>11 тыс Уникальных пользователей
6 459 MAU
2 187DAU</t>
  </si>
  <si>
    <t>Пользователями пройдено 10 000+</t>
  </si>
  <si>
    <t>1000 / 10 000</t>
  </si>
  <si>
    <t>IT-команда выполнила</t>
  </si>
  <si>
    <t>2 гранта отдали уже</t>
  </si>
  <si>
    <t>Запустить внутреннее тестирование тренажёра и пробных тестов</t>
  </si>
  <si>
    <t>Тоқтағазинов</t>
  </si>
  <si>
    <t>февраль 2026</t>
  </si>
  <si>
    <t>App Store заморозил обновление (~10 дней). Письма написаны. После апрува — freтрайл для учеников.</t>
  </si>
  <si>
    <t>Рефакторинг кода и архитектуры IT-команды под нагрузку 50 000 пользователей</t>
  </si>
  <si>
    <t>Бюджет февраль: 2,846,000 тг. Код переписывается под масштаб. Advisory board — бывшие разработчики Amazon.</t>
  </si>
  <si>
    <t>Купить готовое решение для флеш-карт/квизов вместо разработки</t>
  </si>
  <si>
    <t>7 из 9 сервисов запущены. Готовые решения есть за 2-3 млн. Нужен анализ рынка.</t>
  </si>
  <si>
    <t>Разработать документ стратегии SuperApp на 1-3 года</t>
  </si>
  <si>
    <t>KR2 (50к регистраций) созависим с QR4 (пробные тесты в школах). Стратегия нужна до масштабирования.</t>
  </si>
  <si>
    <t>B2G воронка для партнёрства со школами: звонки администрации + мини колл-центр</t>
  </si>
  <si>
    <t>апрель-май 2026</t>
  </si>
  <si>
    <t>1613 школ в Казахстане. Пилот в 20 школах подтвердит гипотезу лидогенерации через freтрайл.</t>
  </si>
  <si>
    <t>Промокоды для 20 инфлюенс-амбассадоров для отслеживания конверсии по каналам</t>
  </si>
  <si>
    <t>❌ Отменено</t>
  </si>
  <si>
    <t>От ОМ список инфлюенсеров, с которыми мы работаем</t>
  </si>
  <si>
    <t>Редизайн приложения. UX аудит</t>
  </si>
  <si>
    <t>до конца февраля</t>
  </si>
  <si>
    <t>UX аудит прошел, результат - раставлены приоритеты для дальнейшего постепенного редизайна</t>
  </si>
  <si>
    <t>Разработка маркетинг плана SuperApp</t>
  </si>
  <si>
    <t>АМО CRM интегрировать в систему GeOnline</t>
  </si>
  <si>
    <t>Стратегия разработки на март</t>
  </si>
  <si>
    <t>Утвердить макеты направления редизайна UI дизайн</t>
  </si>
  <si>
    <t>2-8.03</t>
  </si>
  <si>
    <t>Контроль анонса в департаментах</t>
  </si>
  <si>
    <t>Отправить предварительный меморандум IUTH</t>
  </si>
  <si>
    <t>Фокуса и времени не было</t>
  </si>
  <si>
    <t>Сервис «Пробные тесты» запустить в пилотном режиме в 20+ школах, как канал лидогенерации</t>
  </si>
  <si>
    <t>до конца марта</t>
  </si>
  <si>
    <t>Составить портрет инфлюенс-амбассадоров с ОМ и Академ</t>
  </si>
  <si>
    <t>Тоқтағазинов, Айдана, Турар</t>
  </si>
  <si>
    <t>Тех-аудит платформы (аудит)</t>
  </si>
  <si>
    <t>Работа по GeOnline Scholarship</t>
  </si>
  <si>
    <t>весь март</t>
  </si>
  <si>
    <t>Если мы используем наших учеников как контрагентов для реализации пробных тестов в школах, мы можем закрыть больше школ с большей скоростью</t>
  </si>
  <si>
    <t>до 19 марта</t>
  </si>
  <si>
    <t>Если мы используем учеников и сотрудников, для распространения пробных тестов в Threads, мы увеличим количество регистраций и узнаваемость superapp</t>
  </si>
  <si>
    <t>Тоқтағазинов, Турар</t>
  </si>
  <si>
    <t>до 22 марта</t>
  </si>
  <si>
    <t>Начали работу по блогу в superapp и полезные статья, анонсы каждый день. Поодержка push уведомлением</t>
  </si>
  <si>
    <t>AI-рекомендации: персонализированная траектория обучения по ошибкам</t>
  </si>
  <si>
    <t>Средний</t>
  </si>
  <si>
    <t>Оффлайн + мобайл интеграция (после достижения зрелости платформы)</t>
  </si>
  <si>
    <t>Низкий</t>
  </si>
  <si>
    <t>Динамические цены / таймер скидок для ускорения покупки</t>
  </si>
  <si>
    <t>BL-4</t>
  </si>
  <si>
    <t>Peer-to-peer обучение между студентами (система "бади")</t>
  </si>
  <si>
    <t>Если мы добавим раздел рекомендации после тестирования  пользователям будет легче работать над ошибками, понять их уровень</t>
  </si>
  <si>
    <t>В марте будем тестить</t>
  </si>
  <si>
    <t>ЕСЛИ показывать правильный ответ сразу после каждого вопроса в тренажёре,
ТО пользователи будут дольше заниматься и чаще завершать сессию,
ПОТОМУ ЧТО мгновенная обратная связь снижает фрустрацию и помогает учиться на ошибке.</t>
  </si>
  <si>
    <t>Среедний</t>
  </si>
  <si>
    <t>Если добавить ежедневные бесплатные попытки в тренажеры, то DAU вырастит, ПОТОМУ ЧТО у детей будет повод каждый день заходить в SuperApp</t>
  </si>
  <si>
    <t>ЕСЛИ добавить персонализированную аналитику,
ТО готовность платить возрастёт,
ПОТОМУ ЧТО ценность станет индивидуальной.
РЕЗУЛЬТАТ подтверждён, если заявленная готовность платить &gt;50% в интервью и тестовая конверсия &gt;5%.</t>
  </si>
  <si>
    <t>📊 ЕЖЕНЕДЕЛЬНЫЙ ТРЕКИНГ: Койгельдина Жанель</t>
  </si>
  <si>
    <t xml:space="preserve">  - Конверсия 13% — динамики роста нет третью неделю                                                                                                           - Одни и те же инструменты без новых гипотез  
- Рекомендован РНО: еженедельный разбор переписок менеджеров в группе                
  - Трекер Ризабек: «замылился взгляд», затрудняется с новыми рекомендациями                   
  - Жанель оценивает работу с трекером на 6–7 из 10 </t>
  </si>
  <si>
    <t>03 марта</t>
  </si>
  <si>
    <t xml:space="preserve">  - Первые результаты РНО-сессий
  - Новые гипотезы роста конверсии
  - Статус ИИ-менеджера и звонобота
  - Обсудить внешний аудит воронки ОП</t>
  </si>
  <si>
    <t>примерно 100 учеников не хватает</t>
  </si>
  <si>
    <t>Конверсия первичного касания</t>
  </si>
  <si>
    <t>Средний чек удержан уровне</t>
  </si>
  <si>
    <t>Внедрение ИИ бот и звонобота</t>
  </si>
  <si>
    <t>тестовый запуск есть на 200 человек</t>
  </si>
  <si>
    <t>пока без метрики</t>
  </si>
  <si>
    <t>Создать ОКК</t>
  </si>
  <si>
    <t>Не начато</t>
  </si>
  <si>
    <t>Реализована сквозная аналитика</t>
  </si>
  <si>
    <t>KR-2.2</t>
  </si>
  <si>
    <t>ИИ-менеджер: тест для сокращения времени ответа</t>
  </si>
  <si>
    <t>28 февраля 2026</t>
  </si>
  <si>
    <t>Тестируется</t>
  </si>
  <si>
    <t>Замерить ср. время ответа до внедрения; цель — сокращение + дозвон х2 (35-40%)</t>
  </si>
  <si>
    <t>ждет финальную версию</t>
  </si>
  <si>
    <t>KR-2.1</t>
  </si>
  <si>
    <t>Звонобот: выбор поставщика и запуск</t>
  </si>
  <si>
    <t>Поставщик не выбран; ожидается обработка 1500-2000 лидов; опер. менеджер — исполнитель</t>
  </si>
  <si>
    <t>Сократить запись звонка, тех момент по каз яз решить</t>
  </si>
  <si>
    <t>CRM: системно разместить все лиды</t>
  </si>
  <si>
    <t>Тим-лиды (контроль Жанель)</t>
  </si>
  <si>
    <t>21 февраля 2026</t>
  </si>
  <si>
    <t>Не выполнено</t>
  </si>
  <si>
    <t>Нет фокуса на CRM — к концу следующей недели закрыть полностью</t>
  </si>
  <si>
    <t>Обучение провелось команде</t>
  </si>
  <si>
    <t>Ретаргет на текущую базу(цена снижена)</t>
  </si>
  <si>
    <t>CV должна вырасти; тест подписочной модели ретаргета</t>
  </si>
  <si>
    <t>Айболу передать</t>
  </si>
  <si>
    <t>РнО-сессии для повышения конверсии</t>
  </si>
  <si>
    <t>19 февраля 2026</t>
  </si>
  <si>
    <t>не было времени</t>
  </si>
  <si>
    <t>Ср и Чт 18:00-19:00; CV поднимется; обучение команды из 10 по смыслам</t>
  </si>
  <si>
    <t>сб в 14:00</t>
  </si>
  <si>
    <t>Март 2026</t>
  </si>
  <si>
    <t>Потенциал роста CV через родительскую аудиторию на 10 кл</t>
  </si>
  <si>
    <t>Запрос к маркетингу</t>
  </si>
  <si>
    <t>Собрать контакты родителей перед началом лагеря</t>
  </si>
  <si>
    <t>Рассылка на базу 11 класса</t>
  </si>
  <si>
    <t>Аяжан (тимлид)</t>
  </si>
  <si>
    <t>17 февраля начало</t>
  </si>
  <si>
    <t xml:space="preserve">будем тестить на 10 кл </t>
  </si>
  <si>
    <t>Добавить деңгейлік тест к рассылке</t>
  </si>
  <si>
    <t>мини курс для 10 кл не дал результат</t>
  </si>
  <si>
    <t>Обучение для команды 10 и 11 менеджерам по тому как увеличить CV на дозвон</t>
  </si>
  <si>
    <t>19 февраля</t>
  </si>
  <si>
    <t>Саморефлексия звонков каждого менеджера</t>
  </si>
  <si>
    <t>Тим лиды</t>
  </si>
  <si>
    <t>Сбор информации по построению ОКК и создать портрет менеджера ОКК</t>
  </si>
  <si>
    <t>до 20 февраля</t>
  </si>
  <si>
    <t>Передать HR портрет менеджера ОКК</t>
  </si>
  <si>
    <t>20-21 февраля</t>
  </si>
  <si>
    <t>Проанализировать рынок и конкурентов по звоноботу</t>
  </si>
  <si>
    <t>Жанель и Адилбек</t>
  </si>
  <si>
    <t>до конца недели</t>
  </si>
  <si>
    <t>Дать задание тимлиду вести отчетную таблицу по РнО</t>
  </si>
  <si>
    <t>Жанель и тимлиды</t>
  </si>
  <si>
    <t>Таргет запустить с СТА на диагностику</t>
  </si>
  <si>
    <t>Жанель, Айбол</t>
  </si>
  <si>
    <t>до 3 марта</t>
  </si>
  <si>
    <t>Прописать план и декомпозицию на март</t>
  </si>
  <si>
    <t>Обучение  для двух тим лидов от опытного, поделиться своим опытом и успешными действиями</t>
  </si>
  <si>
    <t>до 7 марта</t>
  </si>
  <si>
    <t>провелась встреча, но нужно в формате обучения</t>
  </si>
  <si>
    <t xml:space="preserve">Если поменяем метод продаж на видеосозвоны, CV с созвона в продажу увеличится с 25% до 60% . </t>
  </si>
  <si>
    <t>Жанель, тимлид</t>
  </si>
  <si>
    <t>до 18 марта</t>
  </si>
  <si>
    <t>За счет изменения мотивационной системы выполнение плана продаж менеджера поднимется с 60% до 80% минимум</t>
  </si>
  <si>
    <t xml:space="preserve">Жанель </t>
  </si>
  <si>
    <t>по итогам марта</t>
  </si>
  <si>
    <t xml:space="preserve">Внедрение внутренней рассрочки для 10 кл снизит неодобрение с 20% до 10 % </t>
  </si>
  <si>
    <t>Тимлиды</t>
  </si>
  <si>
    <t>Провести внутренний аудит ОП вместе с Ризабеком. После аудита получить минимум 10 качественных гипотез</t>
  </si>
  <si>
    <t>Азиза и Тимур сделать таблицу/регламент аудита</t>
  </si>
  <si>
    <t>Retention: подключить ОКК + Академию</t>
  </si>
  <si>
    <t>Сквозная аналитика по каналам продаж</t>
  </si>
  <si>
    <t>📊 ЕЖЕНЕДЕЛЬНЫЙ ТРЕКИНГ: Фархатов Айбол</t>
  </si>
  <si>
    <t>- CAC остаётся ~42 000 тг при цели 25–30 тыс — без улучшения                                                                                                  
  - Начал активно работать с Мереем по CAC-методологии — единое понимание достигнуто                                                                            
  - Запущен мини-курс для холодного трафика: 100+ лидов за 2 дня
  - Таргет на активные публикации Instagram + Telegram
  - Анализ конкурентов через Facebook Ads Library — CTR баннеров близко к цели 50%</t>
  </si>
  <si>
    <t xml:space="preserve">03 марта </t>
  </si>
  <si>
    <t xml:space="preserve">  - Масштабирование воронки холодного трафика — анализ результатов за неделю
  - Совместный прогноз CAC на март с Мереем (срок 5 марта)
  - Статус Power BI маркетинг (Айбол не успел дать данные Мерею)
  - Обучение по перфоманс-маркетингу — определить формат и источник</t>
  </si>
  <si>
    <t>Привлечено 65</t>
  </si>
  <si>
    <t>37 500 квалифицированных лидов</t>
  </si>
  <si>
    <t xml:space="preserve">6000 с начала года, а нужно 10-11 тыс лидов за 2 месяца. </t>
  </si>
  <si>
    <t>CAC</t>
  </si>
  <si>
    <t>Стабильная система запусков:</t>
  </si>
  <si>
    <t>Доходимость вебинаров увеличена 2</t>
  </si>
  <si>
    <t>Кликабельность баннеров доведена</t>
  </si>
  <si>
    <t>Утвердить бюджет на февраль с CFO (Жүсіпбек)</t>
  </si>
  <si>
    <t>Фархатов</t>
  </si>
  <si>
    <t>В январе не добрали план: 3800 лидов вместо плановых 5583/мес. Бюджет — ключевой разблокировщик роста.</t>
  </si>
  <si>
    <t>Синхронизироваться с отделом продаж: критерии "квалифицированного лида"</t>
  </si>
  <si>
    <t>Сейчас квал.лидами считаются все новые номера — критерии не формализованы. Нужна синхронизация с ОП.</t>
  </si>
  <si>
    <t>Встреча с финансистом: разобраться как считается CAC по каналам</t>
  </si>
  <si>
    <t>CAC сейчас 42 000 тг, цель 25-30К. Нужна таблица CAC по каналам отдельно (YouTube, таргет, и т.д.).</t>
  </si>
  <si>
    <t>Уточнить метрику "доходимость вебинара": с регистрации или первого дня до последнего?</t>
  </si>
  <si>
    <t>Текущая доходимость 30-40%, цель 50%+. Формула расчёта не согласована. Нужно уточнить с командой.</t>
  </si>
  <si>
    <t>Согласовать критерии охвата запуска: кто считается "пользователем охвата"</t>
  </si>
  <si>
    <t>Сейчас охват ~18-20К, цель 25К+. Нужно с Дамиром и ОП согласовать определение и методологию счёта.</t>
  </si>
  <si>
    <t>5.1, 5.5</t>
  </si>
  <si>
    <t>Возобновить TikTok и YouTube каналы для привлечения новых лидов</t>
  </si>
  <si>
    <t>TikTok и YouTube приостановлены из-за ожидания копирайтера. Как только появится ресурс — возобновить.</t>
  </si>
  <si>
    <t>Анализ креативов конкурентов через Facebook Ads Library для обновления баннеров</t>
  </si>
  <si>
    <t>Кликабельность 30% при цели 50%. Через FB библиотеку можно посмотреть что запускают конкуренты.</t>
  </si>
  <si>
    <t>Сходить в отдел продаж, послушать разговоры с клиентами вживую</t>
  </si>
  <si>
    <t>Трекер рекомендует послушать звонки ОП офлайн для понимания аватара клиента и фраз ЦА для креативов.</t>
  </si>
  <si>
    <t>Привлечено 65k лидов</t>
  </si>
  <si>
    <t>Масштабировать воронку с холодного трафика (добавить больше предметов)</t>
  </si>
  <si>
    <t>Оценили что воронка работает, ROMI 196% дальше будем масштабировать</t>
  </si>
  <si>
    <t>План и декомпозиция по запускам на март</t>
  </si>
  <si>
    <t>Дамир, РОП, Турар</t>
  </si>
  <si>
    <t>Запуск таргета на активные публикации и тест воронки с телеграмом</t>
  </si>
  <si>
    <t>Айдана (10-15 публ)</t>
  </si>
  <si>
    <t>Обучение по перфоманс маркетингу</t>
  </si>
  <si>
    <t>Работает пока с Трекером</t>
  </si>
  <si>
    <t>Улучшить РнП для детальной аналитики</t>
  </si>
  <si>
    <t>РОП</t>
  </si>
  <si>
    <t>Сделать анализ воронок мини курсов и разработать структуру новых курсов</t>
  </si>
  <si>
    <t>Дамир и Турар</t>
  </si>
  <si>
    <t>Анализ конкурентов и рынка</t>
  </si>
  <si>
    <t>в течении месяца</t>
  </si>
  <si>
    <t>Подготовка к запуску на март</t>
  </si>
  <si>
    <t>23-28.02</t>
  </si>
  <si>
    <t>5.1, 5.2</t>
  </si>
  <si>
    <t>Реализовать новую воронку для 10 кл</t>
  </si>
  <si>
    <t>03.03 начнется таргет, тест новой воронки</t>
  </si>
  <si>
    <t>Внедрение и подготовка к системе автоворонки</t>
  </si>
  <si>
    <t>март</t>
  </si>
  <si>
    <t>Анализ прошлого веба и внедрить новые фишки на новый веб</t>
  </si>
  <si>
    <t>до 9 марта</t>
  </si>
  <si>
    <t>Если привлечем лиды через сарафанку (тулектер) то увеличим доходимость до веба</t>
  </si>
  <si>
    <t>4-5.03</t>
  </si>
  <si>
    <t>Частично выполнено</t>
  </si>
  <si>
    <t>Планирование и запуск продукта для 11 кл</t>
  </si>
  <si>
    <t>AI-агенты для холодного обзвона: автоматизация первого этапа воронки</t>
  </si>
  <si>
    <t>Запуск партнёрской программы через промокоды блогеров (20 инфлюенсеров)</t>
  </si>
  <si>
    <t>Внедрить сквозную таблицу CAC по каждому каналу отдельно</t>
  </si>
  <si>
    <t>Таргет на бесплатный пробный тест в SuperApp как канал лидогенерации</t>
  </si>
  <si>
    <t>Если мы найнем еще 1-2 таргетологов, мы можем снизить риск слива бюджета и завизимость к одному таргетологу</t>
  </si>
  <si>
    <t>Обсудить с СЕО</t>
  </si>
  <si>
    <t>📊 ЕЖЕНЕДЕЛЬНЫЙ ТРЕКИНГ: Мурсалимова Айдана</t>
  </si>
  <si>
    <t>26 февраля 2026</t>
  </si>
  <si>
    <t>• GeoCamp Dubai: прогрев идёт, съёмка 27–28 февраля, контент до 4 марта
• Ролики набирают 20–35 тыс. просмотров без рекламы
• Подписчики не растут: много отписок, нет заточки под ЦА
• Гипотеза: добавить CTA-репост с розыгрышем 5000 тг/день
• Айдана перегружена: совмещает проджект и контент-маркетолога</t>
  </si>
  <si>
    <t>-Полезные информативные карусели (20 тыс)                     -перешли на новую платформу для планирования работы -</t>
  </si>
  <si>
    <t>• Результаты CTA-гипотезы с репостами Dubai
• Анонс лагеря 28 февраля — итоги первой волны
• Портрет целевой аудитории (срок 7 марта)
• Обсудить делегирование операционных задач</t>
  </si>
  <si>
    <t>Instagram-аудитория увеличена 30</t>
  </si>
  <si>
    <t>23.7 тыс, охват 7.2 млн</t>
  </si>
  <si>
    <t>Суммарная аудитория соцсетях</t>
  </si>
  <si>
    <t xml:space="preserve">97 тыс </t>
  </si>
  <si>
    <t>Наняты все ключевые сотрудники</t>
  </si>
  <si>
    <t>Работа 20 инфлюенс амбассадорами</t>
  </si>
  <si>
    <t>6.1, 6.2</t>
  </si>
  <si>
    <t>Новый формат: «Ситуативные ролики» (киношный стиль)</t>
  </si>
  <si>
    <t>17 февраля 2026</t>
  </si>
  <si>
    <t>Метрика: +15% к средним лайкам, комментариям, охватам. Старт 9 февраля. Ограничение: тайм-менеджмент + академия хочет съёмку.</t>
  </si>
  <si>
    <t>Прогрев к GeoCamp Dubai: серия рилсов с охватом 30-40 тыс</t>
  </si>
  <si>
    <t>Старт 10 февраля. Метрика: 30-40 тыс охват в рилсах. Ограничение: тайм-менеджмент команды.</t>
  </si>
  <si>
    <t>20-27 тыс просмотров</t>
  </si>
  <si>
    <t>широкий формат снять, СТА написать и дать плюшку</t>
  </si>
  <si>
    <t>Найм ключевых сотрудников контент-отдела: адаптация и вывод на результат</t>
  </si>
  <si>
    <t>Позиции не закрыты. Связано с системной проблемой: нет head of marketing → у новых сотрудников нет с кем обсуждать задачи.</t>
  </si>
  <si>
    <t>Подключить 20 инфлюенс-амбассадоров курса для UGC контента</t>
  </si>
  <si>
    <t>Сейчас только 2 из 20. Нужна система промокодов для отслеживания конверсии от каждого амбассадора (промокоды настроены у Шынгыса).</t>
  </si>
  <si>
    <t>КП для GeoCamp Dubai</t>
  </si>
  <si>
    <t>Мурсалимова Айдана, Айым</t>
  </si>
  <si>
    <t>Конкурс формат среди аудитории</t>
  </si>
  <si>
    <t>с 23 февраля</t>
  </si>
  <si>
    <t>Новая воронка с лид магнитом (видео на ютуб) добавит нам 300 подписчиков за неделю</t>
  </si>
  <si>
    <t>до 28 февраля</t>
  </si>
  <si>
    <t>Добавив СТА сделай репост разыграем 5000 тг среди активных. Это поможет поднять охваты минимум на 10%</t>
  </si>
  <si>
    <t>до 4 февраля</t>
  </si>
  <si>
    <t>Спросить бюджет 35 000 тг</t>
  </si>
  <si>
    <t>Протестировать формат коротких роликов с жизами, 10 роликов</t>
  </si>
  <si>
    <t>в течении недели</t>
  </si>
  <si>
    <t>Прописать портрет ЦА и синхронизировать это в работу с командой</t>
  </si>
  <si>
    <t xml:space="preserve">Подготовка контента к запуску лагеря </t>
  </si>
  <si>
    <t>Решить конфликт ресурсов: академия "забирает" видеографа у маркетинга</t>
  </si>
  <si>
    <t>6.1, 6.3</t>
  </si>
  <si>
    <t>Контент-план на 2-4 недели вперёд для снятия тайм-менеджмент проблемы</t>
  </si>
  <si>
    <t>Масштабирование инфлюенс-программы: промокоды + аналитика по амбассадорам</t>
  </si>
  <si>
    <t>📊 ЕЖЕНЕДЕЛЬНЫЙ ТРЕКИНГ: Тұрар Серік</t>
  </si>
  <si>
    <t>• Прогресс по задачам Академии (отбор менторов, элита, итоги январского ЕНТ)
• Все 4 активных KR влияют на рекорды выпускников
• Зарплатная структура Академии — запрошена расшифровка
• 4 KR запланированы на июль — не начаты</t>
  </si>
  <si>
    <t>3 марта 2026</t>
  </si>
  <si>
    <t>• Конкретные числовые метрики по всем KR
• Статус подготовки к ЕНТ-сезону
• Синхронизация с SuperApp (пробные тесты в школах)</t>
  </si>
  <si>
    <t>Средний результат учеников</t>
  </si>
  <si>
    <t>Подготовлено 12</t>
  </si>
  <si>
    <t>2 ученика достигли</t>
  </si>
  <si>
    <t>Годовой показатель NPS составил</t>
  </si>
  <si>
    <t>Пока мы выполнили KR, но до конца уч года может изменится</t>
  </si>
  <si>
    <t>Разработана организационная</t>
  </si>
  <si>
    <t>начнем в марте-апреле</t>
  </si>
  <si>
    <t>Запущен внутренний обучающий курс</t>
  </si>
  <si>
    <t>Подготовлен кадровый резерв</t>
  </si>
  <si>
    <t>Система курсов полностью</t>
  </si>
  <si>
    <t>8.1-8.4</t>
  </si>
  <si>
    <t>Утверждение Элиты с СЕО</t>
  </si>
  <si>
    <t>9-20 февраля</t>
  </si>
  <si>
    <t>Продажа "Элиты"</t>
  </si>
  <si>
    <t>план выполнен</t>
  </si>
  <si>
    <t>8.1-8.4, 8.7</t>
  </si>
  <si>
    <t>Работа с менторами для Элиты</t>
  </si>
  <si>
    <t>Организация Geo Лагерь и контроль процессов</t>
  </si>
  <si>
    <t>9-15 февраля</t>
  </si>
  <si>
    <t>4000 студентов зарегистрировано, 2000 учеников закончили лагерь, и это напрямую влияет на дальнейшие продажи</t>
  </si>
  <si>
    <t>Итоги январьского ЕНТ со студентами и командой</t>
  </si>
  <si>
    <t>10-11 февраля</t>
  </si>
  <si>
    <t>выявили точки роста, мотивация для команды и студентов</t>
  </si>
  <si>
    <t>Награждение студентов GeoCamp Dubai. Поездка в Алматы</t>
  </si>
  <si>
    <t>12-13 февраля</t>
  </si>
  <si>
    <t>Начало "Элиты" на 800 студентов</t>
  </si>
  <si>
    <t>16 февраля</t>
  </si>
  <si>
    <t>Отбор менторов из 90, 32 ментора</t>
  </si>
  <si>
    <t>7-17 февраля</t>
  </si>
  <si>
    <t>Анализ январьского ЕНТ и план на мартовский ЕНТ</t>
  </si>
  <si>
    <t>Поиск и найм методистов по биологии и преподавателя по математике</t>
  </si>
  <si>
    <t>16-20 февраля</t>
  </si>
  <si>
    <t>Стратегия на Мартовский ЕНТ</t>
  </si>
  <si>
    <t>Деңгейлік оқу жұмыстарын жүргізу</t>
  </si>
  <si>
    <t>с середины недели</t>
  </si>
  <si>
    <t>Начало мартовский ЕНТ (стратегия, расписание)</t>
  </si>
  <si>
    <t>с 5 марта</t>
  </si>
  <si>
    <t>Задачи по GeoCamp</t>
  </si>
  <si>
    <t>Задачи по Geo лагерю</t>
  </si>
  <si>
    <t>Просчитать ЗП команды</t>
  </si>
  <si>
    <t>Наурыз ҰБТ | Стратегия | KPI</t>
  </si>
  <si>
    <t>Подвести итоги по гео лагерю</t>
  </si>
  <si>
    <t>План на месяц работы с трекером Куралай ханым</t>
  </si>
  <si>
    <t>Мы будто только акцентируем внимание на географии, хотя 5 предметов у нас есть. Запрос к маркетингу</t>
  </si>
  <si>
    <t xml:space="preserve">Хочу понять свой карьерный рост. Нужно обучение по маркетингу, продажам, то есть помимо своей части </t>
  </si>
  <si>
    <t>Коммуникация между отделами, чтобы доносить свои гипотезы и идеи</t>
  </si>
  <si>
    <t>Аналитика нужна по рынку</t>
  </si>
  <si>
    <t>📊 ЕЖЕНЕДЕЛЬНЫЙ ТРЕКИНГ: Мухаметова Арай</t>
  </si>
  <si>
    <t>• Тренинг по миссии компании проведён — команде полезно
• РАСИ-матрица полномочий: в работе, срок — конец февраля / 1-я неделя марта
• Найм в ОП: 3 стажёра отобраны, продолжается
• Кэшфлоу-игра проведена: инсайты по управлению финансами
• Рекомендовано составить план работ HR на март</t>
  </si>
  <si>
    <t>03  марта 2026</t>
  </si>
  <si>
    <t>• Завершение РАСИ-матрицы
• Разработка системы грейдов по отделам (срок 7 марта)
• eNPS-интервью с менеджерами ОП
• ИПР для топ-менеджмента — начало работы</t>
  </si>
  <si>
    <t>Внедрена RACI-матрица полномочий</t>
  </si>
  <si>
    <t>Пока поиск и сбор информации</t>
  </si>
  <si>
    <t>Сформирована внедрена</t>
  </si>
  <si>
    <t>май-июнь 2026</t>
  </si>
  <si>
    <t>обсудить с СЕО</t>
  </si>
  <si>
    <t>У каждого топ-менеджера разработан и реализуется в полном объеме ИПР</t>
  </si>
  <si>
    <t>Повысить eNPS сотрудников до</t>
  </si>
  <si>
    <t>Сформирован мидл менеджмент</t>
  </si>
  <si>
    <t>Обсудить с топами, чтобы каждый собирал сам</t>
  </si>
  <si>
    <t>Все функциональные обязанности</t>
  </si>
  <si>
    <t>ОМ полностью готов</t>
  </si>
  <si>
    <t>Требует внимания</t>
  </si>
  <si>
    <t>Провести созвон по миссии и ценностям компании с Куралай ханым</t>
  </si>
  <si>
    <t>13-14 февраля 2026</t>
  </si>
  <si>
    <t>Назначить дату тренинга. Проводить еженедельно по субботам до полного усвоения командой.</t>
  </si>
  <si>
    <t>19.02 первый созвон с топ менеджментом</t>
  </si>
  <si>
    <t>Тренинг по эмоциональному интеллекту офлайн (с психологом)</t>
  </si>
  <si>
    <t>Ищет психолога с личным брендом через Threads. Бюджет не определён. Вопрос: только топ (10) или + мидл (~20 чел)?</t>
  </si>
  <si>
    <t>Тимбилдинг Cashflow для топ-менеджмента</t>
  </si>
  <si>
    <t>Сначала опрос по датам. Если не успеют до GeoCamp Dubai — перенести после мероприятия.</t>
  </si>
  <si>
    <t>Разработать должностные инструкции для отдела маркетинга (шаблон → самозаполнение)</t>
  </si>
  <si>
    <t>Утвердить с СЕО и передать на подписание сотрудникам + ОП закончить</t>
  </si>
  <si>
    <t>Повторный eNPS для отдела продаж с улучшенной формулировкой вопросов</t>
  </si>
  <si>
    <t>до конца след недели</t>
  </si>
  <si>
    <t>UGC-клуб сотрудников: мастер-классы по съёмке и монтажу</t>
  </si>
  <si>
    <t>Мотивация через критерий «сотрудника месяца». Нужно согласовать полномочия для вовлечения коллег.</t>
  </si>
  <si>
    <t>HR-бренд: Instagram компании + email-дайджест для сотрудников</t>
  </si>
  <si>
    <t>Опыт BI Group. Email: новости компании, конкурсы, отметки сотрудников. Threads: ветки о новых сотрудниках.</t>
  </si>
  <si>
    <t>RACI-матрица полномочий (делать после прописания регламентов и оргструктуры)</t>
  </si>
  <si>
    <t>ждем обратную связь от топ менеджеров</t>
  </si>
  <si>
    <t xml:space="preserve">Помочь провести тренинг по миссии компании с Куралай ханым </t>
  </si>
  <si>
    <t>еще одна встреча будет</t>
  </si>
  <si>
    <t>Найм в ОП минимум 4 менеджера</t>
  </si>
  <si>
    <t>Запустить контент для TV</t>
  </si>
  <si>
    <t>на этой неделе</t>
  </si>
  <si>
    <t>дальше будет идти</t>
  </si>
  <si>
    <t xml:space="preserve">Обсудить с СЕО KR-2, 3,7 и с топ менеджментом KR-5 </t>
  </si>
  <si>
    <t>Составить план работ на март</t>
  </si>
  <si>
    <t>9.3, 9.6</t>
  </si>
  <si>
    <t>Разработать систему grade для сотрудников по каждому отделу</t>
  </si>
  <si>
    <t>до 7.03</t>
  </si>
  <si>
    <t>Продумать ИПР для топ менеджмента</t>
  </si>
  <si>
    <t>Поиск и найм проджекта</t>
  </si>
  <si>
    <t>Организация и проведение субботника в офисе. Это создаст комфортные условия для работы</t>
  </si>
  <si>
    <t>Мухаметова Арай и топ менеджмент</t>
  </si>
  <si>
    <t>14 марта</t>
  </si>
  <si>
    <t>Если мы будем собираться в узком кругу топ менеджмента и обсуждать общие идеи/ делать брейнштормы, то можно создать безопасную среду для общения и это поможет совместно решать общие проблемы компании</t>
  </si>
  <si>
    <t>17 марта</t>
  </si>
  <si>
    <t>Если перейти на систему планирования(трелло, notion) то можно ускорить выполнения задачи</t>
  </si>
  <si>
    <t>Арай</t>
  </si>
  <si>
    <t>Welcome kit (буклет) для онбординга новых сотрудников</t>
  </si>
  <si>
    <t>Exit-интервью при увольнении сотрудников</t>
  </si>
  <si>
    <t>TV-экран в офисе: новости компании, лучшие сотрудники, дни рождения</t>
  </si>
  <si>
    <t>Нанять рекрутера: Арай провела &gt;100 собеседований за 4 мес — перегрузка</t>
  </si>
  <si>
    <t>BL-5</t>
  </si>
  <si>
    <t>Недельный дайджест план-факт по KPI в чатах отделов каждый понедельник</t>
  </si>
  <si>
    <t>📊 ЕЖЕНЕДЕЛЬНЫЙ ТРЕКИНГ: Бектегенова Айым</t>
  </si>
  <si>
    <t>• GeoCamp Dubai: 13 участников, боксы вручены, контент из Алматы готовится
• Партнёрства: ~10 отказов — причина в подходе «спонсор одного мероприятия»
• Trendlenta: предварительная договорённость на 1,5 млн тг
• Новый подход: предлагать партнёрство с GeOnline + охват ~1 млн по всем событиям
• Синхронизация с Айданой по контент-плану GeoСamp</t>
  </si>
  <si>
    <t>5 марта 2026</t>
  </si>
  <si>
    <t>• Переговоры с Trendlenta — финализация
• Поиск 2–3 новых партнёров с новым подходом (аналитика + серия мероприятий)
• Контент-план YouTube ролика про GeoCamp
• Программа GeoCamp: брейнштормы с участниками</t>
  </si>
  <si>
    <t>Проведены ключевые флагманские</t>
  </si>
  <si>
    <t>Размещены статьи публикации СМИ,</t>
  </si>
  <si>
    <t>в месяц 2 публикации в СМИ</t>
  </si>
  <si>
    <t>Развит PR личный бренд</t>
  </si>
  <si>
    <t>уточнить метрики</t>
  </si>
  <si>
    <t>Подготовлен запланирован проект</t>
  </si>
  <si>
    <t>Выстроено партнёрство 3 фондами</t>
  </si>
  <si>
    <t>Организация и проведение ключевых флагманских мероприятий (GeoFest, GeoLeague, GeoCamp Dubai)</t>
  </si>
  <si>
    <t>Обсуждались форматы, партнёрства, спонсорство (~10 млн тг), мерч и боксы для мероприятий. Нужно усиление через соцсети и блогеров.</t>
  </si>
  <si>
    <t xml:space="preserve">Тренд лента ведутся переговоры, 10+ партнерам написали, остальные пока отказали.  </t>
  </si>
  <si>
    <t>Только 5 партнерам написали</t>
  </si>
  <si>
    <t>Размещение платных публикаций в СМИ для усиления узнаваемости бренда</t>
  </si>
  <si>
    <t>В основном публикации бесплатные, но трекер предложила тест платного размещения в порталах/СМИ. Нужно уточнить стоимость.</t>
  </si>
  <si>
    <t>Тест платных публикаций в профильных СМИ/порталах для охвата новой аудитории</t>
  </si>
  <si>
    <t>Гипотеза: платные публикации дадут больший охват, чем бесплатные. Нужно протестировать 1-2 материала.</t>
  </si>
  <si>
    <t>2 публикации выйдут на следующих неделях</t>
  </si>
  <si>
    <t>Развить личный бренд Дамира: участие в Forbes 30u30 + подкасты</t>
  </si>
  <si>
    <t>Подкасты уже есть (январь-февраль). Forbes 30u30 — в процессе подготовки. Дедлайны нужно уточнить.</t>
  </si>
  <si>
    <t>Подготовка и планирование проекта «Түлектер кеші» (выпускной вечер)</t>
  </si>
  <si>
    <t>Проект уже был в прошлом году, дал хороший охват. Планируется повторение — нужна полноценная контент-поддержка.</t>
  </si>
  <si>
    <t>Синхронизация с отделом маркетинга по контент-поддержке PR-мероприятий</t>
  </si>
  <si>
    <t>Проблема: маркетинг не публикует посты о партнёрских грантах и мероприятиях своевременно. Нужна координация.</t>
  </si>
  <si>
    <t>UGC-контент от сотрудников для усиления HR-бренда и узнаваемости компании</t>
  </si>
  <si>
    <t>Идея: сотрудники сами делают контент о жизни в компании. Трекер: молодая компания с миллиардным оборотом — сильный HR-бренд.</t>
  </si>
  <si>
    <t>Онлайн-опрос среди школьников для измерения узнаваемости бренда GeOnline</t>
  </si>
  <si>
    <t>Трекер: контент-формат "называй бренды" (как Жан Кофе делал) + онлайн-опрос через маркетинг = измеримый показатель узнаваемости.</t>
  </si>
  <si>
    <t>Поиск партнеров</t>
  </si>
  <si>
    <t>Закончить контент план по прогреву с контент маркетологом</t>
  </si>
  <si>
    <t>Айдана, Шынгыс, Турар помощь</t>
  </si>
  <si>
    <t>Брейн шторм по контенту</t>
  </si>
  <si>
    <t>План по PR активностям на март</t>
  </si>
  <si>
    <t>Сделать анализ конкурентов и прописать 10 качественных гипотез</t>
  </si>
  <si>
    <t>Интервью топ сотрудника для образовательных СМИ</t>
  </si>
  <si>
    <t>Проанализировать инфоповоды и вывести 3 инфоповода оттуда</t>
  </si>
  <si>
    <t>Коллаборации с лидерами мнений из сферы образования для охвата ЦА</t>
  </si>
  <si>
    <t>PR-10.1, PR-10.2</t>
  </si>
  <si>
    <t>Измерение узнаваемости бренда через топ-оф-майнд опрос среди 10-11 классников</t>
  </si>
  <si>
    <t>Спонсорство партнёров на мероприятиях: монетизация через общую сумму ~10 млн тг</t>
  </si>
  <si>
    <t>Публикации об академических результатах учеников для усиления бренда GeOnline</t>
  </si>
  <si>
    <t>PR-10.2, PR-10.3</t>
  </si>
  <si>
    <t>Провести ифтар в MNU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</si>
</sst>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"/>
    <numFmt numFmtId="166" formatCode="yyyy-mm-dd"/>
  </numFmts>
  <fonts count="44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color theme="1"/>
      <name val="Arial"/>
    </font>
    <font>
      <sz val="10.0"/>
      <color theme="1"/>
      <name val="Calibri"/>
    </font>
    <font>
      <b/>
      <sz val="14.0"/>
      <color rgb="FFFFFFFF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sz val="10.0"/>
      <color theme="1"/>
      <name val="Arial"/>
    </font>
    <font>
      <b/>
      <sz val="11.0"/>
      <color theme="1"/>
      <name val="Calibri"/>
    </font>
    <font>
      <sz val="9.0"/>
      <color theme="1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b/>
      <color theme="1"/>
      <name val="Arial"/>
    </font>
    <font>
      <sz val="9.0"/>
      <color theme="0"/>
      <name val="Calibri"/>
    </font>
    <font>
      <sz val="11.0"/>
      <color theme="1"/>
      <name val="Arial"/>
    </font>
    <font>
      <b/>
      <sz val="15.0"/>
      <color rgb="FFFFFFFF"/>
      <name val="Calibri"/>
      <scheme val="minor"/>
    </font>
    <font/>
    <font>
      <b/>
      <sz val="12.0"/>
      <color rgb="FFFFFFFF"/>
      <name val="Calibri"/>
      <scheme val="minor"/>
    </font>
    <font>
      <sz val="12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rgb="FF000000"/>
      <name val="Calibri"/>
      <scheme val="minor"/>
    </font>
    <font>
      <b/>
      <sz val="16.0"/>
      <color rgb="FF1F4E78"/>
      <name val="Calibri"/>
      <scheme val="minor"/>
    </font>
    <font>
      <b/>
      <sz val="14.0"/>
      <color rgb="FFFFFFFF"/>
      <name val="Calibri"/>
      <scheme val="minor"/>
    </font>
    <font>
      <i/>
      <color theme="1"/>
      <name val="Calibri"/>
      <scheme val="minor"/>
    </font>
    <font>
      <sz val="10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  <font>
      <sz val="9.0"/>
      <color theme="1"/>
      <name val="Arial"/>
    </font>
    <font>
      <sz val="9.0"/>
      <color theme="1"/>
      <name val="Calibri"/>
      <scheme val="minor"/>
    </font>
    <font>
      <b/>
      <sz val="9.0"/>
      <color theme="1"/>
      <name val="Arial"/>
    </font>
    <font>
      <b/>
      <sz val="9.0"/>
      <color theme="7"/>
      <name val="Arial"/>
    </font>
    <font>
      <b/>
      <sz val="10.0"/>
      <color rgb="FFFFFFFF"/>
      <name val="Calibri"/>
      <scheme val="minor"/>
    </font>
    <font>
      <b/>
      <sz val="8.0"/>
      <color theme="1"/>
      <name val="Calibri"/>
      <scheme val="minor"/>
    </font>
    <font>
      <b/>
      <sz val="8.0"/>
      <color rgb="FFFFFFFF"/>
      <name val="Calibri"/>
      <scheme val="minor"/>
    </font>
    <font>
      <sz val="8.0"/>
      <color theme="1"/>
      <name val="Arial"/>
    </font>
    <font>
      <sz val="8.0"/>
      <color theme="1"/>
      <name val="Calibri"/>
      <scheme val="minor"/>
    </font>
    <font>
      <b/>
      <sz val="11.0"/>
      <color theme="1"/>
      <name val="Arial"/>
    </font>
    <font>
      <b/>
      <sz val="16.0"/>
      <color rgb="FFFFFFFF"/>
      <name val="Calibri"/>
    </font>
    <font>
      <b/>
      <sz val="12.0"/>
      <color rgb="FFFFFFFF"/>
      <name val="Calibri"/>
    </font>
    <font>
      <b/>
      <sz val="12.0"/>
      <color rgb="FFFFFFFF"/>
      <name val="Times New Roman"/>
    </font>
    <font>
      <sz val="12.0"/>
      <color theme="1"/>
      <name val="Times New Roman"/>
    </font>
    <font>
      <b/>
      <sz val="12.0"/>
      <color theme="1"/>
      <name val="Times New Roman"/>
    </font>
  </fonts>
  <fills count="28">
    <fill>
      <patternFill patternType="none"/>
    </fill>
    <fill>
      <patternFill patternType="lightGray"/>
    </fill>
    <fill>
      <patternFill patternType="solid">
        <fgColor rgb="FF5F497A"/>
        <bgColor rgb="FF5F497A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ABF8F"/>
        <bgColor rgb="FFFABF8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1F4E78"/>
        <bgColor rgb="FF1F4E78"/>
      </patternFill>
    </fill>
    <fill>
      <patternFill patternType="solid">
        <fgColor rgb="FF44546A"/>
        <bgColor rgb="FF44546A"/>
      </patternFill>
    </fill>
    <fill>
      <patternFill patternType="solid">
        <fgColor rgb="FF9E480E"/>
        <bgColor rgb="FF9E480E"/>
      </patternFill>
    </fill>
    <fill>
      <patternFill patternType="solid">
        <fgColor rgb="FFED7D31"/>
        <bgColor rgb="FFED7D31"/>
      </patternFill>
    </fill>
    <fill>
      <patternFill patternType="solid">
        <fgColor rgb="FF7F7F7F"/>
        <bgColor rgb="FF7F7F7F"/>
      </patternFill>
    </fill>
  </fills>
  <borders count="2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</border>
    <border>
      <left/>
      <right/>
      <top/>
    </border>
    <border>
      <left/>
      <right style="thick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1" fillId="2" fontId="5" numFmtId="0" xfId="0" applyAlignment="1" applyBorder="1" applyFill="1" applyFont="1">
      <alignment horizontal="left" vertical="center"/>
    </xf>
    <xf borderId="2" fillId="2" fontId="5" numFmtId="0" xfId="0" applyAlignment="1" applyBorder="1" applyFont="1">
      <alignment horizontal="left" vertical="center"/>
    </xf>
    <xf borderId="3" fillId="2" fontId="6" numFmtId="0" xfId="0" applyAlignment="1" applyBorder="1" applyFont="1">
      <alignment horizontal="left" vertical="center"/>
    </xf>
    <xf borderId="4" fillId="3" fontId="7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vertical="center"/>
    </xf>
    <xf borderId="1" fillId="4" fontId="5" numFmtId="0" xfId="0" applyAlignment="1" applyBorder="1" applyFill="1" applyFont="1">
      <alignment horizontal="left" vertical="center"/>
    </xf>
    <xf borderId="2" fillId="4" fontId="5" numFmtId="0" xfId="0" applyAlignment="1" applyBorder="1" applyFont="1">
      <alignment horizontal="left" vertical="center"/>
    </xf>
    <xf borderId="3" fillId="4" fontId="6" numFmtId="0" xfId="0" applyAlignment="1" applyBorder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9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vertical="center"/>
    </xf>
    <xf borderId="2" fillId="5" fontId="5" numFmtId="0" xfId="0" applyAlignment="1" applyBorder="1" applyFont="1">
      <alignment horizontal="left" vertical="center"/>
    </xf>
    <xf borderId="2" fillId="5" fontId="6" numFmtId="0" xfId="0" applyAlignment="1" applyBorder="1" applyFont="1">
      <alignment horizontal="left" vertical="center"/>
    </xf>
    <xf borderId="3" fillId="5" fontId="5" numFmtId="0" xfId="0" applyAlignment="1" applyBorder="1" applyFont="1">
      <alignment horizontal="left" vertical="center"/>
    </xf>
    <xf borderId="0" fillId="0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0" fontId="4" numFmtId="164" xfId="0" applyAlignment="1" applyFont="1" applyNumberFormat="1">
      <alignment horizontal="left" vertical="center"/>
    </xf>
    <xf borderId="0" fillId="0" fontId="4" numFmtId="0" xfId="0" applyAlignment="1" applyFont="1">
      <alignment horizontal="center" readingOrder="0" vertical="center"/>
    </xf>
    <xf borderId="0" fillId="0" fontId="9" numFmtId="0" xfId="0" applyAlignment="1" applyFont="1">
      <alignment horizontal="left" vertical="center"/>
    </xf>
    <xf borderId="0" fillId="0" fontId="12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11" numFmtId="0" xfId="0" applyFont="1"/>
    <xf borderId="0" fillId="0" fontId="1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6" fontId="10" numFmtId="0" xfId="0" applyAlignment="1" applyFill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1" fillId="7" fontId="5" numFmtId="0" xfId="0" applyAlignment="1" applyBorder="1" applyFill="1" applyFont="1">
      <alignment horizontal="left" vertical="center"/>
    </xf>
    <xf borderId="2" fillId="7" fontId="5" numFmtId="0" xfId="0" applyAlignment="1" applyBorder="1" applyFont="1">
      <alignment horizontal="left" vertical="center"/>
    </xf>
    <xf borderId="3" fillId="7" fontId="6" numFmtId="0" xfId="0" applyAlignment="1" applyBorder="1" applyFont="1">
      <alignment horizontal="left" vertical="center"/>
    </xf>
    <xf borderId="0" fillId="0" fontId="15" numFmtId="0" xfId="0" applyFont="1"/>
    <xf borderId="0" fillId="0" fontId="4" numFmtId="9" xfId="0" applyAlignment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0" fillId="0" fontId="3" numFmtId="10" xfId="0" applyAlignment="1" applyFont="1" applyNumberFormat="1">
      <alignment horizontal="center"/>
    </xf>
    <xf borderId="0" fillId="0" fontId="8" numFmtId="0" xfId="0" applyFont="1"/>
    <xf borderId="5" fillId="4" fontId="16" numFmtId="0" xfId="0" applyAlignment="1" applyBorder="1" applyFont="1">
      <alignment horizontal="left" readingOrder="0" vertical="center"/>
    </xf>
    <xf borderId="6" fillId="0" fontId="17" numFmtId="0" xfId="0" applyBorder="1" applyFont="1"/>
    <xf borderId="7" fillId="0" fontId="17" numFmtId="0" xfId="0" applyBorder="1" applyFont="1"/>
    <xf borderId="3" fillId="4" fontId="18" numFmtId="0" xfId="0" applyAlignment="1" applyBorder="1" applyFont="1">
      <alignment horizontal="left" vertical="center"/>
    </xf>
    <xf borderId="0" fillId="0" fontId="19" numFmtId="0" xfId="0" applyAlignment="1" applyFont="1">
      <alignment vertical="center"/>
    </xf>
    <xf borderId="8" fillId="3" fontId="18" numFmtId="0" xfId="0" applyAlignment="1" applyBorder="1" applyFont="1">
      <alignment horizontal="left" shrinkToFit="0" vertical="center" wrapText="1"/>
    </xf>
    <xf borderId="9" fillId="3" fontId="18" numFmtId="0" xfId="0" applyAlignment="1" applyBorder="1" applyFont="1">
      <alignment horizontal="left" readingOrder="0" shrinkToFit="0" vertical="center" wrapText="1"/>
    </xf>
    <xf borderId="9" fillId="3" fontId="18" numFmtId="0" xfId="0" applyAlignment="1" applyBorder="1" applyFont="1">
      <alignment horizontal="center" shrinkToFit="0" vertical="center" wrapText="1"/>
    </xf>
    <xf borderId="10" fillId="3" fontId="18" numFmtId="0" xfId="0" applyAlignment="1" applyBorder="1" applyFont="1">
      <alignment horizontal="left" shrinkToFit="0" vertical="center" wrapText="1"/>
    </xf>
    <xf borderId="0" fillId="0" fontId="19" numFmtId="0" xfId="0" applyFont="1"/>
    <xf borderId="11" fillId="8" fontId="20" numFmtId="0" xfId="0" applyAlignment="1" applyBorder="1" applyFill="1" applyFont="1">
      <alignment horizontal="left" readingOrder="0" shrinkToFit="0" vertical="center" wrapText="1"/>
    </xf>
    <xf borderId="11" fillId="8" fontId="19" numFmtId="0" xfId="0" applyAlignment="1" applyBorder="1" applyFont="1">
      <alignment horizontal="left" readingOrder="0" shrinkToFit="0" vertical="center" wrapText="1"/>
    </xf>
    <xf borderId="11" fillId="8" fontId="19" numFmtId="0" xfId="0" applyAlignment="1" applyBorder="1" applyFont="1">
      <alignment horizontal="center" shrinkToFit="0" vertical="center" wrapText="1"/>
    </xf>
    <xf borderId="11" fillId="8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left" vertical="center"/>
    </xf>
    <xf borderId="0" fillId="0" fontId="18" numFmtId="0" xfId="0" applyAlignment="1" applyFont="1">
      <alignment horizontal="left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shrinkToFit="0" vertical="center" wrapText="1"/>
    </xf>
    <xf borderId="12" fillId="9" fontId="18" numFmtId="0" xfId="0" applyAlignment="1" applyBorder="1" applyFill="1" applyFont="1">
      <alignment horizontal="left" readingOrder="0" vertical="center"/>
    </xf>
    <xf borderId="13" fillId="0" fontId="17" numFmtId="0" xfId="0" applyBorder="1" applyFont="1"/>
    <xf borderId="13" fillId="9" fontId="18" numFmtId="0" xfId="0" applyAlignment="1" applyBorder="1" applyFont="1">
      <alignment horizontal="center" readingOrder="0" shrinkToFit="0" vertical="center" wrapText="1"/>
    </xf>
    <xf borderId="13" fillId="9" fontId="18" numFmtId="0" xfId="0" applyAlignment="1" applyBorder="1" applyFont="1">
      <alignment horizontal="center" readingOrder="0" vertical="center"/>
    </xf>
    <xf borderId="14" fillId="9" fontId="18" numFmtId="0" xfId="0" applyAlignment="1" applyBorder="1" applyFont="1">
      <alignment horizontal="center" shrinkToFit="0" vertical="center" wrapText="1"/>
    </xf>
    <xf borderId="15" fillId="0" fontId="19" numFmtId="0" xfId="0" applyAlignment="1" applyBorder="1" applyFont="1">
      <alignment horizontal="center" readingOrder="0" vertical="center"/>
    </xf>
    <xf borderId="0" fillId="10" fontId="19" numFmtId="0" xfId="0" applyAlignment="1" applyFill="1" applyFont="1">
      <alignment horizontal="left" readingOrder="0" shrinkToFit="0" vertical="center" wrapText="1"/>
    </xf>
    <xf borderId="0" fillId="10" fontId="19" numFmtId="165" xfId="0" applyAlignment="1" applyFont="1" applyNumberFormat="1">
      <alignment horizontal="center" readingOrder="0" shrinkToFit="0" vertical="center" wrapText="1"/>
    </xf>
    <xf borderId="0" fillId="0" fontId="19" numFmtId="165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16" fillId="0" fontId="19" numFmtId="0" xfId="0" applyAlignment="1" applyBorder="1" applyFont="1">
      <alignment horizontal="center" readingOrder="0" vertical="center"/>
    </xf>
    <xf borderId="0" fillId="10" fontId="1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10" fontId="19" numFmtId="0" xfId="0" applyAlignment="1" applyFont="1">
      <alignment readingOrder="0" shrinkToFit="0" vertical="center" wrapText="1"/>
    </xf>
    <xf borderId="17" fillId="0" fontId="19" numFmtId="0" xfId="0" applyAlignment="1" applyBorder="1" applyFont="1">
      <alignment horizontal="center" readingOrder="0" vertical="center"/>
    </xf>
    <xf borderId="18" fillId="10" fontId="19" numFmtId="0" xfId="0" applyAlignment="1" applyBorder="1" applyFont="1">
      <alignment readingOrder="0" shrinkToFit="0" vertical="center" wrapText="1"/>
    </xf>
    <xf borderId="18" fillId="10" fontId="19" numFmtId="0" xfId="0" applyAlignment="1" applyBorder="1" applyFont="1">
      <alignment horizontal="center" readingOrder="0" shrinkToFit="0" vertical="center" wrapText="1"/>
    </xf>
    <xf borderId="18" fillId="0" fontId="19" numFmtId="0" xfId="0" applyAlignment="1" applyBorder="1" applyFont="1">
      <alignment horizontal="center" readingOrder="0" shrinkToFit="0" vertical="center" wrapText="1"/>
    </xf>
    <xf borderId="18" fillId="0" fontId="19" numFmtId="0" xfId="0" applyAlignment="1" applyBorder="1" applyFont="1">
      <alignment horizontal="center" readingOrder="0" vertical="center"/>
    </xf>
    <xf borderId="19" fillId="0" fontId="19" numFmtId="0" xfId="0" applyAlignment="1" applyBorder="1" applyFont="1">
      <alignment horizontal="center" readingOrder="0" vertical="center"/>
    </xf>
    <xf borderId="12" fillId="9" fontId="18" numFmtId="0" xfId="0" applyAlignment="1" applyBorder="1" applyFont="1">
      <alignment horizontal="left" readingOrder="0" shrinkToFit="0" vertical="center" wrapText="1"/>
    </xf>
    <xf borderId="0" fillId="0" fontId="21" numFmtId="0" xfId="0" applyAlignment="1" applyFont="1">
      <alignment horizontal="center" readingOrder="0"/>
    </xf>
    <xf borderId="16" fillId="0" fontId="19" numFmtId="0" xfId="0" applyAlignment="1" applyBorder="1" applyFont="1">
      <alignment horizontal="center" readingOrder="0" shrinkToFit="0" vertical="center" wrapText="1"/>
    </xf>
    <xf borderId="0" fillId="0" fontId="19" numFmtId="10" xfId="0" applyAlignment="1" applyFont="1" applyNumberFormat="1">
      <alignment horizontal="center" readingOrder="0" vertical="center"/>
    </xf>
    <xf borderId="0" fillId="0" fontId="19" numFmtId="9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vertical="center"/>
    </xf>
    <xf borderId="18" fillId="10" fontId="19" numFmtId="0" xfId="0" applyAlignment="1" applyBorder="1" applyFont="1">
      <alignment horizontal="left" readingOrder="0" shrinkToFit="0" vertical="center" wrapText="1"/>
    </xf>
    <xf borderId="18" fillId="0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0" fontId="19" numFmtId="0" xfId="0" applyAlignment="1" applyFont="1">
      <alignment horizontal="center" shrinkToFit="0" vertical="center" wrapText="1"/>
    </xf>
    <xf borderId="18" fillId="10" fontId="19" numFmtId="165" xfId="0" applyAlignment="1" applyBorder="1" applyFont="1" applyNumberFormat="1">
      <alignment horizontal="center" readingOrder="0" shrinkToFit="0" vertical="center" wrapText="1"/>
    </xf>
    <xf borderId="18" fillId="0" fontId="19" numFmtId="165" xfId="0" applyAlignment="1" applyBorder="1" applyFont="1" applyNumberFormat="1">
      <alignment horizontal="center" readingOrder="0" vertical="center"/>
    </xf>
    <xf borderId="18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readingOrder="0" vertical="center"/>
    </xf>
    <xf borderId="12" fillId="11" fontId="22" numFmtId="0" xfId="0" applyAlignment="1" applyBorder="1" applyFill="1" applyFont="1">
      <alignment horizontal="left" readingOrder="0" vertical="center"/>
    </xf>
    <xf borderId="0" fillId="11" fontId="19" numFmtId="0" xfId="0" applyAlignment="1" applyFont="1">
      <alignment horizontal="center" readingOrder="0" shrinkToFit="0" vertical="center" wrapText="1"/>
    </xf>
    <xf borderId="0" fillId="11" fontId="19" numFmtId="0" xfId="0" applyAlignment="1" applyFont="1">
      <alignment horizontal="center" readingOrder="0" vertical="center"/>
    </xf>
    <xf borderId="0" fillId="11" fontId="19" numFmtId="0" xfId="0" applyFont="1"/>
    <xf borderId="0" fillId="11" fontId="19" numFmtId="0" xfId="0" applyAlignment="1" applyFont="1">
      <alignment horizontal="center" vertical="center"/>
    </xf>
    <xf borderId="18" fillId="11" fontId="19" numFmtId="0" xfId="0" applyAlignment="1" applyBorder="1" applyFont="1">
      <alignment horizontal="center" readingOrder="0" shrinkToFit="0" vertical="center" wrapText="1"/>
    </xf>
    <xf borderId="18" fillId="11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shrinkToFit="0" wrapText="1"/>
    </xf>
    <xf borderId="0" fillId="12" fontId="19" numFmtId="0" xfId="0" applyAlignment="1" applyFill="1" applyFont="1">
      <alignment horizontal="center" vertical="center"/>
    </xf>
    <xf borderId="0" fillId="11" fontId="19" numFmtId="0" xfId="0" applyAlignment="1" applyFont="1">
      <alignment horizontal="left" readingOrder="0" shrinkToFit="0" vertical="center" wrapText="1"/>
    </xf>
    <xf borderId="0" fillId="13" fontId="19" numFmtId="0" xfId="0" applyAlignment="1" applyFill="1" applyFont="1">
      <alignment horizontal="center" readingOrder="0"/>
    </xf>
    <xf borderId="0" fillId="0" fontId="19" numFmtId="0" xfId="0" applyAlignment="1" applyFont="1">
      <alignment readingOrder="0" shrinkToFit="0" vertical="center" wrapText="1"/>
    </xf>
    <xf borderId="0" fillId="11" fontId="19" numFmtId="0" xfId="0" applyAlignment="1" applyFont="1">
      <alignment readingOrder="0" shrinkToFit="0" wrapText="1"/>
    </xf>
    <xf borderId="15" fillId="10" fontId="19" numFmtId="0" xfId="0" applyAlignment="1" applyBorder="1" applyFont="1">
      <alignment horizontal="center" readingOrder="0" shrinkToFit="0" vertical="center" wrapText="1"/>
    </xf>
    <xf borderId="18" fillId="13" fontId="19" numFmtId="0" xfId="0" applyAlignment="1" applyBorder="1" applyFont="1">
      <alignment horizontal="center" readingOrder="0" shrinkToFit="0" vertical="center" wrapText="1"/>
    </xf>
    <xf borderId="0" fillId="9" fontId="18" numFmtId="0" xfId="0" applyAlignment="1" applyFont="1">
      <alignment horizontal="left" readingOrder="0" shrinkToFit="0" vertical="center" wrapText="1"/>
    </xf>
    <xf borderId="0" fillId="10" fontId="19" numFmtId="9" xfId="0" applyAlignment="1" applyFont="1" applyNumberFormat="1">
      <alignment horizontal="center" readingOrder="0" shrinkToFit="0" vertical="center" wrapText="1"/>
    </xf>
    <xf borderId="0" fillId="14" fontId="19" numFmtId="0" xfId="0" applyAlignment="1" applyFill="1" applyFont="1">
      <alignment horizontal="left" readingOrder="0" vertical="center"/>
    </xf>
    <xf borderId="0" fillId="10" fontId="20" numFmtId="0" xfId="0" applyAlignment="1" applyFont="1">
      <alignment horizontal="left" readingOrder="0" shrinkToFit="0" vertical="center" wrapText="1"/>
    </xf>
    <xf borderId="0" fillId="15" fontId="23" numFmtId="0" xfId="0" applyAlignment="1" applyFill="1" applyFont="1">
      <alignment horizontal="center" vertical="center"/>
    </xf>
    <xf borderId="0" fillId="3" fontId="24" numFmtId="0" xfId="0" applyAlignment="1" applyFont="1">
      <alignment horizontal="left" vertical="center"/>
    </xf>
    <xf borderId="0" fillId="9" fontId="18" numFmtId="0" xfId="0" applyAlignment="1" applyFont="1">
      <alignment horizontal="left" vertical="center"/>
    </xf>
    <xf borderId="0" fillId="0" fontId="25" numFmtId="0" xfId="0" applyFont="1"/>
    <xf borderId="0" fillId="16" fontId="8" numFmtId="0" xfId="0" applyAlignment="1" applyFill="1" applyFont="1">
      <alignment horizontal="left" shrinkToFit="0" vertical="center" wrapText="1"/>
    </xf>
    <xf borderId="0" fillId="0" fontId="26" numFmtId="0" xfId="0" applyFont="1"/>
    <xf borderId="0" fillId="4" fontId="18" numFmtId="0" xfId="0" applyAlignment="1" applyFont="1">
      <alignment horizontal="left" vertical="center"/>
    </xf>
    <xf borderId="0" fillId="4" fontId="27" numFmtId="0" xfId="0" applyAlignment="1" applyFont="1">
      <alignment horizontal="center" shrinkToFit="0" vertical="center" wrapText="1"/>
    </xf>
    <xf borderId="0" fillId="0" fontId="0" numFmtId="0" xfId="0" applyFont="1"/>
    <xf borderId="0" fillId="0" fontId="8" numFmtId="0" xfId="0" applyAlignment="1" applyFont="1">
      <alignment shrinkToFit="0" vertical="top" wrapText="1"/>
    </xf>
    <xf borderId="0" fillId="0" fontId="26" numFmtId="0" xfId="0" applyAlignment="1" applyFont="1">
      <alignment readingOrder="0"/>
    </xf>
    <xf borderId="0" fillId="17" fontId="18" numFmtId="0" xfId="0" applyAlignment="1" applyFill="1" applyFont="1">
      <alignment horizontal="center" vertical="center"/>
    </xf>
    <xf borderId="0" fillId="0" fontId="28" numFmtId="0" xfId="0" applyFont="1"/>
    <xf borderId="0" fillId="18" fontId="15" numFmtId="0" xfId="0" applyAlignment="1" applyFill="1" applyFont="1">
      <alignment horizontal="center"/>
    </xf>
    <xf borderId="0" fillId="0" fontId="15" numFmtId="0" xfId="0" applyAlignment="1" applyFont="1">
      <alignment readingOrder="0"/>
    </xf>
    <xf borderId="0" fillId="0" fontId="29" numFmtId="0" xfId="0" applyFont="1"/>
    <xf borderId="0" fillId="16" fontId="29" numFmtId="0" xfId="0" applyAlignment="1" applyFont="1">
      <alignment horizontal="left" readingOrder="0" shrinkToFit="0" vertical="center" wrapText="1"/>
    </xf>
    <xf borderId="0" fillId="0" fontId="30" numFmtId="0" xfId="0" applyFont="1"/>
    <xf borderId="0" fillId="16" fontId="31" numFmtId="0" xfId="0" applyAlignment="1" applyFont="1">
      <alignment horizontal="left" readingOrder="0" shrinkToFit="0" vertical="center" wrapText="1"/>
    </xf>
    <xf borderId="0" fillId="16" fontId="32" numFmtId="0" xfId="0" applyAlignment="1" applyFont="1">
      <alignment horizontal="left" readingOrder="0" shrinkToFit="0" vertical="center" wrapText="1"/>
    </xf>
    <xf borderId="0" fillId="16" fontId="29" numFmtId="0" xfId="0" applyAlignment="1" applyFont="1">
      <alignment horizontal="left" shrinkToFit="0" vertical="center" wrapText="1"/>
    </xf>
    <xf borderId="0" fillId="4" fontId="24" numFmtId="0" xfId="0" applyAlignment="1" applyFont="1">
      <alignment horizontal="left" vertical="center"/>
    </xf>
    <xf borderId="0" fillId="4" fontId="33" numFmtId="0" xfId="0" applyAlignment="1" applyFont="1">
      <alignment horizontal="center" shrinkToFit="0" vertical="center" wrapText="1"/>
    </xf>
    <xf borderId="0" fillId="0" fontId="29" numFmtId="0" xfId="0" applyAlignment="1" applyFont="1">
      <alignment shrinkToFit="0" vertical="top" wrapText="1"/>
    </xf>
    <xf borderId="0" fillId="0" fontId="34" numFmtId="0" xfId="0" applyFont="1"/>
    <xf borderId="0" fillId="0" fontId="31" numFmtId="0" xfId="0" applyAlignment="1" applyFont="1">
      <alignment shrinkToFit="0" vertical="top" wrapText="1"/>
    </xf>
    <xf borderId="0" fillId="17" fontId="35" numFmtId="0" xfId="0" applyAlignment="1" applyFont="1">
      <alignment horizontal="center" vertical="center"/>
    </xf>
    <xf borderId="0" fillId="0" fontId="36" numFmtId="0" xfId="0" applyFont="1"/>
    <xf borderId="0" fillId="0" fontId="37" numFmtId="0" xfId="0" applyFont="1"/>
    <xf borderId="0" fillId="18" fontId="36" numFmtId="0" xfId="0" applyAlignment="1" applyFont="1">
      <alignment horizontal="center"/>
    </xf>
    <xf borderId="0" fillId="9" fontId="18" numFmtId="0" xfId="0" applyAlignment="1" applyFont="1">
      <alignment horizontal="left" readingOrder="0" vertical="center"/>
    </xf>
    <xf borderId="0" fillId="0" fontId="30" numFmtId="0" xfId="0" applyAlignment="1" applyFont="1">
      <alignment shrinkToFit="0" wrapText="1"/>
    </xf>
    <xf borderId="0" fillId="0" fontId="28" numFmtId="0" xfId="0" applyAlignment="1" applyFont="1">
      <alignment shrinkToFit="0" wrapText="1"/>
    </xf>
    <xf borderId="0" fillId="0" fontId="38" numFmtId="0" xfId="0" applyAlignment="1" applyFont="1">
      <alignment readingOrder="0"/>
    </xf>
    <xf borderId="0" fillId="15" fontId="23" numFmtId="0" xfId="0" applyAlignment="1" applyFont="1">
      <alignment horizontal="center" shrinkToFit="0" vertical="center" wrapText="1"/>
    </xf>
    <xf borderId="0" fillId="0" fontId="21" numFmtId="0" xfId="0" applyAlignment="1" applyFont="1">
      <alignment shrinkToFit="0" wrapText="1"/>
    </xf>
    <xf borderId="0" fillId="0" fontId="15" numFmtId="0" xfId="0" applyAlignment="1" applyFont="1">
      <alignment shrinkToFit="0" wrapText="1"/>
    </xf>
    <xf borderId="0" fillId="3" fontId="24" numFmtId="0" xfId="0" applyAlignment="1" applyFont="1">
      <alignment horizontal="left" shrinkToFit="0" vertical="center" wrapText="1"/>
    </xf>
    <xf borderId="0" fillId="0" fontId="25" numFmtId="0" xfId="0" applyAlignment="1" applyFont="1">
      <alignment shrinkToFit="0" wrapText="1"/>
    </xf>
    <xf borderId="0" fillId="0" fontId="29" numFmtId="0" xfId="0" applyAlignment="1" applyFont="1">
      <alignment shrinkToFit="0" wrapText="1"/>
    </xf>
    <xf borderId="0" fillId="4" fontId="24" numFmtId="0" xfId="0" applyAlignment="1" applyFont="1">
      <alignment horizontal="left" shrinkToFit="0" vertical="center" wrapText="1"/>
    </xf>
    <xf borderId="0" fillId="11" fontId="20" numFmtId="0" xfId="0" applyAlignment="1" applyFont="1">
      <alignment horizontal="left" readingOrder="0" shrinkToFit="0" vertical="center" wrapText="1"/>
    </xf>
    <xf borderId="18" fillId="10" fontId="20" numFmtId="0" xfId="0" applyAlignment="1" applyBorder="1" applyFont="1">
      <alignment horizontal="left" readingOrder="0" shrinkToFit="0" vertical="center" wrapText="1"/>
    </xf>
    <xf borderId="0" fillId="19" fontId="28" numFmtId="0" xfId="0" applyAlignment="1" applyFill="1" applyFont="1">
      <alignment horizontal="center" readingOrder="0"/>
    </xf>
    <xf borderId="0" fillId="12" fontId="21" numFmtId="0" xfId="0" applyAlignment="1" applyFont="1">
      <alignment readingOrder="0" shrinkToFit="0" wrapText="1"/>
    </xf>
    <xf borderId="0" fillId="12" fontId="21" numFmtId="0" xfId="0" applyAlignment="1" applyFont="1">
      <alignment shrinkToFit="0" wrapText="1"/>
    </xf>
    <xf borderId="0" fillId="0" fontId="21" numFmtId="0" xfId="0" applyAlignment="1" applyFont="1">
      <alignment readingOrder="0" shrinkToFit="0" wrapText="1"/>
    </xf>
    <xf borderId="0" fillId="11" fontId="21" numFmtId="0" xfId="0" applyAlignment="1" applyFont="1">
      <alignment readingOrder="0" shrinkToFit="0" wrapText="1"/>
    </xf>
    <xf borderId="0" fillId="11" fontId="21" numFmtId="0" xfId="0" applyAlignment="1" applyFont="1">
      <alignment shrinkToFit="0" wrapText="1"/>
    </xf>
    <xf borderId="0" fillId="20" fontId="21" numFmtId="0" xfId="0" applyAlignment="1" applyFill="1" applyFont="1">
      <alignment readingOrder="0" shrinkToFit="0" wrapText="1"/>
    </xf>
    <xf borderId="0" fillId="20" fontId="21" numFmtId="0" xfId="0" applyAlignment="1" applyFont="1">
      <alignment shrinkToFit="0" wrapText="1"/>
    </xf>
    <xf borderId="0" fillId="9" fontId="18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0" fillId="0" fontId="26" numFmtId="0" xfId="0" applyAlignment="1" applyFont="1">
      <alignment shrinkToFit="0" wrapText="1"/>
    </xf>
    <xf borderId="0" fillId="17" fontId="18" numFmtId="0" xfId="0" applyAlignment="1" applyFont="1">
      <alignment horizontal="center" shrinkToFit="0" vertical="center" wrapText="1"/>
    </xf>
    <xf borderId="0" fillId="18" fontId="15" numFmtId="0" xfId="0" applyAlignment="1" applyFont="1">
      <alignment horizontal="center" shrinkToFit="0" wrapText="1"/>
    </xf>
    <xf borderId="0" fillId="0" fontId="15" numFmtId="0" xfId="0" applyAlignment="1" applyFont="1">
      <alignment readingOrder="0" shrinkToFit="0" wrapText="1"/>
    </xf>
    <xf borderId="0" fillId="16" fontId="8" numFmtId="0" xfId="0" applyAlignment="1" applyFont="1">
      <alignment horizontal="left" readingOrder="0" shrinkToFit="0" vertical="center" wrapText="1"/>
    </xf>
    <xf borderId="0" fillId="0" fontId="38" numFmtId="0" xfId="0" applyAlignment="1" applyFont="1">
      <alignment readingOrder="0" shrinkToFit="0" wrapText="1"/>
    </xf>
    <xf borderId="0" fillId="0" fontId="38" numFmtId="0" xfId="0" applyAlignment="1" applyFont="1">
      <alignment shrinkToFit="0" wrapText="1"/>
    </xf>
    <xf borderId="0" fillId="11" fontId="15" numFmtId="0" xfId="0" applyAlignment="1" applyFont="1">
      <alignment readingOrder="0" shrinkToFit="0" wrapText="1"/>
    </xf>
    <xf borderId="0" fillId="11" fontId="15" numFmtId="0" xfId="0" applyAlignment="1" applyFont="1">
      <alignment shrinkToFit="0" wrapText="1"/>
    </xf>
    <xf borderId="0" fillId="0" fontId="28" numFmtId="0" xfId="0" applyAlignment="1" applyFont="1">
      <alignment readingOrder="0"/>
    </xf>
    <xf borderId="0" fillId="0" fontId="21" numFmtId="0" xfId="0" applyAlignment="1" applyFont="1">
      <alignment readingOrder="0"/>
    </xf>
    <xf borderId="0" fillId="6" fontId="19" numFmtId="0" xfId="0" applyAlignment="1" applyFont="1">
      <alignment horizontal="left" readingOrder="0" shrinkToFit="0" vertical="center" wrapText="1"/>
    </xf>
    <xf borderId="0" fillId="21" fontId="29" numFmtId="0" xfId="0" applyAlignment="1" applyFill="1" applyFont="1">
      <alignment horizontal="left" vertical="center"/>
    </xf>
    <xf borderId="0" fillId="21" fontId="29" numFmtId="49" xfId="0" applyAlignment="1" applyFont="1" applyNumberFormat="1">
      <alignment horizontal="left" shrinkToFit="0" vertical="center" wrapText="1"/>
    </xf>
    <xf borderId="0" fillId="0" fontId="29" numFmtId="0" xfId="0" applyAlignment="1" applyFont="1">
      <alignment horizontal="left" shrinkToFit="0" vertical="center" wrapText="1"/>
    </xf>
    <xf borderId="0" fillId="21" fontId="29" numFmtId="0" xfId="0" applyAlignment="1" applyFont="1">
      <alignment horizontal="left" shrinkToFit="0" vertical="center" wrapText="1"/>
    </xf>
    <xf borderId="0" fillId="0" fontId="29" numFmtId="0" xfId="0" applyAlignment="1" applyFont="1">
      <alignment horizontal="left" vertical="center"/>
    </xf>
    <xf borderId="0" fillId="10" fontId="29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10" fontId="29" numFmtId="0" xfId="0" applyAlignment="1" applyFont="1">
      <alignment vertical="center"/>
    </xf>
    <xf borderId="0" fillId="0" fontId="29" numFmtId="0" xfId="0" applyAlignment="1" applyFont="1">
      <alignment vertical="center"/>
    </xf>
    <xf borderId="0" fillId="22" fontId="29" numFmtId="0" xfId="0" applyAlignment="1" applyFill="1" applyFont="1">
      <alignment shrinkToFit="0" vertical="center" wrapText="1"/>
    </xf>
    <xf borderId="0" fillId="22" fontId="29" numFmtId="0" xfId="0" applyAlignment="1" applyFont="1">
      <alignment vertical="center"/>
    </xf>
    <xf borderId="0" fillId="0" fontId="29" numFmtId="0" xfId="0" applyAlignment="1" applyFont="1">
      <alignment readingOrder="0" vertical="center"/>
    </xf>
    <xf borderId="0" fillId="0" fontId="29" numFmtId="166" xfId="0" applyAlignment="1" applyFont="1" applyNumberFormat="1">
      <alignment vertical="center"/>
    </xf>
    <xf borderId="11" fillId="0" fontId="8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1" fillId="23" fontId="39" numFmtId="0" xfId="0" applyAlignment="1" applyBorder="1" applyFill="1" applyFont="1">
      <alignment horizontal="center" vertical="center"/>
    </xf>
    <xf borderId="2" fillId="0" fontId="17" numFmtId="0" xfId="0" applyBorder="1" applyFont="1"/>
    <xf borderId="3" fillId="0" fontId="17" numFmtId="0" xfId="0" applyBorder="1" applyFont="1"/>
    <xf borderId="0" fillId="0" fontId="2" numFmtId="0" xfId="0" applyFont="1"/>
    <xf borderId="0" fillId="0" fontId="9" numFmtId="0" xfId="0" applyFont="1"/>
    <xf borderId="20" fillId="24" fontId="40" numFmtId="0" xfId="0" applyAlignment="1" applyBorder="1" applyFill="1" applyFont="1">
      <alignment horizontal="center"/>
    </xf>
    <xf borderId="21" fillId="0" fontId="17" numFmtId="0" xfId="0" applyBorder="1" applyFont="1"/>
    <xf borderId="11" fillId="15" fontId="9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shrinkToFit="0" vertical="top" wrapText="1"/>
    </xf>
    <xf borderId="11" fillId="3" fontId="7" numFmtId="0" xfId="0" applyAlignment="1" applyBorder="1" applyFont="1">
      <alignment shrinkToFit="0" vertical="top" wrapText="1"/>
    </xf>
    <xf borderId="11" fillId="25" fontId="7" numFmtId="0" xfId="0" applyAlignment="1" applyBorder="1" applyFill="1" applyFont="1">
      <alignment shrinkToFit="0" vertical="top" wrapText="1"/>
    </xf>
    <xf borderId="11" fillId="26" fontId="7" numFmtId="0" xfId="0" applyAlignment="1" applyBorder="1" applyFill="1" applyFont="1">
      <alignment shrinkToFit="0" vertical="top" wrapText="1"/>
    </xf>
    <xf borderId="11" fillId="4" fontId="7" numFmtId="0" xfId="0" applyAlignment="1" applyBorder="1" applyFont="1">
      <alignment shrinkToFit="0" vertical="top" wrapText="1"/>
    </xf>
    <xf borderId="1" fillId="24" fontId="40" numFmtId="0" xfId="0" applyAlignment="1" applyBorder="1" applyFont="1">
      <alignment horizontal="center"/>
    </xf>
    <xf borderId="22" fillId="3" fontId="7" numFmtId="0" xfId="0" applyAlignment="1" applyBorder="1" applyFont="1">
      <alignment horizontal="left" vertical="center"/>
    </xf>
    <xf borderId="23" fillId="0" fontId="17" numFmtId="0" xfId="0" applyBorder="1" applyFont="1"/>
    <xf borderId="24" fillId="0" fontId="2" numFmtId="0" xfId="0" applyBorder="1" applyFont="1"/>
    <xf borderId="23" fillId="0" fontId="2" numFmtId="0" xfId="0" applyBorder="1" applyFont="1"/>
    <xf borderId="11" fillId="15" fontId="12" numFmtId="0" xfId="0" applyAlignment="1" applyBorder="1" applyFont="1">
      <alignment horizontal="center" shrinkToFit="0" wrapText="1"/>
    </xf>
    <xf borderId="22" fillId="4" fontId="7" numFmtId="0" xfId="0" applyAlignment="1" applyBorder="1" applyFont="1">
      <alignment horizontal="left" vertical="center"/>
    </xf>
    <xf borderId="22" fillId="26" fontId="7" numFmtId="0" xfId="0" applyAlignment="1" applyBorder="1" applyFont="1">
      <alignment horizontal="left" vertical="center"/>
    </xf>
    <xf borderId="11" fillId="26" fontId="7" numFmtId="0" xfId="0" applyAlignment="1" applyBorder="1" applyFont="1">
      <alignment horizontal="left" vertical="center"/>
    </xf>
    <xf borderId="11" fillId="25" fontId="7" numFmtId="0" xfId="0" applyAlignment="1" applyBorder="1" applyFont="1">
      <alignment horizontal="left" vertical="center"/>
    </xf>
    <xf borderId="1" fillId="3" fontId="39" numFmtId="0" xfId="0" applyAlignment="1" applyBorder="1" applyFont="1">
      <alignment horizontal="center" vertical="center"/>
    </xf>
    <xf borderId="0" fillId="0" fontId="2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3" fontId="40" numFmtId="0" xfId="0" applyAlignment="1" applyBorder="1" applyFont="1">
      <alignment horizontal="center"/>
    </xf>
    <xf borderId="11" fillId="15" fontId="9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readingOrder="0" shrinkToFit="0" vertical="top" wrapText="1"/>
    </xf>
    <xf borderId="11" fillId="16" fontId="9" numFmtId="0" xfId="0" applyAlignment="1" applyBorder="1" applyFont="1">
      <alignment horizontal="center" shrinkToFit="0" vertical="center" wrapText="1"/>
    </xf>
    <xf borderId="1" fillId="27" fontId="7" numFmtId="0" xfId="0" applyAlignment="1" applyBorder="1" applyFill="1" applyFont="1">
      <alignment horizontal="center"/>
    </xf>
    <xf borderId="11" fillId="18" fontId="12" numFmtId="0" xfId="0" applyAlignment="1" applyBorder="1" applyFont="1">
      <alignment horizontal="center" shrinkToFit="0" wrapText="1"/>
    </xf>
    <xf borderId="11" fillId="0" fontId="2" numFmtId="0" xfId="0" applyBorder="1" applyFont="1"/>
    <xf borderId="22" fillId="8" fontId="9" numFmtId="0" xfId="0" applyAlignment="1" applyBorder="1" applyFont="1">
      <alignment horizontal="center"/>
    </xf>
    <xf borderId="24" fillId="0" fontId="17" numFmtId="0" xfId="0" applyBorder="1" applyFont="1"/>
    <xf borderId="11" fillId="18" fontId="12" numFmtId="0" xfId="0" applyBorder="1" applyFont="1"/>
    <xf borderId="22" fillId="18" fontId="10" numFmtId="0" xfId="0" applyBorder="1" applyFont="1"/>
    <xf borderId="1" fillId="25" fontId="41" numFmtId="0" xfId="0" applyAlignment="1" applyBorder="1" applyFont="1">
      <alignment horizontal="center" vertical="center"/>
    </xf>
    <xf borderId="0" fillId="0" fontId="42" numFmtId="0" xfId="0" applyFont="1"/>
    <xf borderId="0" fillId="0" fontId="42" numFmtId="0" xfId="0" applyFont="1"/>
    <xf borderId="0" fillId="0" fontId="43" numFmtId="0" xfId="0" applyFont="1"/>
    <xf borderId="0" fillId="0" fontId="43" numFmtId="0" xfId="0" applyAlignment="1" applyFont="1">
      <alignment shrinkToFit="0" wrapText="1"/>
    </xf>
    <xf borderId="0" fillId="0" fontId="42" numFmtId="0" xfId="0" applyAlignment="1" applyFont="1">
      <alignment readingOrder="0" vertical="bottom"/>
    </xf>
    <xf borderId="0" fillId="0" fontId="42" numFmtId="0" xfId="0" applyAlignment="1" applyFont="1">
      <alignment shrinkToFit="0" vertical="bottom" wrapText="1"/>
    </xf>
    <xf borderId="0" fillId="0" fontId="42" numFmtId="0" xfId="0" applyAlignment="1" applyFont="1">
      <alignment vertical="bottom"/>
    </xf>
    <xf borderId="1" fillId="25" fontId="41" numFmtId="0" xfId="0" applyAlignment="1" applyBorder="1" applyFont="1">
      <alignment horizontal="center"/>
    </xf>
    <xf borderId="11" fillId="15" fontId="43" numFmtId="0" xfId="0" applyAlignment="1" applyBorder="1" applyFont="1">
      <alignment horizontal="center" shrinkToFit="0" vertical="center" wrapText="1"/>
    </xf>
    <xf borderId="11" fillId="0" fontId="42" numFmtId="0" xfId="0" applyAlignment="1" applyBorder="1" applyFont="1">
      <alignment shrinkToFit="0" vertical="top" wrapText="1"/>
    </xf>
    <xf borderId="11" fillId="0" fontId="42" numFmtId="0" xfId="0" applyAlignment="1" applyBorder="1" applyFont="1">
      <alignment readingOrder="0" shrinkToFit="0" vertical="top" wrapText="1"/>
    </xf>
    <xf borderId="1" fillId="24" fontId="41" numFmtId="0" xfId="0" applyAlignment="1" applyBorder="1" applyFont="1">
      <alignment horizontal="center"/>
    </xf>
    <xf borderId="11" fillId="16" fontId="43" numFmtId="0" xfId="0" applyAlignment="1" applyBorder="1" applyFont="1">
      <alignment horizontal="center" shrinkToFit="0" vertical="center" wrapText="1"/>
    </xf>
    <xf borderId="11" fillId="16" fontId="43" numFmtId="0" xfId="0" applyAlignment="1" applyBorder="1" applyFont="1">
      <alignment horizontal="center" readingOrder="0" shrinkToFit="0" vertical="center" wrapText="1"/>
    </xf>
    <xf borderId="0" fillId="0" fontId="42" numFmtId="0" xfId="0" applyAlignment="1" applyFont="1">
      <alignment readingOrder="0"/>
    </xf>
    <xf borderId="0" fillId="0" fontId="42" numFmtId="0" xfId="0" applyAlignment="1" applyFont="1">
      <alignment readingOrder="0" shrinkToFit="0" wrapText="1"/>
    </xf>
    <xf borderId="0" fillId="11" fontId="42" numFmtId="0" xfId="0" applyAlignment="1" applyFont="1">
      <alignment readingOrder="0" shrinkToFit="0" wrapText="1"/>
    </xf>
    <xf borderId="1" fillId="27" fontId="41" numFmtId="0" xfId="0" applyAlignment="1" applyBorder="1" applyFont="1">
      <alignment horizontal="center"/>
    </xf>
    <xf borderId="11" fillId="18" fontId="43" numFmtId="0" xfId="0" applyAlignment="1" applyBorder="1" applyFont="1">
      <alignment horizontal="center" shrinkToFit="0" wrapText="1"/>
    </xf>
    <xf borderId="11" fillId="0" fontId="42" numFmtId="0" xfId="0" applyBorder="1" applyFont="1"/>
    <xf borderId="11" fillId="0" fontId="42" numFmtId="0" xfId="0" applyAlignment="1" applyBorder="1" applyFont="1">
      <alignment shrinkToFit="0" wrapText="1"/>
    </xf>
    <xf borderId="11" fillId="0" fontId="42" numFmtId="0" xfId="0" applyAlignment="1" applyBorder="1" applyFont="1">
      <alignment readingOrder="0"/>
    </xf>
    <xf borderId="11" fillId="0" fontId="42" numFmtId="0" xfId="0" applyAlignment="1" applyBorder="1" applyFont="1">
      <alignment readingOrder="0" shrinkToFit="0" wrapText="1"/>
    </xf>
    <xf borderId="22" fillId="8" fontId="43" numFmtId="0" xfId="0" applyAlignment="1" applyBorder="1" applyFont="1">
      <alignment horizontal="center"/>
    </xf>
    <xf borderId="11" fillId="18" fontId="43" numFmtId="0" xfId="0" applyBorder="1" applyFont="1"/>
    <xf borderId="22" fillId="18" fontId="42" numFmtId="0" xfId="0" applyBorder="1" applyFont="1"/>
    <xf borderId="1" fillId="26" fontId="41" numFmtId="0" xfId="0" applyAlignment="1" applyBorder="1" applyFont="1">
      <alignment horizontal="center" vertical="center"/>
    </xf>
    <xf borderId="11" fillId="0" fontId="43" numFmtId="0" xfId="0" applyAlignment="1" applyBorder="1" applyFont="1">
      <alignment shrinkToFit="0" wrapText="1"/>
    </xf>
    <xf borderId="11" fillId="0" fontId="42" numFmtId="0" xfId="0" applyAlignment="1" applyBorder="1" applyFont="1">
      <alignment readingOrder="0" vertical="bottom"/>
    </xf>
    <xf borderId="11" fillId="0" fontId="42" numFmtId="0" xfId="0" applyAlignment="1" applyBorder="1" applyFont="1">
      <alignment shrinkToFit="0" vertical="bottom" wrapText="1"/>
    </xf>
    <xf borderId="11" fillId="0" fontId="42" numFmtId="0" xfId="0" applyAlignment="1" applyBorder="1" applyFont="1">
      <alignment vertical="bottom"/>
    </xf>
    <xf borderId="1" fillId="26" fontId="41" numFmtId="0" xfId="0" applyAlignment="1" applyBorder="1" applyFont="1">
      <alignment horizontal="center"/>
    </xf>
    <xf borderId="1" fillId="4" fontId="41" numFmtId="0" xfId="0" applyAlignment="1" applyBorder="1" applyFont="1">
      <alignment horizontal="center" vertical="center"/>
    </xf>
    <xf borderId="1" fillId="4" fontId="41" numFmtId="0" xfId="0" applyAlignment="1" applyBorder="1" applyFont="1">
      <alignment horizontal="center"/>
    </xf>
    <xf borderId="11" fillId="0" fontId="42" numFmtId="9" xfId="0" applyAlignment="1" applyBorder="1" applyFont="1" applyNumberFormat="1">
      <alignment readingOrder="0" shrinkToFit="0" vertical="top" wrapText="1"/>
    </xf>
    <xf borderId="1" fillId="26" fontId="39" numFmtId="0" xfId="0" applyAlignment="1" applyBorder="1" applyFont="1">
      <alignment horizontal="center" vertical="center"/>
    </xf>
    <xf borderId="0" fillId="0" fontId="9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1" fillId="26" fontId="40" numFmtId="0" xfId="0" applyAlignment="1" applyBorder="1" applyFont="1">
      <alignment horizontal="center"/>
    </xf>
    <xf borderId="11" fillId="0" fontId="2" numFmtId="0" xfId="0" applyAlignment="1" applyBorder="1" applyFont="1">
      <alignment shrinkToFit="0" wrapText="1"/>
    </xf>
    <xf borderId="1" fillId="4" fontId="39" numFmtId="0" xfId="0" applyAlignment="1" applyBorder="1" applyFont="1">
      <alignment horizontal="center" vertical="center"/>
    </xf>
    <xf borderId="1" fillId="4" fontId="40" numFmtId="0" xfId="0" applyAlignment="1" applyBorder="1" applyFont="1">
      <alignment horizontal="center"/>
    </xf>
    <xf borderId="11" fillId="0" fontId="2" numFmtId="165" xfId="0" applyAlignment="1" applyBorder="1" applyFont="1" applyNumberFormat="1">
      <alignment readingOrder="0" shrinkToFit="0" vertical="top" wrapText="1"/>
    </xf>
    <xf borderId="11" fillId="0" fontId="2" numFmtId="9" xfId="0" applyAlignment="1" applyBorder="1" applyFont="1" applyNumberFormat="1">
      <alignment readingOrder="0" shrinkToFit="0" vertical="top" wrapText="1"/>
    </xf>
    <xf borderId="11" fillId="16" fontId="9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readingOrder="0" shrinkToFit="0" wrapText="1"/>
    </xf>
    <xf borderId="11" fillId="0" fontId="2" numFmtId="0" xfId="0" applyAlignment="1" applyBorder="1" applyFont="1">
      <alignment readingOrder="0"/>
    </xf>
    <xf borderId="11" fillId="8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Банк гипотез идей задач-style">
      <tableStyleElement dxfId="1" type="headerRow"/>
      <tableStyleElement dxfId="2" type="firstRowStripe"/>
      <tableStyleElement dxfId="3" type="secondRowStripe"/>
    </tableStyle>
    <tableStyle count="3" pivot="0" name="Ограничения  узелки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Шыңғыс Тоқтағазинов" id="{404a965f-bd7a-468b-8723-efd2a22cac58}" providerId="google-sheets"/>
</x18tc:personList>
</file>

<file path=xl/tables/table1.xml><?xml version="1.0" encoding="utf-8"?>
<table xmlns="http://schemas.openxmlformats.org/spreadsheetml/2006/main" ref="A1:I253" displayName="Table_1" name="Table_1" id="1">
  <tableColumns count="9">
    <tableColumn name="Тип" id="1"/>
    <tableColumn name="Короткое описание" id="2"/>
    <tableColumn name="Гипотеза (полное описание)" id="3"/>
    <tableColumn name="Какой OKR достигаем" id="4"/>
    <tableColumn name="Какой узелок / ограничение решаем" id="5"/>
    <tableColumn name="Как поймем что достигли" id="6"/>
    <tableColumn name="Метрика опровержения" id="7"/>
    <tableColumn name="Срок" id="8"/>
    <tableColumn name="Ответственный" id="9"/>
  </tableColumns>
  <tableStyleInfo name="Банк гипотез идей задач-style" showColumnStripes="0" showFirstColumn="1" showLastColumn="1" showRowStripes="1"/>
</table>
</file>

<file path=xl/tables/table2.xml><?xml version="1.0" encoding="utf-8"?>
<table xmlns="http://schemas.openxmlformats.org/spreadsheetml/2006/main" ref="A1:Z223" displayName="Table_2" name="Table_2" id="2">
  <tableColumns count="26">
    <tableColumn name="№" id="1"/>
    <tableColumn name="Приоритет" id="2"/>
    <tableColumn name="Ограничение / узелок" id="3"/>
    <tableColumn name="Тип ограничения (TOC)" id="4"/>
    <tableColumn name="TOC Score (%)" id="5"/>
    <tableColumn name="Системное влияние" id="6"/>
    <tableColumn name="Цепная реакция" id="7"/>
    <tableColumn name="Частота" id="8"/>
    <tableColumn name="Перегрузка" id="9"/>
    <tableColumn name="Явные указания" id="10"/>
    <tableColumn name="Контекст" id="11"/>
    <tableColumn name="Топ-решение" id="12"/>
    <tableColumn name="Источник" id="13"/>
    <tableColumn name="Упоминаний" id="14"/>
    <tableColumn name="Column 1" id="15"/>
    <tableColumn name="Column 2" id="16"/>
    <tableColumn name="Column 3" id="17"/>
    <tableColumn name="Column 4" id="18"/>
    <tableColumn name="Column 5" id="19"/>
    <tableColumn name="Column 6" id="20"/>
    <tableColumn name="Column 7" id="21"/>
    <tableColumn name="Column 8" id="22"/>
    <tableColumn name="Column 9" id="23"/>
    <tableColumn name="Column 10" id="24"/>
    <tableColumn name="Column 11" id="25"/>
    <tableColumn name="Column 12" id="26"/>
  </tableColumns>
  <tableStyleInfo name="Ограничения  узелк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1" dT="2026-02-22T11:36:42.00" personId="{404a965f-bd7a-468b-8723-efd2a22cac58}" id="{23e97e2a-65b4-44de-bad1-d223c8d4a2fe}" done="0">
    <x18tc:text xml:space="preserve">средний</x18tc:text>
  </x18tc:threadedComment>
  <x18tc:threadedComment ref="D62" dT="2026-02-24T08:31:21.00" personId="{404a965f-bd7a-468b-8723-efd2a22cac58}" id="{1975bfa1-c2a6-49c6-8329-354d766d2656}" done="0">
    <x18tc:text xml:space="preserve">3.2</x18tc:text>
  </x18tc:threadedComment>
  <x18tc:threadedComment ref="C61" dT="2026-02-22T11:36:13.00" personId="{404a965f-bd7a-468b-8723-efd2a22cac58}" id="{9dadc54d-c6b5-4a3e-84f3-3f3df1b266c3}" done="0">
    <x18tc:text xml:space="preserve">Новая гипотеза
ЕСЛИ показывать правильный ответ сразу после каждого вопроса в тренажёре,
ТО пользователи будут дольше заниматься и чаще завершать сессию,
ПОТОМУ ЧТО мгновенная обратная связь снижает фрустрацию и помогает учиться на ошибке.</x18tc:text>
  </x18tc:threadedComment>
  <x18tc:threadedComment ref="E62" dT="2026-02-24T08:31:27.00" personId="{404a965f-bd7a-468b-8723-efd2a22cac58}" id="{a22721c5-a787-45c6-bb2f-909232382297}" done="0">
    <x18tc:text xml:space="preserve">средний</x18tc:text>
  </x18tc:threadedComment>
  <x18tc:threadedComment ref="G23" dT="2026-02-22T11:23:08.00" personId="{404a965f-bd7a-468b-8723-efd2a22cac58}" id="{3e0e0251-782b-40be-a376-3c95999d809e}" done="0">
    <x18tc:text xml:space="preserve">24.02 крайний срок. Будет произведен стресс-тест и сравнение с прошлыми результатами по оптимизации</x18tc:text>
  </x18tc:threadedComment>
  <x18tc:threadedComment ref="F62" dT="2026-02-24T08:31:32.00" personId="{404a965f-bd7a-468b-8723-efd2a22cac58}" id="{1affedf7-ad45-4ee3-8dd6-b4cc74e80e92}" done="0">
    <x18tc:text xml:space="preserve">17.02</x18tc:text>
  </x18tc:threadedComment>
  <x18tc:threadedComment ref="D61" dT="2026-02-24T08:18:26.00" personId="{404a965f-bd7a-468b-8723-efd2a22cac58}" id="{775c4843-d289-4fd7-9ce2-2cdbeb82ad13}" done="0">
    <x18tc:text xml:space="preserve">3.3</x18tc:text>
  </x18tc:threadedComment>
  <x18tc:threadedComment ref="G22" dT="2026-02-22T11:21:44.00" personId="{404a965f-bd7a-468b-8723-efd2a22cac58}" id="{48cb7dfd-56a3-4256-b747-a79647021f67}" done="1">
    <x18tc:text xml:space="preserve">Неделя 16.02-22.02
1) Пробные тесты custdev завершен: 40 респондентов
2) Тренажеры: 7 респондентов
Неделя 23.02-28.02
Дополним тренажеры до 25 респондентов</x18tc:text>
  </x18tc:threadedComment>
  <x18tc:threadedComment ref="G62" dT="2026-02-24T08:31:53.00" personId="{404a965f-bd7a-468b-8723-efd2a22cac58}" id="{7c4391af-e525-4b5e-8a9b-dabe9d96468c}" done="0">
    <x18tc:text xml:space="preserve">в марте будем тестить</x18tc:text>
  </x18tc:threadedComment>
  <x18tc:threadedComment ref="G61" dT="2026-02-24T08:28:57.00" personId="{404a965f-bd7a-468b-8723-efd2a22cac58}" id="{545d258a-49a3-4680-8517-d465995123ee}" done="0">
    <x18tc:text xml:space="preserve">Тестировка будет в марте</x18tc:text>
  </x18tc:threadedComment>
  <x18tc:threadedComment ref="G28" dT="2026-02-22T11:23:51.00" personId="{404a965f-bd7a-468b-8723-efd2a22cac58}" id="{6361ed17-68b8-4058-bc11-110bd9768d1b}" done="0">
    <x18tc:text xml:space="preserve">Завал задачи аусторс компанией. Повторно поставлена на неделю 23.02-28.02</x18tc:text>
  </x18tc:threadedComment>
  <x18tc:threadedComment ref="F61" dT="2026-02-24T08:29:07.00" personId="{404a965f-bd7a-468b-8723-efd2a22cac58}" id="{8cee8f3b-b014-4a53-ac1f-459b2aa61d88}" done="0">
    <x18tc:text xml:space="preserve">17.02</x18tc:text>
  </x18tc:threadedComment>
  <x18tc:threadedComment ref="I32" dT="2026-03-03T08:13:44.00" personId="{404a965f-bd7a-468b-8723-efd2a22cac58}" id="{b5ae4133-cb66-4ff1-ad1d-a6315364e23a}" done="0">
    <x18tc:text xml:space="preserve">на паузе</x18tc:text>
  </x18tc:threadedComment>
  <x18tc:threadedComment ref="B61" dT="2026-02-24T08:29:15.00" personId="{404a965f-bd7a-468b-8723-efd2a22cac58}" id="{45fc6774-6ca7-43b9-89d1-dfb7d5af8419}" done="0">
    <x18tc:text xml:space="preserve">ГИПОТЕЗА</x18tc:text>
  </x18tc:threadedComment>
  <x18tc:threadedComment ref="G29" dT="2026-02-22T11:24:32.00" personId="{404a965f-bd7a-468b-8723-efd2a22cac58}" id="{11ec6d25-e1cb-4818-be4d-ffed42337114}" done="0">
    <x18tc:text xml:space="preserve">Собраны направления и идеи работы по каналам. Нужны метрики</x18tc:text>
  </x18tc:threadedComment>
  <x18tc:threadedComment ref="C62" dT="2026-02-24T08:31:08.00" personId="{404a965f-bd7a-468b-8723-efd2a22cac58}" id="{8990f6f8-5b6c-40bc-b916-f9e7db9f35ca}" done="0">
    <x18tc:text xml:space="preserve">Если добавить ежедневные бесплатные попытки в тренажеры, то DAU вырастит, ПОТОМУ ЧТО у детей будет повод каждый день заходить в SuperApp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1"/>
  <cols>
    <col customWidth="1" min="1" max="1" width="14.57"/>
    <col customWidth="1" min="2" max="2" width="38.43"/>
    <col customWidth="1" min="3" max="3" width="24.71"/>
    <col customWidth="1" min="4" max="4" width="23.43"/>
    <col customWidth="1" min="5" max="5" width="17.71"/>
    <col customWidth="1" min="6" max="6" width="27.86"/>
    <col customWidth="1" min="7" max="7" width="33.0"/>
    <col customWidth="1" min="8" max="8" width="61.0"/>
    <col customWidth="1" min="9" max="26" width="8.71"/>
  </cols>
  <sheetData>
    <row r="1">
      <c r="A1" s="1" t="s">
        <v>0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2"/>
      <c r="F2" s="4"/>
      <c r="G2" s="5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</v>
      </c>
      <c r="B3" s="7"/>
      <c r="C3" s="7"/>
      <c r="D3" s="7"/>
      <c r="E3" s="7"/>
      <c r="F3" s="7"/>
      <c r="G3" s="8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10" t="s">
        <v>7</v>
      </c>
      <c r="G4" s="11" t="s">
        <v>8</v>
      </c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" t="s">
        <v>9</v>
      </c>
      <c r="B5" s="12" t="s">
        <v>10</v>
      </c>
      <c r="C5" s="12" t="s">
        <v>11</v>
      </c>
      <c r="D5" s="12" t="s">
        <v>12</v>
      </c>
      <c r="E5" s="12" t="s">
        <v>13</v>
      </c>
      <c r="F5" s="13" t="s">
        <v>14</v>
      </c>
      <c r="G5" s="12" t="s">
        <v>15</v>
      </c>
      <c r="H5" s="5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"/>
      <c r="B6" s="2"/>
      <c r="C6" s="2"/>
      <c r="D6" s="2"/>
      <c r="E6" s="2"/>
      <c r="F6" s="4"/>
      <c r="G6" s="5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 t="s">
        <v>16</v>
      </c>
      <c r="B7" s="16"/>
      <c r="C7" s="16"/>
      <c r="D7" s="16"/>
      <c r="E7" s="16"/>
      <c r="F7" s="16"/>
      <c r="G7" s="17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17</v>
      </c>
      <c r="B8" s="9" t="s">
        <v>18</v>
      </c>
      <c r="C8" s="9" t="s">
        <v>19</v>
      </c>
      <c r="D8" s="9" t="s">
        <v>20</v>
      </c>
      <c r="E8" s="9" t="s">
        <v>21</v>
      </c>
      <c r="F8" s="10" t="s">
        <v>22</v>
      </c>
      <c r="G8" s="11" t="s">
        <v>23</v>
      </c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8" t="s">
        <v>24</v>
      </c>
      <c r="B9" s="18" t="s">
        <v>25</v>
      </c>
      <c r="C9" s="19" t="s">
        <v>26</v>
      </c>
      <c r="D9" s="12" t="s">
        <v>27</v>
      </c>
      <c r="E9" s="2" t="s">
        <v>28</v>
      </c>
      <c r="F9" s="20" t="s">
        <v>29</v>
      </c>
      <c r="G9" s="5" t="s">
        <v>30</v>
      </c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/>
      <c r="B10" s="2"/>
      <c r="C10" s="2"/>
      <c r="D10" s="2"/>
      <c r="E10" s="2"/>
      <c r="F10" s="4"/>
      <c r="G10" s="5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1" t="s">
        <v>31</v>
      </c>
      <c r="B11" s="22"/>
      <c r="C11" s="22"/>
      <c r="D11" s="22"/>
      <c r="E11" s="22"/>
      <c r="F11" s="22"/>
      <c r="G11" s="23"/>
      <c r="H11" s="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4"/>
    </row>
    <row r="12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22</v>
      </c>
      <c r="F12" s="10" t="s">
        <v>23</v>
      </c>
      <c r="G12" s="11" t="s">
        <v>36</v>
      </c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5" t="s">
        <v>37</v>
      </c>
      <c r="B13" s="25" t="s">
        <v>38</v>
      </c>
      <c r="C13" s="26"/>
      <c r="D13" s="18"/>
      <c r="E13" s="12"/>
      <c r="F13" s="27" t="s">
        <v>30</v>
      </c>
      <c r="G13" s="5"/>
      <c r="H13" s="1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outlineLevel="1">
      <c r="A14" s="18"/>
      <c r="B14" s="12" t="s">
        <v>39</v>
      </c>
      <c r="C14" s="26" t="s">
        <v>40</v>
      </c>
      <c r="D14" s="26" t="s">
        <v>41</v>
      </c>
      <c r="E14" s="5" t="s">
        <v>42</v>
      </c>
      <c r="F14" s="28" t="s">
        <v>30</v>
      </c>
      <c r="G14" s="29" t="s">
        <v>43</v>
      </c>
      <c r="H14" s="1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outlineLevel="1">
      <c r="A15" s="18"/>
      <c r="B15" s="12" t="s">
        <v>44</v>
      </c>
      <c r="C15" s="26" t="s">
        <v>45</v>
      </c>
      <c r="D15" s="26" t="s">
        <v>46</v>
      </c>
      <c r="E15" s="5" t="s">
        <v>29</v>
      </c>
      <c r="F15" s="28" t="s">
        <v>30</v>
      </c>
      <c r="G15" s="29" t="s">
        <v>47</v>
      </c>
      <c r="H15" s="1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outlineLevel="1">
      <c r="A16" s="18"/>
      <c r="B16" s="12" t="s">
        <v>48</v>
      </c>
      <c r="C16" s="26" t="s">
        <v>49</v>
      </c>
      <c r="D16" s="26" t="s">
        <v>50</v>
      </c>
      <c r="E16" s="30" t="s">
        <v>51</v>
      </c>
      <c r="F16" s="28" t="s">
        <v>30</v>
      </c>
      <c r="G16" s="29" t="s">
        <v>52</v>
      </c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outlineLevel="1">
      <c r="A17" s="2"/>
      <c r="B17" s="12" t="s">
        <v>53</v>
      </c>
      <c r="C17" s="26" t="s">
        <v>54</v>
      </c>
      <c r="D17" s="26" t="s">
        <v>55</v>
      </c>
      <c r="E17" s="5" t="s">
        <v>56</v>
      </c>
      <c r="F17" s="28" t="s">
        <v>30</v>
      </c>
      <c r="G17" s="29" t="s">
        <v>57</v>
      </c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outlineLevel="1">
      <c r="A18" s="2"/>
      <c r="B18" s="12" t="s">
        <v>58</v>
      </c>
      <c r="C18" s="26"/>
      <c r="D18" s="26" t="s">
        <v>59</v>
      </c>
      <c r="E18" s="5" t="s">
        <v>29</v>
      </c>
      <c r="F18" s="31" t="s">
        <v>60</v>
      </c>
      <c r="G18" s="29" t="s">
        <v>43</v>
      </c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outlineLevel="1">
      <c r="A19" s="2"/>
      <c r="B19" s="12" t="s">
        <v>61</v>
      </c>
      <c r="C19" s="26" t="s">
        <v>62</v>
      </c>
      <c r="D19" s="26" t="s">
        <v>63</v>
      </c>
      <c r="E19" s="5" t="s">
        <v>29</v>
      </c>
      <c r="F19" s="28" t="s">
        <v>30</v>
      </c>
      <c r="G19" s="29" t="s">
        <v>52</v>
      </c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2" t="s">
        <v>64</v>
      </c>
      <c r="B20" s="25" t="s">
        <v>65</v>
      </c>
      <c r="C20" s="33"/>
      <c r="D20" s="33"/>
      <c r="E20" s="34"/>
      <c r="F20" s="35" t="s">
        <v>66</v>
      </c>
      <c r="G20" s="36"/>
      <c r="H20" s="32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outlineLevel="1">
      <c r="A21" s="2"/>
      <c r="B21" s="12" t="s">
        <v>67</v>
      </c>
      <c r="C21" s="26" t="s">
        <v>68</v>
      </c>
      <c r="D21" s="26" t="s">
        <v>69</v>
      </c>
      <c r="E21" s="5" t="s">
        <v>70</v>
      </c>
      <c r="F21" s="38" t="s">
        <v>66</v>
      </c>
      <c r="G21" s="29" t="s">
        <v>71</v>
      </c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outlineLevel="1">
      <c r="A22" s="2"/>
      <c r="B22" s="12" t="s">
        <v>72</v>
      </c>
      <c r="C22" s="26" t="s">
        <v>73</v>
      </c>
      <c r="D22" s="26" t="s">
        <v>74</v>
      </c>
      <c r="E22" s="5" t="s">
        <v>29</v>
      </c>
      <c r="F22" s="38" t="s">
        <v>66</v>
      </c>
      <c r="G22" s="29" t="s">
        <v>71</v>
      </c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outlineLevel="1">
      <c r="A23" s="2"/>
      <c r="B23" s="12" t="s">
        <v>75</v>
      </c>
      <c r="C23" s="26"/>
      <c r="D23" s="26" t="s">
        <v>76</v>
      </c>
      <c r="E23" s="5" t="s">
        <v>29</v>
      </c>
      <c r="F23" s="38" t="s">
        <v>66</v>
      </c>
      <c r="G23" s="29" t="s">
        <v>71</v>
      </c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outlineLevel="1">
      <c r="A24" s="2"/>
      <c r="B24" s="12" t="s">
        <v>77</v>
      </c>
      <c r="C24" s="26" t="s">
        <v>78</v>
      </c>
      <c r="D24" s="26" t="s">
        <v>79</v>
      </c>
      <c r="E24" s="5" t="s">
        <v>29</v>
      </c>
      <c r="F24" s="38" t="s">
        <v>66</v>
      </c>
      <c r="G24" s="29" t="s">
        <v>80</v>
      </c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2" t="s">
        <v>64</v>
      </c>
      <c r="B25" s="25" t="s">
        <v>81</v>
      </c>
      <c r="C25" s="26"/>
      <c r="D25" s="26"/>
      <c r="E25" s="5"/>
      <c r="F25" s="35" t="s">
        <v>82</v>
      </c>
      <c r="G25" s="29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outlineLevel="1">
      <c r="A26" s="2"/>
      <c r="B26" s="5" t="s">
        <v>83</v>
      </c>
      <c r="C26" s="26"/>
      <c r="D26" s="39" t="s">
        <v>84</v>
      </c>
      <c r="E26" s="5" t="s">
        <v>29</v>
      </c>
      <c r="F26" s="38" t="s">
        <v>82</v>
      </c>
      <c r="G26" s="29" t="s">
        <v>80</v>
      </c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outlineLevel="1">
      <c r="A27" s="2"/>
      <c r="B27" s="12" t="s">
        <v>85</v>
      </c>
      <c r="C27" s="26"/>
      <c r="D27" s="39" t="s">
        <v>86</v>
      </c>
      <c r="E27" s="5" t="s">
        <v>87</v>
      </c>
      <c r="F27" s="38" t="s">
        <v>82</v>
      </c>
      <c r="G27" s="29" t="s">
        <v>80</v>
      </c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outlineLevel="1">
      <c r="A28" s="2"/>
      <c r="B28" s="5" t="s">
        <v>88</v>
      </c>
      <c r="C28" s="26"/>
      <c r="D28" s="26" t="s">
        <v>89</v>
      </c>
      <c r="E28" s="5" t="s">
        <v>29</v>
      </c>
      <c r="F28" s="38" t="s">
        <v>82</v>
      </c>
      <c r="G28" s="29" t="s">
        <v>80</v>
      </c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outlineLevel="1">
      <c r="A29" s="2"/>
      <c r="B29" s="12" t="s">
        <v>90</v>
      </c>
      <c r="C29" s="26"/>
      <c r="D29" s="26" t="s">
        <v>91</v>
      </c>
      <c r="E29" s="5" t="s">
        <v>87</v>
      </c>
      <c r="F29" s="38" t="s">
        <v>82</v>
      </c>
      <c r="G29" s="29" t="s">
        <v>80</v>
      </c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2" t="s">
        <v>64</v>
      </c>
      <c r="B30" s="25" t="s">
        <v>92</v>
      </c>
      <c r="C30" s="26"/>
      <c r="D30" s="26"/>
      <c r="E30" s="5"/>
      <c r="F30" s="35" t="s">
        <v>82</v>
      </c>
      <c r="G30" s="29" t="s">
        <v>93</v>
      </c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outlineLevel="1">
      <c r="A31" s="2"/>
      <c r="B31" s="12" t="s">
        <v>94</v>
      </c>
      <c r="C31" s="26" t="s">
        <v>95</v>
      </c>
      <c r="D31" s="26" t="s">
        <v>96</v>
      </c>
      <c r="E31" s="5" t="s">
        <v>97</v>
      </c>
      <c r="F31" s="38" t="s">
        <v>82</v>
      </c>
      <c r="G31" s="29" t="s">
        <v>93</v>
      </c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outlineLevel="1">
      <c r="A32" s="2"/>
      <c r="B32" s="12" t="s">
        <v>98</v>
      </c>
      <c r="C32" s="26" t="s">
        <v>99</v>
      </c>
      <c r="D32" s="26" t="s">
        <v>100</v>
      </c>
      <c r="E32" s="5" t="s">
        <v>97</v>
      </c>
      <c r="F32" s="38" t="s">
        <v>82</v>
      </c>
      <c r="G32" s="29" t="s">
        <v>93</v>
      </c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2" t="s">
        <v>101</v>
      </c>
      <c r="B33" s="25" t="s">
        <v>102</v>
      </c>
      <c r="C33" s="26"/>
      <c r="D33" s="26"/>
      <c r="E33" s="5"/>
      <c r="F33" s="35" t="s">
        <v>103</v>
      </c>
      <c r="G33" s="29" t="s">
        <v>71</v>
      </c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outlineLevel="1">
      <c r="A34" s="2"/>
      <c r="B34" s="5" t="s">
        <v>104</v>
      </c>
      <c r="C34" s="26" t="s">
        <v>105</v>
      </c>
      <c r="D34" s="26" t="s">
        <v>106</v>
      </c>
      <c r="E34" s="5" t="s">
        <v>29</v>
      </c>
      <c r="F34" s="38" t="s">
        <v>103</v>
      </c>
      <c r="G34" s="29" t="s">
        <v>93</v>
      </c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outlineLevel="1">
      <c r="A35" s="2"/>
      <c r="B35" s="5" t="s">
        <v>107</v>
      </c>
      <c r="C35" s="26" t="s">
        <v>108</v>
      </c>
      <c r="D35" s="26" t="s">
        <v>109</v>
      </c>
      <c r="E35" s="5" t="s">
        <v>29</v>
      </c>
      <c r="F35" s="38" t="s">
        <v>103</v>
      </c>
      <c r="G35" s="29" t="s">
        <v>71</v>
      </c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outlineLevel="1">
      <c r="A36" s="2"/>
      <c r="B36" s="5" t="s">
        <v>110</v>
      </c>
      <c r="C36" s="26"/>
      <c r="D36" s="26" t="s">
        <v>111</v>
      </c>
      <c r="E36" s="5" t="s">
        <v>29</v>
      </c>
      <c r="F36" s="38" t="s">
        <v>103</v>
      </c>
      <c r="G36" s="29" t="s">
        <v>112</v>
      </c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outlineLevel="1">
      <c r="A37" s="2"/>
      <c r="B37" s="5" t="s">
        <v>113</v>
      </c>
      <c r="C37" s="26"/>
      <c r="D37" s="26" t="s">
        <v>114</v>
      </c>
      <c r="E37" s="5" t="s">
        <v>29</v>
      </c>
      <c r="F37" s="38" t="s">
        <v>103</v>
      </c>
      <c r="G37" s="29" t="s">
        <v>112</v>
      </c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outlineLevel="1">
      <c r="A38" s="2"/>
      <c r="B38" s="5" t="s">
        <v>115</v>
      </c>
      <c r="C38" s="26" t="s">
        <v>116</v>
      </c>
      <c r="D38" s="26" t="s">
        <v>117</v>
      </c>
      <c r="E38" s="5" t="s">
        <v>29</v>
      </c>
      <c r="F38" s="38" t="s">
        <v>103</v>
      </c>
      <c r="G38" s="29" t="s">
        <v>112</v>
      </c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outlineLevel="1">
      <c r="A39" s="2"/>
      <c r="B39" s="5" t="s">
        <v>118</v>
      </c>
      <c r="C39" s="26" t="s">
        <v>119</v>
      </c>
      <c r="D39" s="26" t="s">
        <v>120</v>
      </c>
      <c r="E39" s="5" t="s">
        <v>29</v>
      </c>
      <c r="F39" s="38" t="s">
        <v>103</v>
      </c>
      <c r="G39" s="29" t="s">
        <v>112</v>
      </c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2" t="s">
        <v>101</v>
      </c>
      <c r="B40" s="32" t="s">
        <v>121</v>
      </c>
      <c r="C40" s="26"/>
      <c r="D40" s="26"/>
      <c r="E40" s="5"/>
      <c r="F40" s="35" t="s">
        <v>66</v>
      </c>
      <c r="G40" s="29" t="s">
        <v>71</v>
      </c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outlineLevel="1">
      <c r="A41" s="2"/>
      <c r="B41" s="5" t="s">
        <v>122</v>
      </c>
      <c r="C41" s="26"/>
      <c r="D41" s="26" t="s">
        <v>123</v>
      </c>
      <c r="E41" s="5" t="s">
        <v>124</v>
      </c>
      <c r="F41" s="38" t="s">
        <v>66</v>
      </c>
      <c r="G41" s="29" t="s">
        <v>71</v>
      </c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outlineLevel="1">
      <c r="A42" s="2"/>
      <c r="B42" s="5" t="s">
        <v>125</v>
      </c>
      <c r="C42" s="26" t="s">
        <v>126</v>
      </c>
      <c r="D42" s="26" t="s">
        <v>127</v>
      </c>
      <c r="E42" s="5" t="s">
        <v>124</v>
      </c>
      <c r="F42" s="38" t="s">
        <v>66</v>
      </c>
      <c r="G42" s="29" t="s">
        <v>112</v>
      </c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outlineLevel="1">
      <c r="A43" s="2"/>
      <c r="B43" s="5" t="s">
        <v>128</v>
      </c>
      <c r="C43" s="26" t="s">
        <v>129</v>
      </c>
      <c r="D43" s="26" t="s">
        <v>130</v>
      </c>
      <c r="E43" s="5" t="s">
        <v>131</v>
      </c>
      <c r="F43" s="38" t="s">
        <v>66</v>
      </c>
      <c r="G43" s="29" t="s">
        <v>132</v>
      </c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outlineLevel="1">
      <c r="A44" s="2"/>
      <c r="B44" s="5" t="s">
        <v>133</v>
      </c>
      <c r="C44" s="40"/>
      <c r="D44" s="26" t="s">
        <v>134</v>
      </c>
      <c r="E44" s="5" t="s">
        <v>70</v>
      </c>
      <c r="F44" s="38" t="s">
        <v>66</v>
      </c>
      <c r="G44" s="29" t="s">
        <v>112</v>
      </c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outlineLevel="1">
      <c r="A45" s="2"/>
      <c r="B45" s="5" t="s">
        <v>135</v>
      </c>
      <c r="C45" s="26" t="s">
        <v>136</v>
      </c>
      <c r="D45" s="26" t="s">
        <v>137</v>
      </c>
      <c r="E45" s="5" t="s">
        <v>131</v>
      </c>
      <c r="F45" s="38" t="s">
        <v>66</v>
      </c>
      <c r="G45" s="29" t="s">
        <v>112</v>
      </c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outlineLevel="1">
      <c r="A46" s="2"/>
      <c r="B46" s="5" t="s">
        <v>138</v>
      </c>
      <c r="C46" s="26"/>
      <c r="D46" s="26" t="s">
        <v>139</v>
      </c>
      <c r="E46" s="5" t="s">
        <v>124</v>
      </c>
      <c r="F46" s="38" t="s">
        <v>66</v>
      </c>
      <c r="G46" s="29" t="s">
        <v>112</v>
      </c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2" t="s">
        <v>101</v>
      </c>
      <c r="B47" s="32" t="s">
        <v>140</v>
      </c>
      <c r="C47" s="26"/>
      <c r="D47" s="26"/>
      <c r="E47" s="5"/>
      <c r="F47" s="35" t="s">
        <v>141</v>
      </c>
      <c r="G47" s="5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outlineLevel="1">
      <c r="A48" s="2"/>
      <c r="B48" s="5" t="s">
        <v>142</v>
      </c>
      <c r="C48" s="26" t="s">
        <v>143</v>
      </c>
      <c r="D48" s="26" t="s">
        <v>144</v>
      </c>
      <c r="E48" s="5" t="s">
        <v>29</v>
      </c>
      <c r="F48" s="38" t="s">
        <v>141</v>
      </c>
      <c r="G48" s="5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outlineLevel="1">
      <c r="A49" s="2"/>
      <c r="B49" s="5" t="s">
        <v>145</v>
      </c>
      <c r="C49" s="26"/>
      <c r="D49" s="26" t="s">
        <v>146</v>
      </c>
      <c r="E49" s="5" t="s">
        <v>147</v>
      </c>
      <c r="F49" s="38" t="s">
        <v>141</v>
      </c>
      <c r="G49" s="5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outlineLevel="1">
      <c r="A50" s="2"/>
      <c r="B50" s="5" t="s">
        <v>148</v>
      </c>
      <c r="C50" s="26"/>
      <c r="D50" s="26" t="s">
        <v>149</v>
      </c>
      <c r="E50" s="5" t="s">
        <v>150</v>
      </c>
      <c r="F50" s="38" t="s">
        <v>141</v>
      </c>
      <c r="G50" s="5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/>
      <c r="B51" s="2"/>
      <c r="C51" s="2"/>
      <c r="D51" s="2"/>
      <c r="E51" s="2"/>
      <c r="F51" s="4"/>
      <c r="G51" s="5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1" t="s">
        <v>151</v>
      </c>
      <c r="B52" s="42"/>
      <c r="C52" s="42"/>
      <c r="D52" s="42"/>
      <c r="E52" s="42"/>
      <c r="F52" s="42"/>
      <c r="G52" s="43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9" t="s">
        <v>152</v>
      </c>
      <c r="B53" s="9" t="s">
        <v>153</v>
      </c>
      <c r="C53" s="9" t="s">
        <v>154</v>
      </c>
      <c r="D53" s="9" t="s">
        <v>155</v>
      </c>
      <c r="E53" s="10" t="s">
        <v>156</v>
      </c>
      <c r="F53" s="9" t="s">
        <v>157</v>
      </c>
      <c r="G53" s="11" t="s">
        <v>158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4"/>
    </row>
    <row r="54" outlineLevel="1">
      <c r="A54" s="2">
        <v>1.0</v>
      </c>
      <c r="B54" s="26" t="s">
        <v>159</v>
      </c>
      <c r="C54" s="26" t="s">
        <v>160</v>
      </c>
      <c r="D54" s="5" t="s">
        <v>161</v>
      </c>
      <c r="E54" s="45">
        <v>0.775</v>
      </c>
      <c r="F54" s="29" t="s">
        <v>162</v>
      </c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4"/>
    </row>
    <row r="55" outlineLevel="1">
      <c r="A55" s="2">
        <v>2.0</v>
      </c>
      <c r="B55" s="26" t="s">
        <v>163</v>
      </c>
      <c r="C55" s="26" t="s">
        <v>160</v>
      </c>
      <c r="D55" s="5" t="s">
        <v>161</v>
      </c>
      <c r="E55" s="45">
        <v>0.73</v>
      </c>
      <c r="F55" s="29" t="s">
        <v>164</v>
      </c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4"/>
    </row>
    <row r="56" outlineLevel="1">
      <c r="A56" s="2">
        <v>3.0</v>
      </c>
      <c r="B56" s="26" t="s">
        <v>165</v>
      </c>
      <c r="C56" s="26" t="s">
        <v>160</v>
      </c>
      <c r="D56" s="5" t="s">
        <v>166</v>
      </c>
      <c r="E56" s="45">
        <v>0.705</v>
      </c>
      <c r="F56" s="29" t="s">
        <v>167</v>
      </c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4"/>
    </row>
    <row r="57" outlineLevel="1">
      <c r="A57" s="2">
        <v>4.0</v>
      </c>
      <c r="B57" s="26" t="s">
        <v>168</v>
      </c>
      <c r="C57" s="26" t="s">
        <v>169</v>
      </c>
      <c r="D57" s="5" t="s">
        <v>170</v>
      </c>
      <c r="E57" s="45">
        <v>0.68</v>
      </c>
      <c r="F57" s="29" t="s">
        <v>171</v>
      </c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4"/>
    </row>
    <row r="58" outlineLevel="1">
      <c r="A58" s="2">
        <v>5.0</v>
      </c>
      <c r="B58" s="26" t="s">
        <v>172</v>
      </c>
      <c r="C58" s="26" t="s">
        <v>169</v>
      </c>
      <c r="D58" s="5" t="s">
        <v>170</v>
      </c>
      <c r="E58" s="45">
        <v>0.625</v>
      </c>
      <c r="F58" s="29" t="s">
        <v>173</v>
      </c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4"/>
    </row>
    <row r="59" outlineLevel="1">
      <c r="A59" s="2">
        <v>6.0</v>
      </c>
      <c r="B59" s="26" t="s">
        <v>174</v>
      </c>
      <c r="C59" s="26" t="s">
        <v>169</v>
      </c>
      <c r="D59" s="5" t="s">
        <v>170</v>
      </c>
      <c r="E59" s="45">
        <v>0.6</v>
      </c>
      <c r="F59" s="29" t="s">
        <v>175</v>
      </c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4"/>
    </row>
    <row r="60" outlineLevel="1">
      <c r="A60" s="2">
        <v>7.0</v>
      </c>
      <c r="B60" s="26" t="s">
        <v>176</v>
      </c>
      <c r="C60" s="26" t="s">
        <v>169</v>
      </c>
      <c r="D60" s="5" t="s">
        <v>170</v>
      </c>
      <c r="E60" s="45">
        <v>0.585</v>
      </c>
      <c r="F60" s="29" t="s">
        <v>177</v>
      </c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4"/>
    </row>
    <row r="61" outlineLevel="1">
      <c r="A61" s="2">
        <v>8.0</v>
      </c>
      <c r="B61" s="26" t="s">
        <v>178</v>
      </c>
      <c r="C61" s="26" t="s">
        <v>169</v>
      </c>
      <c r="D61" s="5" t="s">
        <v>170</v>
      </c>
      <c r="E61" s="45">
        <v>0.56</v>
      </c>
      <c r="F61" s="29" t="s">
        <v>179</v>
      </c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4"/>
    </row>
    <row r="62" outlineLevel="1">
      <c r="A62" s="2">
        <v>9.0</v>
      </c>
      <c r="B62" s="26" t="s">
        <v>180</v>
      </c>
      <c r="C62" s="26" t="s">
        <v>169</v>
      </c>
      <c r="D62" s="5" t="s">
        <v>166</v>
      </c>
      <c r="E62" s="45">
        <v>0.54</v>
      </c>
      <c r="F62" s="29" t="s">
        <v>181</v>
      </c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4"/>
    </row>
    <row r="63" outlineLevel="1">
      <c r="A63" s="2">
        <v>10.0</v>
      </c>
      <c r="B63" s="26" t="s">
        <v>182</v>
      </c>
      <c r="C63" s="26" t="s">
        <v>169</v>
      </c>
      <c r="D63" s="5" t="s">
        <v>170</v>
      </c>
      <c r="E63" s="45">
        <v>0.52</v>
      </c>
      <c r="F63" s="29" t="s">
        <v>183</v>
      </c>
      <c r="G63" s="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4"/>
    </row>
    <row r="64" outlineLevel="1">
      <c r="A64" s="2">
        <v>11.0</v>
      </c>
      <c r="B64" s="26" t="s">
        <v>184</v>
      </c>
      <c r="C64" s="26" t="s">
        <v>169</v>
      </c>
      <c r="D64" s="5" t="s">
        <v>161</v>
      </c>
      <c r="E64" s="45">
        <v>0.505</v>
      </c>
      <c r="F64" s="29" t="s">
        <v>185</v>
      </c>
      <c r="G64" s="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44"/>
    </row>
    <row r="65" outlineLevel="1">
      <c r="A65" s="2">
        <v>12.0</v>
      </c>
      <c r="B65" s="26" t="s">
        <v>186</v>
      </c>
      <c r="C65" s="26" t="s">
        <v>187</v>
      </c>
      <c r="D65" s="5" t="s">
        <v>161</v>
      </c>
      <c r="E65" s="45">
        <v>0.48</v>
      </c>
      <c r="F65" s="29" t="s">
        <v>188</v>
      </c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4"/>
    </row>
    <row r="66" outlineLevel="1">
      <c r="A66" s="2">
        <v>13.0</v>
      </c>
      <c r="B66" s="26" t="s">
        <v>189</v>
      </c>
      <c r="C66" s="26" t="s">
        <v>187</v>
      </c>
      <c r="D66" s="5" t="s">
        <v>190</v>
      </c>
      <c r="E66" s="45">
        <v>0.46</v>
      </c>
      <c r="F66" s="29" t="s">
        <v>191</v>
      </c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4"/>
    </row>
    <row r="67" outlineLevel="1">
      <c r="A67" s="2">
        <v>14.0</v>
      </c>
      <c r="B67" s="26" t="s">
        <v>192</v>
      </c>
      <c r="C67" s="26" t="s">
        <v>187</v>
      </c>
      <c r="D67" s="5" t="s">
        <v>166</v>
      </c>
      <c r="E67" s="45">
        <v>0.445</v>
      </c>
      <c r="F67" s="29" t="s">
        <v>193</v>
      </c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4"/>
    </row>
    <row r="68" outlineLevel="1">
      <c r="A68" s="2">
        <v>15.0</v>
      </c>
      <c r="B68" s="26" t="s">
        <v>194</v>
      </c>
      <c r="C68" s="26" t="s">
        <v>187</v>
      </c>
      <c r="D68" s="5" t="s">
        <v>161</v>
      </c>
      <c r="E68" s="45">
        <v>0.42</v>
      </c>
      <c r="F68" s="29" t="s">
        <v>195</v>
      </c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4"/>
    </row>
    <row r="69" outlineLevel="1">
      <c r="A69" s="2">
        <v>16.0</v>
      </c>
      <c r="B69" s="26" t="s">
        <v>196</v>
      </c>
      <c r="C69" s="26" t="s">
        <v>187</v>
      </c>
      <c r="D69" s="5" t="s">
        <v>166</v>
      </c>
      <c r="E69" s="45">
        <v>0.405</v>
      </c>
      <c r="F69" s="29" t="s">
        <v>197</v>
      </c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4"/>
    </row>
    <row r="70" outlineLevel="1">
      <c r="A70" s="2">
        <v>17.0</v>
      </c>
      <c r="B70" s="26" t="s">
        <v>198</v>
      </c>
      <c r="C70" s="26" t="s">
        <v>187</v>
      </c>
      <c r="D70" s="5" t="s">
        <v>170</v>
      </c>
      <c r="E70" s="45">
        <v>0.38</v>
      </c>
      <c r="F70" s="29" t="s">
        <v>199</v>
      </c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4"/>
    </row>
    <row r="71" outlineLevel="1">
      <c r="A71" s="2">
        <v>18.0</v>
      </c>
      <c r="B71" s="26" t="s">
        <v>200</v>
      </c>
      <c r="C71" s="26" t="s">
        <v>187</v>
      </c>
      <c r="D71" s="5" t="s">
        <v>170</v>
      </c>
      <c r="E71" s="45">
        <v>0.365</v>
      </c>
      <c r="F71" s="29" t="s">
        <v>201</v>
      </c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4"/>
    </row>
    <row r="72">
      <c r="A72" s="44"/>
      <c r="B72" s="44"/>
      <c r="C72" s="44"/>
      <c r="D72" s="46"/>
      <c r="E72" s="44"/>
      <c r="F72" s="47"/>
      <c r="G72" s="5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4"/>
      <c r="B73" s="44"/>
      <c r="C73" s="44"/>
      <c r="D73" s="46"/>
      <c r="E73" s="44"/>
      <c r="F73" s="47"/>
      <c r="G73" s="5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4"/>
      <c r="B74" s="44"/>
      <c r="C74" s="44"/>
      <c r="D74" s="46"/>
      <c r="E74" s="44"/>
      <c r="F74" s="47"/>
      <c r="G74" s="5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4"/>
      <c r="B75" s="44"/>
      <c r="C75" s="44"/>
      <c r="D75" s="46"/>
      <c r="E75" s="44"/>
      <c r="F75" s="47"/>
      <c r="G75" s="5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/>
      <c r="B76" s="2"/>
      <c r="C76" s="2"/>
      <c r="D76" s="2"/>
      <c r="E76" s="2"/>
      <c r="F76" s="4"/>
      <c r="G76" s="5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/>
      <c r="B77" s="2"/>
      <c r="C77" s="2"/>
      <c r="D77" s="2"/>
      <c r="E77" s="2"/>
      <c r="F77" s="4"/>
      <c r="G77" s="5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/>
      <c r="B78" s="2"/>
      <c r="C78" s="2"/>
      <c r="D78" s="2"/>
      <c r="E78" s="2"/>
      <c r="F78" s="4"/>
      <c r="G78" s="5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/>
      <c r="B79" s="2"/>
      <c r="C79" s="2"/>
      <c r="D79" s="2"/>
      <c r="E79" s="2"/>
      <c r="F79" s="4"/>
      <c r="G79" s="5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/>
      <c r="B80" s="2"/>
      <c r="C80" s="2"/>
      <c r="D80" s="2"/>
      <c r="E80" s="2"/>
      <c r="F80" s="4"/>
      <c r="G80" s="5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/>
      <c r="B81" s="2"/>
      <c r="C81" s="2"/>
      <c r="D81" s="2"/>
      <c r="E81" s="2"/>
      <c r="F81" s="4"/>
      <c r="G81" s="5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/>
      <c r="B82" s="2"/>
      <c r="C82" s="2"/>
      <c r="D82" s="2"/>
      <c r="E82" s="2"/>
      <c r="F82" s="4"/>
      <c r="G82" s="5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/>
      <c r="B83" s="2"/>
      <c r="C83" s="2"/>
      <c r="D83" s="2"/>
      <c r="E83" s="2"/>
      <c r="F83" s="4"/>
      <c r="G83" s="5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/>
      <c r="B84" s="2"/>
      <c r="C84" s="2"/>
      <c r="D84" s="2"/>
      <c r="E84" s="2"/>
      <c r="F84" s="4"/>
      <c r="G84" s="5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/>
      <c r="B85" s="2"/>
      <c r="C85" s="2"/>
      <c r="D85" s="2"/>
      <c r="E85" s="2"/>
      <c r="F85" s="4"/>
      <c r="G85" s="5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/>
      <c r="B86" s="2"/>
      <c r="C86" s="2"/>
      <c r="D86" s="2"/>
      <c r="E86" s="2"/>
      <c r="F86" s="4"/>
      <c r="G86" s="5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/>
      <c r="B87" s="2"/>
      <c r="C87" s="2"/>
      <c r="D87" s="2"/>
      <c r="E87" s="2"/>
      <c r="F87" s="4"/>
      <c r="G87" s="5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/>
      <c r="B88" s="2"/>
      <c r="C88" s="2"/>
      <c r="D88" s="2"/>
      <c r="E88" s="2"/>
      <c r="F88" s="4"/>
      <c r="G88" s="5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/>
      <c r="B89" s="2"/>
      <c r="C89" s="2"/>
      <c r="D89" s="2"/>
      <c r="E89" s="2"/>
      <c r="F89" s="4"/>
      <c r="G89" s="5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/>
      <c r="B90" s="2"/>
      <c r="C90" s="2"/>
      <c r="D90" s="2"/>
      <c r="E90" s="2"/>
      <c r="F90" s="4"/>
      <c r="G90" s="5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/>
      <c r="B91" s="2"/>
      <c r="C91" s="2"/>
      <c r="D91" s="2"/>
      <c r="E91" s="2"/>
      <c r="F91" s="4"/>
      <c r="G91" s="5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/>
      <c r="B92" s="2"/>
      <c r="C92" s="2"/>
      <c r="D92" s="2"/>
      <c r="E92" s="2"/>
      <c r="F92" s="4"/>
      <c r="G92" s="5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/>
      <c r="B93" s="2"/>
      <c r="C93" s="2"/>
      <c r="D93" s="2"/>
      <c r="E93" s="2"/>
      <c r="F93" s="4"/>
      <c r="G93" s="5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/>
      <c r="B94" s="2"/>
      <c r="C94" s="2"/>
      <c r="D94" s="2"/>
      <c r="E94" s="2"/>
      <c r="F94" s="4"/>
      <c r="G94" s="5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/>
      <c r="B95" s="2"/>
      <c r="C95" s="2"/>
      <c r="D95" s="2"/>
      <c r="E95" s="2"/>
      <c r="F95" s="4"/>
      <c r="G95" s="5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/>
      <c r="B96" s="2"/>
      <c r="C96" s="2"/>
      <c r="D96" s="2"/>
      <c r="E96" s="2"/>
      <c r="F96" s="4"/>
      <c r="G96" s="5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/>
      <c r="B97" s="2"/>
      <c r="C97" s="2"/>
      <c r="D97" s="2"/>
      <c r="E97" s="2"/>
      <c r="F97" s="4"/>
      <c r="G97" s="5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/>
      <c r="B98" s="2"/>
      <c r="C98" s="2"/>
      <c r="D98" s="2"/>
      <c r="E98" s="2"/>
      <c r="F98" s="4"/>
      <c r="G98" s="5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/>
      <c r="B99" s="2"/>
      <c r="C99" s="2"/>
      <c r="D99" s="2"/>
      <c r="E99" s="2"/>
      <c r="F99" s="4"/>
      <c r="G99" s="5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/>
      <c r="B100" s="2"/>
      <c r="C100" s="2"/>
      <c r="D100" s="2"/>
      <c r="E100" s="2"/>
      <c r="F100" s="4"/>
      <c r="G100" s="5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/>
      <c r="B101" s="2"/>
      <c r="C101" s="2"/>
      <c r="D101" s="2"/>
      <c r="E101" s="2"/>
      <c r="F101" s="4"/>
      <c r="G101" s="5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/>
      <c r="B102" s="2"/>
      <c r="C102" s="2"/>
      <c r="D102" s="2"/>
      <c r="E102" s="2"/>
      <c r="F102" s="4"/>
      <c r="G102" s="5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/>
      <c r="B103" s="2"/>
      <c r="C103" s="2"/>
      <c r="D103" s="2"/>
      <c r="E103" s="2"/>
      <c r="F103" s="4"/>
      <c r="G103" s="5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/>
      <c r="B104" s="2"/>
      <c r="C104" s="2"/>
      <c r="D104" s="2"/>
      <c r="E104" s="2"/>
      <c r="F104" s="4"/>
      <c r="G104" s="5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/>
      <c r="B105" s="2"/>
      <c r="C105" s="2"/>
      <c r="D105" s="2"/>
      <c r="E105" s="2"/>
      <c r="F105" s="4"/>
      <c r="G105" s="5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/>
      <c r="B106" s="2"/>
      <c r="C106" s="2"/>
      <c r="D106" s="2"/>
      <c r="E106" s="2"/>
      <c r="F106" s="4"/>
      <c r="G106" s="5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/>
      <c r="B107" s="2"/>
      <c r="C107" s="2"/>
      <c r="D107" s="2"/>
      <c r="E107" s="2"/>
      <c r="F107" s="4"/>
      <c r="G107" s="5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/>
      <c r="B108" s="2"/>
      <c r="C108" s="2"/>
      <c r="D108" s="2"/>
      <c r="E108" s="2"/>
      <c r="F108" s="4"/>
      <c r="G108" s="5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/>
      <c r="B109" s="2"/>
      <c r="C109" s="2"/>
      <c r="D109" s="2"/>
      <c r="E109" s="2"/>
      <c r="F109" s="4"/>
      <c r="G109" s="5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/>
      <c r="B110" s="2"/>
      <c r="C110" s="2"/>
      <c r="D110" s="2"/>
      <c r="E110" s="2"/>
      <c r="F110" s="4"/>
      <c r="G110" s="5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/>
      <c r="B111" s="2"/>
      <c r="C111" s="2"/>
      <c r="D111" s="2"/>
      <c r="E111" s="2"/>
      <c r="F111" s="4"/>
      <c r="G111" s="5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/>
      <c r="B112" s="2"/>
      <c r="C112" s="2"/>
      <c r="D112" s="2"/>
      <c r="E112" s="2"/>
      <c r="F112" s="4"/>
      <c r="G112" s="5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/>
      <c r="B113" s="2"/>
      <c r="C113" s="2"/>
      <c r="D113" s="2"/>
      <c r="E113" s="2"/>
      <c r="F113" s="4"/>
      <c r="G113" s="5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/>
      <c r="B114" s="2"/>
      <c r="C114" s="2"/>
      <c r="D114" s="2"/>
      <c r="E114" s="2"/>
      <c r="F114" s="4"/>
      <c r="G114" s="5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/>
      <c r="B115" s="2"/>
      <c r="C115" s="2"/>
      <c r="D115" s="2"/>
      <c r="E115" s="2"/>
      <c r="F115" s="4"/>
      <c r="G115" s="5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/>
      <c r="B116" s="2"/>
      <c r="C116" s="2"/>
      <c r="D116" s="2"/>
      <c r="E116" s="2"/>
      <c r="F116" s="4"/>
      <c r="G116" s="5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/>
      <c r="B117" s="2"/>
      <c r="C117" s="2"/>
      <c r="D117" s="2"/>
      <c r="E117" s="2"/>
      <c r="F117" s="4"/>
      <c r="G117" s="5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/>
      <c r="B118" s="2"/>
      <c r="C118" s="2"/>
      <c r="D118" s="2"/>
      <c r="E118" s="2"/>
      <c r="F118" s="4"/>
      <c r="G118" s="5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/>
      <c r="B119" s="2"/>
      <c r="C119" s="2"/>
      <c r="D119" s="2"/>
      <c r="E119" s="2"/>
      <c r="F119" s="4"/>
      <c r="G119" s="5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/>
      <c r="B120" s="2"/>
      <c r="C120" s="2"/>
      <c r="D120" s="2"/>
      <c r="E120" s="2"/>
      <c r="F120" s="4"/>
      <c r="G120" s="5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/>
      <c r="B121" s="2"/>
      <c r="C121" s="2"/>
      <c r="D121" s="2"/>
      <c r="E121" s="2"/>
      <c r="F121" s="4"/>
      <c r="G121" s="5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/>
      <c r="B122" s="2"/>
      <c r="C122" s="2"/>
      <c r="D122" s="2"/>
      <c r="E122" s="2"/>
      <c r="F122" s="4"/>
      <c r="G122" s="5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/>
      <c r="B123" s="2"/>
      <c r="C123" s="2"/>
      <c r="D123" s="2"/>
      <c r="E123" s="2"/>
      <c r="F123" s="4"/>
      <c r="G123" s="5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/>
      <c r="B124" s="2"/>
      <c r="C124" s="2"/>
      <c r="D124" s="2"/>
      <c r="E124" s="2"/>
      <c r="F124" s="4"/>
      <c r="G124" s="5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/>
      <c r="B125" s="2"/>
      <c r="C125" s="2"/>
      <c r="D125" s="2"/>
      <c r="E125" s="2"/>
      <c r="F125" s="4"/>
      <c r="G125" s="5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/>
      <c r="B126" s="2"/>
      <c r="C126" s="2"/>
      <c r="D126" s="2"/>
      <c r="E126" s="2"/>
      <c r="F126" s="4"/>
      <c r="G126" s="5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/>
      <c r="B127" s="2"/>
      <c r="C127" s="2"/>
      <c r="D127" s="2"/>
      <c r="E127" s="2"/>
      <c r="F127" s="4"/>
      <c r="G127" s="5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/>
      <c r="B128" s="2"/>
      <c r="C128" s="2"/>
      <c r="D128" s="2"/>
      <c r="E128" s="2"/>
      <c r="F128" s="4"/>
      <c r="G128" s="5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/>
      <c r="B129" s="2"/>
      <c r="C129" s="2"/>
      <c r="D129" s="2"/>
      <c r="E129" s="2"/>
      <c r="F129" s="4"/>
      <c r="G129" s="5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/>
      <c r="B130" s="2"/>
      <c r="C130" s="2"/>
      <c r="D130" s="2"/>
      <c r="E130" s="2"/>
      <c r="F130" s="4"/>
      <c r="G130" s="5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/>
      <c r="B131" s="2"/>
      <c r="C131" s="2"/>
      <c r="D131" s="2"/>
      <c r="E131" s="2"/>
      <c r="F131" s="4"/>
      <c r="G131" s="5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/>
      <c r="B132" s="2"/>
      <c r="C132" s="2"/>
      <c r="D132" s="2"/>
      <c r="E132" s="2"/>
      <c r="F132" s="4"/>
      <c r="G132" s="5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/>
      <c r="B133" s="2"/>
      <c r="C133" s="2"/>
      <c r="D133" s="2"/>
      <c r="E133" s="2"/>
      <c r="F133" s="4"/>
      <c r="G133" s="5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/>
      <c r="B134" s="2"/>
      <c r="C134" s="2"/>
      <c r="D134" s="2"/>
      <c r="E134" s="2"/>
      <c r="F134" s="4"/>
      <c r="G134" s="5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/>
      <c r="B135" s="2"/>
      <c r="C135" s="2"/>
      <c r="D135" s="2"/>
      <c r="E135" s="2"/>
      <c r="F135" s="4"/>
      <c r="G135" s="5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/>
      <c r="B136" s="2"/>
      <c r="C136" s="2"/>
      <c r="D136" s="2"/>
      <c r="E136" s="2"/>
      <c r="F136" s="4"/>
      <c r="G136" s="5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/>
      <c r="B137" s="2"/>
      <c r="C137" s="2"/>
      <c r="D137" s="2"/>
      <c r="E137" s="2"/>
      <c r="F137" s="4"/>
      <c r="G137" s="5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/>
      <c r="B138" s="2"/>
      <c r="C138" s="2"/>
      <c r="D138" s="2"/>
      <c r="E138" s="2"/>
      <c r="F138" s="4"/>
      <c r="G138" s="5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/>
      <c r="B139" s="2"/>
      <c r="C139" s="2"/>
      <c r="D139" s="2"/>
      <c r="E139" s="2"/>
      <c r="F139" s="4"/>
      <c r="G139" s="5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/>
      <c r="B140" s="2"/>
      <c r="C140" s="2"/>
      <c r="D140" s="2"/>
      <c r="E140" s="2"/>
      <c r="F140" s="4"/>
      <c r="G140" s="5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/>
      <c r="B141" s="2"/>
      <c r="C141" s="2"/>
      <c r="D141" s="2"/>
      <c r="E141" s="2"/>
      <c r="F141" s="4"/>
      <c r="G141" s="5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/>
      <c r="B142" s="2"/>
      <c r="C142" s="2"/>
      <c r="D142" s="2"/>
      <c r="E142" s="2"/>
      <c r="F142" s="4"/>
      <c r="G142" s="5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/>
      <c r="B143" s="2"/>
      <c r="C143" s="2"/>
      <c r="D143" s="2"/>
      <c r="E143" s="2"/>
      <c r="F143" s="4"/>
      <c r="G143" s="5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/>
      <c r="B144" s="2"/>
      <c r="C144" s="2"/>
      <c r="D144" s="2"/>
      <c r="E144" s="2"/>
      <c r="F144" s="4"/>
      <c r="G144" s="5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/>
      <c r="B145" s="2"/>
      <c r="C145" s="2"/>
      <c r="D145" s="2"/>
      <c r="E145" s="2"/>
      <c r="F145" s="4"/>
      <c r="G145" s="5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/>
      <c r="B146" s="2"/>
      <c r="C146" s="2"/>
      <c r="D146" s="2"/>
      <c r="E146" s="2"/>
      <c r="F146" s="4"/>
      <c r="G146" s="5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/>
      <c r="B147" s="2"/>
      <c r="C147" s="2"/>
      <c r="D147" s="2"/>
      <c r="E147" s="2"/>
      <c r="F147" s="4"/>
      <c r="G147" s="5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/>
      <c r="B148" s="2"/>
      <c r="C148" s="2"/>
      <c r="D148" s="2"/>
      <c r="E148" s="2"/>
      <c r="F148" s="4"/>
      <c r="G148" s="5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/>
      <c r="B149" s="2"/>
      <c r="C149" s="2"/>
      <c r="D149" s="2"/>
      <c r="E149" s="2"/>
      <c r="F149" s="4"/>
      <c r="G149" s="5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/>
      <c r="B150" s="2"/>
      <c r="C150" s="2"/>
      <c r="D150" s="2"/>
      <c r="E150" s="2"/>
      <c r="F150" s="4"/>
      <c r="G150" s="5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/>
      <c r="B151" s="2"/>
      <c r="C151" s="2"/>
      <c r="D151" s="2"/>
      <c r="E151" s="2"/>
      <c r="F151" s="4"/>
      <c r="G151" s="5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/>
      <c r="B152" s="2"/>
      <c r="C152" s="2"/>
      <c r="D152" s="2"/>
      <c r="E152" s="2"/>
      <c r="F152" s="4"/>
      <c r="G152" s="5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/>
      <c r="B153" s="2"/>
      <c r="C153" s="2"/>
      <c r="D153" s="2"/>
      <c r="E153" s="2"/>
      <c r="F153" s="4"/>
      <c r="G153" s="5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/>
      <c r="B154" s="2"/>
      <c r="C154" s="2"/>
      <c r="D154" s="2"/>
      <c r="E154" s="2"/>
      <c r="F154" s="4"/>
      <c r="G154" s="5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/>
      <c r="B155" s="2"/>
      <c r="C155" s="2"/>
      <c r="D155" s="2"/>
      <c r="E155" s="2"/>
      <c r="F155" s="4"/>
      <c r="G155" s="5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/>
      <c r="B156" s="2"/>
      <c r="C156" s="2"/>
      <c r="D156" s="2"/>
      <c r="E156" s="2"/>
      <c r="F156" s="4"/>
      <c r="G156" s="5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/>
      <c r="B157" s="2"/>
      <c r="C157" s="2"/>
      <c r="D157" s="2"/>
      <c r="E157" s="2"/>
      <c r="F157" s="4"/>
      <c r="G157" s="5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/>
      <c r="B158" s="2"/>
      <c r="C158" s="2"/>
      <c r="D158" s="2"/>
      <c r="E158" s="2"/>
      <c r="F158" s="4"/>
      <c r="G158" s="5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/>
      <c r="B159" s="2"/>
      <c r="C159" s="2"/>
      <c r="D159" s="2"/>
      <c r="E159" s="2"/>
      <c r="F159" s="4"/>
      <c r="G159" s="5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/>
      <c r="B160" s="2"/>
      <c r="C160" s="2"/>
      <c r="D160" s="2"/>
      <c r="E160" s="2"/>
      <c r="F160" s="4"/>
      <c r="G160" s="5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/>
      <c r="B161" s="2"/>
      <c r="C161" s="2"/>
      <c r="D161" s="2"/>
      <c r="E161" s="2"/>
      <c r="F161" s="4"/>
      <c r="G161" s="5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/>
      <c r="B162" s="2"/>
      <c r="C162" s="2"/>
      <c r="D162" s="2"/>
      <c r="E162" s="2"/>
      <c r="F162" s="4"/>
      <c r="G162" s="5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/>
      <c r="B163" s="2"/>
      <c r="C163" s="2"/>
      <c r="D163" s="2"/>
      <c r="E163" s="2"/>
      <c r="F163" s="4"/>
      <c r="G163" s="5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/>
      <c r="B164" s="2"/>
      <c r="C164" s="2"/>
      <c r="D164" s="2"/>
      <c r="E164" s="2"/>
      <c r="F164" s="4"/>
      <c r="G164" s="5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/>
      <c r="B165" s="2"/>
      <c r="C165" s="2"/>
      <c r="D165" s="2"/>
      <c r="E165" s="2"/>
      <c r="F165" s="4"/>
      <c r="G165" s="5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/>
      <c r="B166" s="2"/>
      <c r="C166" s="2"/>
      <c r="D166" s="2"/>
      <c r="E166" s="2"/>
      <c r="F166" s="4"/>
      <c r="G166" s="5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/>
      <c r="B167" s="2"/>
      <c r="C167" s="2"/>
      <c r="D167" s="2"/>
      <c r="E167" s="2"/>
      <c r="F167" s="4"/>
      <c r="G167" s="5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/>
      <c r="B168" s="2"/>
      <c r="C168" s="2"/>
      <c r="D168" s="2"/>
      <c r="E168" s="2"/>
      <c r="F168" s="4"/>
      <c r="G168" s="5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/>
      <c r="B169" s="2"/>
      <c r="C169" s="2"/>
      <c r="D169" s="2"/>
      <c r="E169" s="2"/>
      <c r="F169" s="4"/>
      <c r="G169" s="5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/>
      <c r="B170" s="2"/>
      <c r="C170" s="2"/>
      <c r="D170" s="2"/>
      <c r="E170" s="2"/>
      <c r="F170" s="4"/>
      <c r="G170" s="5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/>
      <c r="B171" s="2"/>
      <c r="C171" s="2"/>
      <c r="D171" s="2"/>
      <c r="E171" s="2"/>
      <c r="F171" s="4"/>
      <c r="G171" s="5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/>
      <c r="B172" s="2"/>
      <c r="C172" s="2"/>
      <c r="D172" s="2"/>
      <c r="E172" s="2"/>
      <c r="F172" s="4"/>
      <c r="G172" s="5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/>
      <c r="B173" s="2"/>
      <c r="C173" s="2"/>
      <c r="D173" s="2"/>
      <c r="E173" s="2"/>
      <c r="F173" s="4"/>
      <c r="G173" s="5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/>
      <c r="B174" s="2"/>
      <c r="C174" s="2"/>
      <c r="D174" s="2"/>
      <c r="E174" s="2"/>
      <c r="F174" s="4"/>
      <c r="G174" s="5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/>
      <c r="B175" s="2"/>
      <c r="C175" s="2"/>
      <c r="D175" s="2"/>
      <c r="E175" s="2"/>
      <c r="F175" s="4"/>
      <c r="G175" s="5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/>
      <c r="B176" s="2"/>
      <c r="C176" s="2"/>
      <c r="D176" s="2"/>
      <c r="E176" s="2"/>
      <c r="F176" s="4"/>
      <c r="G176" s="5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/>
      <c r="B177" s="2"/>
      <c r="C177" s="2"/>
      <c r="D177" s="2"/>
      <c r="E177" s="2"/>
      <c r="F177" s="4"/>
      <c r="G177" s="5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/>
      <c r="B178" s="2"/>
      <c r="C178" s="2"/>
      <c r="D178" s="2"/>
      <c r="E178" s="2"/>
      <c r="F178" s="4"/>
      <c r="G178" s="5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/>
      <c r="B179" s="2"/>
      <c r="C179" s="2"/>
      <c r="D179" s="2"/>
      <c r="E179" s="2"/>
      <c r="F179" s="4"/>
      <c r="G179" s="5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/>
      <c r="B180" s="2"/>
      <c r="C180" s="2"/>
      <c r="D180" s="2"/>
      <c r="E180" s="2"/>
      <c r="F180" s="4"/>
      <c r="G180" s="5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/>
      <c r="B181" s="2"/>
      <c r="C181" s="2"/>
      <c r="D181" s="2"/>
      <c r="E181" s="2"/>
      <c r="F181" s="4"/>
      <c r="G181" s="5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/>
      <c r="B182" s="2"/>
      <c r="C182" s="2"/>
      <c r="D182" s="2"/>
      <c r="E182" s="2"/>
      <c r="F182" s="4"/>
      <c r="G182" s="5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/>
      <c r="B183" s="2"/>
      <c r="C183" s="2"/>
      <c r="D183" s="2"/>
      <c r="E183" s="2"/>
      <c r="F183" s="4"/>
      <c r="G183" s="5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/>
      <c r="B184" s="2"/>
      <c r="C184" s="2"/>
      <c r="D184" s="2"/>
      <c r="E184" s="2"/>
      <c r="F184" s="4"/>
      <c r="G184" s="5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/>
      <c r="B185" s="2"/>
      <c r="C185" s="2"/>
      <c r="D185" s="2"/>
      <c r="E185" s="2"/>
      <c r="F185" s="4"/>
      <c r="G185" s="5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/>
      <c r="B186" s="2"/>
      <c r="C186" s="2"/>
      <c r="D186" s="2"/>
      <c r="E186" s="2"/>
      <c r="F186" s="4"/>
      <c r="G186" s="5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/>
      <c r="B187" s="2"/>
      <c r="C187" s="2"/>
      <c r="D187" s="2"/>
      <c r="E187" s="2"/>
      <c r="F187" s="4"/>
      <c r="G187" s="5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/>
      <c r="B188" s="2"/>
      <c r="C188" s="2"/>
      <c r="D188" s="2"/>
      <c r="E188" s="2"/>
      <c r="F188" s="4"/>
      <c r="G188" s="5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/>
      <c r="B189" s="2"/>
      <c r="C189" s="2"/>
      <c r="D189" s="2"/>
      <c r="E189" s="2"/>
      <c r="F189" s="4"/>
      <c r="G189" s="5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/>
      <c r="B190" s="2"/>
      <c r="C190" s="2"/>
      <c r="D190" s="2"/>
      <c r="E190" s="2"/>
      <c r="F190" s="4"/>
      <c r="G190" s="5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/>
      <c r="B191" s="2"/>
      <c r="C191" s="2"/>
      <c r="D191" s="2"/>
      <c r="E191" s="2"/>
      <c r="F191" s="4"/>
      <c r="G191" s="5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/>
      <c r="B192" s="2"/>
      <c r="C192" s="2"/>
      <c r="D192" s="2"/>
      <c r="E192" s="2"/>
      <c r="F192" s="4"/>
      <c r="G192" s="5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/>
      <c r="B193" s="2"/>
      <c r="C193" s="2"/>
      <c r="D193" s="2"/>
      <c r="E193" s="2"/>
      <c r="F193" s="4"/>
      <c r="G193" s="5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/>
      <c r="B194" s="2"/>
      <c r="C194" s="2"/>
      <c r="D194" s="2"/>
      <c r="E194" s="2"/>
      <c r="F194" s="4"/>
      <c r="G194" s="5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/>
      <c r="B195" s="2"/>
      <c r="C195" s="2"/>
      <c r="D195" s="2"/>
      <c r="E195" s="2"/>
      <c r="F195" s="4"/>
      <c r="G195" s="5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/>
      <c r="B196" s="2"/>
      <c r="C196" s="2"/>
      <c r="D196" s="2"/>
      <c r="E196" s="2"/>
      <c r="F196" s="4"/>
      <c r="G196" s="5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/>
      <c r="B197" s="2"/>
      <c r="C197" s="2"/>
      <c r="D197" s="2"/>
      <c r="E197" s="2"/>
      <c r="F197" s="4"/>
      <c r="G197" s="5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/>
      <c r="B198" s="2"/>
      <c r="C198" s="2"/>
      <c r="D198" s="2"/>
      <c r="E198" s="2"/>
      <c r="F198" s="4"/>
      <c r="G198" s="5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/>
      <c r="B199" s="2"/>
      <c r="C199" s="2"/>
      <c r="D199" s="2"/>
      <c r="E199" s="2"/>
      <c r="F199" s="4"/>
      <c r="G199" s="5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/>
      <c r="B200" s="2"/>
      <c r="C200" s="2"/>
      <c r="D200" s="2"/>
      <c r="E200" s="2"/>
      <c r="F200" s="4"/>
      <c r="G200" s="5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/>
      <c r="B201" s="2"/>
      <c r="C201" s="2"/>
      <c r="D201" s="2"/>
      <c r="E201" s="2"/>
      <c r="F201" s="4"/>
      <c r="G201" s="5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/>
      <c r="B202" s="2"/>
      <c r="C202" s="2"/>
      <c r="D202" s="2"/>
      <c r="E202" s="2"/>
      <c r="F202" s="4"/>
      <c r="G202" s="5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/>
      <c r="B203" s="2"/>
      <c r="C203" s="2"/>
      <c r="D203" s="2"/>
      <c r="E203" s="2"/>
      <c r="F203" s="4"/>
      <c r="G203" s="5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/>
      <c r="B204" s="2"/>
      <c r="C204" s="2"/>
      <c r="D204" s="2"/>
      <c r="E204" s="2"/>
      <c r="F204" s="4"/>
      <c r="G204" s="5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/>
      <c r="B205" s="2"/>
      <c r="C205" s="2"/>
      <c r="D205" s="2"/>
      <c r="E205" s="2"/>
      <c r="F205" s="4"/>
      <c r="G205" s="5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/>
      <c r="B206" s="2"/>
      <c r="C206" s="2"/>
      <c r="D206" s="2"/>
      <c r="E206" s="2"/>
      <c r="F206" s="4"/>
      <c r="G206" s="5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/>
      <c r="B207" s="2"/>
      <c r="C207" s="2"/>
      <c r="D207" s="2"/>
      <c r="E207" s="2"/>
      <c r="F207" s="4"/>
      <c r="G207" s="5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/>
      <c r="B208" s="2"/>
      <c r="C208" s="2"/>
      <c r="D208" s="2"/>
      <c r="E208" s="2"/>
      <c r="F208" s="4"/>
      <c r="G208" s="5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/>
      <c r="B209" s="2"/>
      <c r="C209" s="2"/>
      <c r="D209" s="2"/>
      <c r="E209" s="2"/>
      <c r="F209" s="4"/>
      <c r="G209" s="5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/>
      <c r="B210" s="2"/>
      <c r="C210" s="2"/>
      <c r="D210" s="2"/>
      <c r="E210" s="2"/>
      <c r="F210" s="4"/>
      <c r="G210" s="5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/>
      <c r="B211" s="2"/>
      <c r="C211" s="2"/>
      <c r="D211" s="2"/>
      <c r="E211" s="2"/>
      <c r="F211" s="4"/>
      <c r="G211" s="5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/>
      <c r="B212" s="2"/>
      <c r="C212" s="2"/>
      <c r="D212" s="2"/>
      <c r="E212" s="2"/>
      <c r="F212" s="4"/>
      <c r="G212" s="5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/>
      <c r="B213" s="2"/>
      <c r="C213" s="2"/>
      <c r="D213" s="2"/>
      <c r="E213" s="2"/>
      <c r="F213" s="4"/>
      <c r="G213" s="5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/>
      <c r="B214" s="2"/>
      <c r="C214" s="2"/>
      <c r="D214" s="2"/>
      <c r="E214" s="2"/>
      <c r="F214" s="4"/>
      <c r="G214" s="5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/>
      <c r="B215" s="2"/>
      <c r="C215" s="2"/>
      <c r="D215" s="2"/>
      <c r="E215" s="2"/>
      <c r="F215" s="4"/>
      <c r="G215" s="5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/>
      <c r="B216" s="2"/>
      <c r="C216" s="2"/>
      <c r="D216" s="2"/>
      <c r="E216" s="2"/>
      <c r="F216" s="4"/>
      <c r="G216" s="5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/>
      <c r="B217" s="2"/>
      <c r="C217" s="2"/>
      <c r="D217" s="2"/>
      <c r="E217" s="2"/>
      <c r="F217" s="4"/>
      <c r="G217" s="5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/>
      <c r="B218" s="2"/>
      <c r="C218" s="2"/>
      <c r="D218" s="2"/>
      <c r="E218" s="2"/>
      <c r="F218" s="4"/>
      <c r="G218" s="5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/>
      <c r="B219" s="2"/>
      <c r="C219" s="2"/>
      <c r="D219" s="2"/>
      <c r="E219" s="2"/>
      <c r="F219" s="4"/>
      <c r="G219" s="5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/>
      <c r="B220" s="2"/>
      <c r="C220" s="2"/>
      <c r="D220" s="2"/>
      <c r="E220" s="2"/>
      <c r="F220" s="4"/>
      <c r="G220" s="5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/>
      <c r="B221" s="2"/>
      <c r="C221" s="2"/>
      <c r="D221" s="2"/>
      <c r="E221" s="2"/>
      <c r="F221" s="4"/>
      <c r="G221" s="5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/>
      <c r="B222" s="2"/>
      <c r="C222" s="2"/>
      <c r="D222" s="2"/>
      <c r="E222" s="2"/>
      <c r="F222" s="4"/>
      <c r="G222" s="5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/>
      <c r="B223" s="2"/>
      <c r="C223" s="2"/>
      <c r="D223" s="2"/>
      <c r="E223" s="2"/>
      <c r="F223" s="4"/>
      <c r="G223" s="5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/>
      <c r="B224" s="2"/>
      <c r="C224" s="2"/>
      <c r="D224" s="2"/>
      <c r="E224" s="2"/>
      <c r="F224" s="4"/>
      <c r="G224" s="5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/>
      <c r="B225" s="2"/>
      <c r="C225" s="2"/>
      <c r="D225" s="2"/>
      <c r="E225" s="2"/>
      <c r="F225" s="4"/>
      <c r="G225" s="5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/>
      <c r="B226" s="2"/>
      <c r="C226" s="2"/>
      <c r="D226" s="2"/>
      <c r="E226" s="2"/>
      <c r="F226" s="4"/>
      <c r="G226" s="5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/>
      <c r="B227" s="2"/>
      <c r="C227" s="2"/>
      <c r="D227" s="2"/>
      <c r="E227" s="2"/>
      <c r="F227" s="4"/>
      <c r="G227" s="5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/>
      <c r="B228" s="2"/>
      <c r="C228" s="2"/>
      <c r="D228" s="2"/>
      <c r="E228" s="2"/>
      <c r="F228" s="4"/>
      <c r="G228" s="5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/>
      <c r="B229" s="2"/>
      <c r="C229" s="2"/>
      <c r="D229" s="2"/>
      <c r="E229" s="2"/>
      <c r="F229" s="4"/>
      <c r="G229" s="5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/>
      <c r="B230" s="2"/>
      <c r="C230" s="2"/>
      <c r="D230" s="2"/>
      <c r="E230" s="2"/>
      <c r="F230" s="4"/>
      <c r="G230" s="5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/>
      <c r="B231" s="2"/>
      <c r="C231" s="2"/>
      <c r="D231" s="2"/>
      <c r="E231" s="2"/>
      <c r="F231" s="4"/>
      <c r="G231" s="5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/>
      <c r="B232" s="2"/>
      <c r="C232" s="2"/>
      <c r="D232" s="2"/>
      <c r="E232" s="2"/>
      <c r="F232" s="4"/>
      <c r="G232" s="5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/>
      <c r="B233" s="2"/>
      <c r="C233" s="2"/>
      <c r="D233" s="2"/>
      <c r="E233" s="2"/>
      <c r="F233" s="4"/>
      <c r="G233" s="5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/>
      <c r="B234" s="2"/>
      <c r="C234" s="2"/>
      <c r="D234" s="2"/>
      <c r="E234" s="2"/>
      <c r="F234" s="4"/>
      <c r="G234" s="5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/>
      <c r="B235" s="2"/>
      <c r="C235" s="2"/>
      <c r="D235" s="2"/>
      <c r="E235" s="2"/>
      <c r="F235" s="4"/>
      <c r="G235" s="5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/>
      <c r="B236" s="2"/>
      <c r="C236" s="2"/>
      <c r="D236" s="2"/>
      <c r="E236" s="2"/>
      <c r="F236" s="4"/>
      <c r="G236" s="5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/>
      <c r="B237" s="2"/>
      <c r="C237" s="2"/>
      <c r="D237" s="2"/>
      <c r="E237" s="2"/>
      <c r="F237" s="4"/>
      <c r="G237" s="5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/>
      <c r="B238" s="2"/>
      <c r="C238" s="2"/>
      <c r="D238" s="2"/>
      <c r="E238" s="2"/>
      <c r="F238" s="4"/>
      <c r="G238" s="5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/>
      <c r="B239" s="2"/>
      <c r="C239" s="2"/>
      <c r="D239" s="2"/>
      <c r="E239" s="2"/>
      <c r="F239" s="4"/>
      <c r="G239" s="5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/>
      <c r="B240" s="2"/>
      <c r="C240" s="2"/>
      <c r="D240" s="2"/>
      <c r="E240" s="2"/>
      <c r="F240" s="4"/>
      <c r="G240" s="5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/>
      <c r="B241" s="2"/>
      <c r="C241" s="2"/>
      <c r="D241" s="2"/>
      <c r="E241" s="2"/>
      <c r="F241" s="4"/>
      <c r="G241" s="5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/>
      <c r="B242" s="2"/>
      <c r="C242" s="2"/>
      <c r="D242" s="2"/>
      <c r="E242" s="2"/>
      <c r="F242" s="4"/>
      <c r="G242" s="5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/>
      <c r="B243" s="2"/>
      <c r="C243" s="2"/>
      <c r="D243" s="2"/>
      <c r="E243" s="2"/>
      <c r="F243" s="4"/>
      <c r="G243" s="5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/>
      <c r="B244" s="2"/>
      <c r="C244" s="2"/>
      <c r="D244" s="2"/>
      <c r="E244" s="2"/>
      <c r="F244" s="4"/>
      <c r="G244" s="5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/>
      <c r="B245" s="2"/>
      <c r="C245" s="2"/>
      <c r="D245" s="2"/>
      <c r="E245" s="2"/>
      <c r="F245" s="4"/>
      <c r="G245" s="5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/>
      <c r="B246" s="2"/>
      <c r="C246" s="2"/>
      <c r="D246" s="2"/>
      <c r="E246" s="2"/>
      <c r="F246" s="4"/>
      <c r="G246" s="5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/>
      <c r="B247" s="2"/>
      <c r="C247" s="2"/>
      <c r="D247" s="2"/>
      <c r="E247" s="2"/>
      <c r="F247" s="4"/>
      <c r="G247" s="5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/>
      <c r="B248" s="2"/>
      <c r="C248" s="2"/>
      <c r="D248" s="2"/>
      <c r="E248" s="2"/>
      <c r="F248" s="4"/>
      <c r="G248" s="5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/>
      <c r="B249" s="2"/>
      <c r="C249" s="2"/>
      <c r="D249" s="2"/>
      <c r="E249" s="2"/>
      <c r="F249" s="4"/>
      <c r="G249" s="5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/>
      <c r="B250" s="2"/>
      <c r="C250" s="2"/>
      <c r="D250" s="2"/>
      <c r="E250" s="2"/>
      <c r="F250" s="4"/>
      <c r="G250" s="5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/>
      <c r="B251" s="2"/>
      <c r="C251" s="2"/>
      <c r="D251" s="2"/>
      <c r="E251" s="2"/>
      <c r="F251" s="4"/>
      <c r="G251" s="5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/>
      <c r="B252" s="2"/>
      <c r="C252" s="2"/>
      <c r="D252" s="2"/>
      <c r="E252" s="2"/>
      <c r="F252" s="4"/>
      <c r="G252" s="5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/>
      <c r="B253" s="2"/>
      <c r="C253" s="2"/>
      <c r="D253" s="2"/>
      <c r="E253" s="2"/>
      <c r="F253" s="4"/>
      <c r="G253" s="5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/>
      <c r="B254" s="2"/>
      <c r="C254" s="2"/>
      <c r="D254" s="2"/>
      <c r="E254" s="2"/>
      <c r="F254" s="4"/>
      <c r="G254" s="5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/>
      <c r="B255" s="2"/>
      <c r="C255" s="2"/>
      <c r="D255" s="2"/>
      <c r="E255" s="2"/>
      <c r="F255" s="4"/>
      <c r="G255" s="5"/>
      <c r="H255" s="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/>
      <c r="B256" s="2"/>
      <c r="C256" s="2"/>
      <c r="D256" s="2"/>
      <c r="E256" s="2"/>
      <c r="F256" s="4"/>
      <c r="G256" s="5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/>
      <c r="B257" s="2"/>
      <c r="C257" s="2"/>
      <c r="D257" s="2"/>
      <c r="E257" s="2"/>
      <c r="F257" s="4"/>
      <c r="G257" s="5"/>
      <c r="H257" s="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/>
      <c r="B258" s="2"/>
      <c r="C258" s="2"/>
      <c r="D258" s="2"/>
      <c r="E258" s="2"/>
      <c r="F258" s="4"/>
      <c r="G258" s="5"/>
      <c r="H258" s="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/>
      <c r="B259" s="2"/>
      <c r="C259" s="2"/>
      <c r="D259" s="2"/>
      <c r="E259" s="2"/>
      <c r="F259" s="4"/>
      <c r="G259" s="5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/>
      <c r="B260" s="2"/>
      <c r="C260" s="2"/>
      <c r="D260" s="2"/>
      <c r="E260" s="2"/>
      <c r="F260" s="4"/>
      <c r="G260" s="5"/>
      <c r="H260" s="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/>
      <c r="B261" s="2"/>
      <c r="C261" s="2"/>
      <c r="D261" s="2"/>
      <c r="E261" s="2"/>
      <c r="F261" s="4"/>
      <c r="G261" s="5"/>
      <c r="H261" s="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/>
      <c r="B262" s="2"/>
      <c r="C262" s="2"/>
      <c r="D262" s="2"/>
      <c r="E262" s="2"/>
      <c r="F262" s="4"/>
      <c r="G262" s="5"/>
      <c r="H262" s="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/>
      <c r="B263" s="2"/>
      <c r="C263" s="2"/>
      <c r="D263" s="2"/>
      <c r="E263" s="2"/>
      <c r="F263" s="4"/>
      <c r="G263" s="5"/>
      <c r="H263" s="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/>
      <c r="B264" s="2"/>
      <c r="C264" s="2"/>
      <c r="D264" s="2"/>
      <c r="E264" s="2"/>
      <c r="F264" s="4"/>
      <c r="G264" s="5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/>
      <c r="B265" s="2"/>
      <c r="C265" s="2"/>
      <c r="D265" s="2"/>
      <c r="E265" s="2"/>
      <c r="F265" s="4"/>
      <c r="G265" s="5"/>
      <c r="H265" s="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/>
      <c r="B266" s="2"/>
      <c r="C266" s="2"/>
      <c r="D266" s="2"/>
      <c r="E266" s="2"/>
      <c r="F266" s="4"/>
      <c r="G266" s="5"/>
      <c r="H266" s="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/>
      <c r="B267" s="2"/>
      <c r="C267" s="2"/>
      <c r="D267" s="2"/>
      <c r="E267" s="2"/>
      <c r="F267" s="4"/>
      <c r="G267" s="5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/>
      <c r="B268" s="2"/>
      <c r="C268" s="2"/>
      <c r="D268" s="2"/>
      <c r="E268" s="2"/>
      <c r="F268" s="4"/>
      <c r="G268" s="5"/>
      <c r="H268" s="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/>
      <c r="B269" s="2"/>
      <c r="C269" s="2"/>
      <c r="D269" s="2"/>
      <c r="E269" s="2"/>
      <c r="F269" s="4"/>
      <c r="G269" s="5"/>
      <c r="H269" s="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/>
      <c r="B270" s="2"/>
      <c r="C270" s="2"/>
      <c r="D270" s="2"/>
      <c r="E270" s="2"/>
      <c r="F270" s="4"/>
      <c r="G270" s="5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/>
      <c r="B271" s="2"/>
      <c r="C271" s="2"/>
      <c r="D271" s="2"/>
      <c r="E271" s="2"/>
      <c r="F271" s="4"/>
      <c r="G271" s="5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4"/>
      <c r="B272" s="44"/>
      <c r="C272" s="44"/>
      <c r="D272" s="44"/>
      <c r="E272" s="44"/>
      <c r="F272" s="44"/>
      <c r="G272" s="48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8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8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8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8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8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8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8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8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8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8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8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8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8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8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8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8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8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8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8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8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8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8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8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8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8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8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8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8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8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8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8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8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8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8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8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8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8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8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8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8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8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8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8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8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8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8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8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8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8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8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8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8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8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8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8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8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8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8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8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8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8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8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8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8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8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8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8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8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8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8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8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8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8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8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8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8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8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8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8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8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8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8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8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8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8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8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8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8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8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8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8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8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8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8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8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8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8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8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8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8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8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8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8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8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8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8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8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8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8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8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8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8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8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8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8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8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8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8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8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8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8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8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8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8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8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8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8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8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8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8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8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8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8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8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8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8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8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8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8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8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8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8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8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8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8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8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8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8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8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8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8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8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8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8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8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8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8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8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8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8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8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8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8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8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8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8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8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8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8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8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8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8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8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8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8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8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8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8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8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8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8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8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8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8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8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8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8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8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8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8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8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8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8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8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8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8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8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8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8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8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8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8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8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8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8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8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8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8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8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8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8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8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8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8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8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8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8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8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8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8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8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8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8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8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8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8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8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8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8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8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8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8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8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8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8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8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8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8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8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8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8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8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8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8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8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8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8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8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8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8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8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8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8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8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8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8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8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8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8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8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8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8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8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8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8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8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8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8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8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8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8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8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8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8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8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8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8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8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8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8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8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8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8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8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8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8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8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8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8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8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8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8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8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8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8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8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8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8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8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8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8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8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8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8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8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8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8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8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8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8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8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8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8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8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8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8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8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8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8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8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8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8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8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8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8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8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8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8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8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8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8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8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8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8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8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8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8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8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8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8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8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8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8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8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8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8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8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8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8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8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8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8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8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8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8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8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8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8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8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8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8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8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8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8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8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8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8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8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8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8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8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8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8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8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8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8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8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8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8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8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8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8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8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8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8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8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8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8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8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8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8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8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8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8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8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8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8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8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8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8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8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8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8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8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8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8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8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8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8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8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8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8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8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8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8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8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8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8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8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8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8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8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8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8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8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8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8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8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8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8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8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8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8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8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8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8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8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8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8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8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8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8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8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8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8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8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8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8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8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8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8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8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8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8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8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8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8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8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8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8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8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8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8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8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8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8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8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8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8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8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8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8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8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8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8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8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8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8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8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8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8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8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8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8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8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8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8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8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8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8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8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8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8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8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8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8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8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8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8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8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8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8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8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8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8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8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8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8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8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8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8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8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8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8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8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8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8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8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8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8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8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8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8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8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8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8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8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8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8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8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8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8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8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8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8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8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8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8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8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8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8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8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8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8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8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8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8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8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8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8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8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8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8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8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8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8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8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8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8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8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8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8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8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8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8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8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8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8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8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8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8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8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8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8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8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8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8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8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8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8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8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8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8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8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8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8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8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8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8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8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8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8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8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8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8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8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8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8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8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8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8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8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8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8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8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8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8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8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8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8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8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8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8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8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8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8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8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8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8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8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8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8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8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8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8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8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8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8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8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8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8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8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8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8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8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8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8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8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8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8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8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8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8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8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8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8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8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8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8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8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8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8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8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8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8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8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8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8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8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8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8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8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8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8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8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8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8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8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8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8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8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8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8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8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8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8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8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8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8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8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8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8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8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8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8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8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8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8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8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8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8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8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8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8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8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8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8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8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8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8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8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8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8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8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8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8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8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8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8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8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8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8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8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8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8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8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8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8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8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8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8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8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8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8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8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8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8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8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">
    <mergeCell ref="A1:G1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71.14"/>
    <col customWidth="1" min="3" max="3" width="37.86"/>
    <col customWidth="1" min="4" max="4" width="38.29"/>
    <col customWidth="1" min="5" max="5" width="22.14"/>
    <col customWidth="1" min="6" max="6" width="28.86"/>
    <col customWidth="1" min="7" max="7" width="21.43"/>
  </cols>
  <sheetData>
    <row r="1" ht="35.25" customHeight="1">
      <c r="A1" s="49" t="s">
        <v>202</v>
      </c>
      <c r="B1" s="50"/>
      <c r="C1" s="50"/>
      <c r="D1" s="50"/>
      <c r="E1" s="50"/>
      <c r="F1" s="51"/>
      <c r="G1" s="52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>
      <c r="A2" s="54" t="s">
        <v>17</v>
      </c>
      <c r="B2" s="55" t="s">
        <v>203</v>
      </c>
      <c r="C2" s="55" t="s">
        <v>204</v>
      </c>
      <c r="D2" s="55" t="s">
        <v>34</v>
      </c>
      <c r="E2" s="56" t="s">
        <v>22</v>
      </c>
      <c r="F2" s="57" t="s">
        <v>23</v>
      </c>
      <c r="G2" s="58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>
      <c r="A3" s="59" t="s">
        <v>205</v>
      </c>
      <c r="B3" s="60" t="s">
        <v>206</v>
      </c>
      <c r="C3" s="60" t="s">
        <v>207</v>
      </c>
      <c r="D3" s="60" t="s">
        <v>208</v>
      </c>
      <c r="E3" s="61" t="s">
        <v>29</v>
      </c>
      <c r="F3" s="62" t="s">
        <v>209</v>
      </c>
      <c r="G3" s="58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</row>
    <row r="4">
      <c r="A4" s="59" t="s">
        <v>210</v>
      </c>
      <c r="B4" s="60" t="s">
        <v>211</v>
      </c>
      <c r="C4" s="60" t="s">
        <v>212</v>
      </c>
      <c r="D4" s="60" t="s">
        <v>213</v>
      </c>
      <c r="E4" s="61" t="s">
        <v>29</v>
      </c>
      <c r="F4" s="62" t="s">
        <v>209</v>
      </c>
      <c r="G4" s="6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</row>
    <row r="5">
      <c r="A5" s="59" t="s">
        <v>64</v>
      </c>
      <c r="B5" s="60" t="s">
        <v>214</v>
      </c>
      <c r="C5" s="60" t="s">
        <v>215</v>
      </c>
      <c r="D5" s="60"/>
      <c r="E5" s="61" t="s">
        <v>29</v>
      </c>
      <c r="F5" s="62" t="s">
        <v>209</v>
      </c>
      <c r="G5" s="6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</row>
    <row r="6">
      <c r="A6" s="59" t="s">
        <v>216</v>
      </c>
      <c r="B6" s="60" t="s">
        <v>217</v>
      </c>
      <c r="C6" s="60" t="s">
        <v>218</v>
      </c>
      <c r="D6" s="60" t="s">
        <v>219</v>
      </c>
      <c r="E6" s="61" t="s">
        <v>29</v>
      </c>
      <c r="F6" s="62" t="s">
        <v>209</v>
      </c>
      <c r="G6" s="6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</row>
    <row r="7">
      <c r="A7" s="64"/>
      <c r="B7" s="64"/>
      <c r="C7" s="65"/>
      <c r="D7" s="66"/>
      <c r="E7" s="66"/>
      <c r="F7" s="67"/>
      <c r="G7" s="67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</row>
    <row r="8">
      <c r="A8" s="64"/>
      <c r="B8" s="64"/>
      <c r="C8" s="65"/>
      <c r="D8" s="66"/>
      <c r="E8" s="66"/>
      <c r="F8" s="67"/>
      <c r="G8" s="6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</row>
    <row r="9">
      <c r="A9" s="68" t="s">
        <v>220</v>
      </c>
      <c r="B9" s="69"/>
      <c r="C9" s="70" t="s">
        <v>221</v>
      </c>
      <c r="D9" s="71" t="s">
        <v>222</v>
      </c>
      <c r="E9" s="71" t="s">
        <v>223</v>
      </c>
      <c r="F9" s="72" t="s">
        <v>23</v>
      </c>
      <c r="G9" s="6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</row>
    <row r="10">
      <c r="A10" s="73">
        <v>1.0</v>
      </c>
      <c r="B10" s="74" t="s">
        <v>224</v>
      </c>
      <c r="C10" s="75">
        <v>46177.0</v>
      </c>
      <c r="D10" s="76">
        <v>46179.0</v>
      </c>
      <c r="E10" s="77" t="s">
        <v>225</v>
      </c>
      <c r="F10" s="78" t="s">
        <v>226</v>
      </c>
      <c r="G10" s="6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</row>
    <row r="11">
      <c r="A11" s="73">
        <v>2.0</v>
      </c>
      <c r="B11" s="74" t="s">
        <v>227</v>
      </c>
      <c r="C11" s="79" t="s">
        <v>228</v>
      </c>
      <c r="D11" s="77" t="s">
        <v>229</v>
      </c>
      <c r="E11" s="77" t="s">
        <v>131</v>
      </c>
      <c r="F11" s="78" t="s">
        <v>226</v>
      </c>
      <c r="G11" s="6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</row>
    <row r="12">
      <c r="A12" s="73">
        <v>3.0</v>
      </c>
      <c r="B12" s="74" t="s">
        <v>230</v>
      </c>
      <c r="C12" s="79" t="s">
        <v>231</v>
      </c>
      <c r="D12" s="80" t="s">
        <v>232</v>
      </c>
      <c r="E12" s="77" t="s">
        <v>225</v>
      </c>
      <c r="F12" s="78" t="s">
        <v>226</v>
      </c>
      <c r="G12" s="6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</row>
    <row r="13">
      <c r="A13" s="73">
        <v>4.0</v>
      </c>
      <c r="B13" s="74" t="s">
        <v>233</v>
      </c>
      <c r="C13" s="79" t="s">
        <v>234</v>
      </c>
      <c r="D13" s="76">
        <v>46084.0</v>
      </c>
      <c r="E13" s="77" t="s">
        <v>225</v>
      </c>
      <c r="F13" s="78" t="s">
        <v>226</v>
      </c>
      <c r="G13" s="6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</row>
    <row r="14">
      <c r="A14" s="73">
        <v>5.0</v>
      </c>
      <c r="B14" s="81" t="s">
        <v>235</v>
      </c>
      <c r="C14" s="79" t="s">
        <v>236</v>
      </c>
      <c r="D14" s="77" t="s">
        <v>237</v>
      </c>
      <c r="E14" s="77" t="s">
        <v>131</v>
      </c>
      <c r="F14" s="78" t="s">
        <v>226</v>
      </c>
      <c r="G14" s="6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</row>
    <row r="15">
      <c r="A15" s="82">
        <v>6.0</v>
      </c>
      <c r="B15" s="83" t="s">
        <v>238</v>
      </c>
      <c r="C15" s="84" t="s">
        <v>239</v>
      </c>
      <c r="D15" s="85" t="s">
        <v>240</v>
      </c>
      <c r="E15" s="86" t="s">
        <v>241</v>
      </c>
      <c r="F15" s="87" t="s">
        <v>226</v>
      </c>
      <c r="G15" s="6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>
      <c r="A16" s="77"/>
      <c r="B16" s="81"/>
      <c r="C16" s="79"/>
      <c r="D16" s="80"/>
      <c r="E16" s="77"/>
      <c r="F16" s="77"/>
      <c r="G16" s="6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>
      <c r="A17" s="88" t="s">
        <v>242</v>
      </c>
      <c r="B17" s="69"/>
      <c r="C17" s="70" t="s">
        <v>221</v>
      </c>
      <c r="D17" s="71" t="s">
        <v>222</v>
      </c>
      <c r="E17" s="71" t="s">
        <v>223</v>
      </c>
      <c r="F17" s="72" t="s">
        <v>23</v>
      </c>
      <c r="G17" s="6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</row>
    <row r="18">
      <c r="A18" s="73">
        <v>1.0</v>
      </c>
      <c r="B18" s="74" t="s">
        <v>243</v>
      </c>
      <c r="C18" s="89">
        <v>4200.0</v>
      </c>
      <c r="D18" s="79">
        <v>10000.0</v>
      </c>
      <c r="E18" s="79"/>
      <c r="F18" s="90" t="s">
        <v>244</v>
      </c>
      <c r="G18" s="6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</row>
    <row r="19">
      <c r="A19" s="73">
        <v>2.0</v>
      </c>
      <c r="B19" s="74" t="s">
        <v>245</v>
      </c>
      <c r="C19" s="91">
        <v>0.133</v>
      </c>
      <c r="D19" s="92">
        <v>0.2</v>
      </c>
      <c r="E19" s="93"/>
      <c r="F19" s="90" t="s">
        <v>244</v>
      </c>
      <c r="G19" s="6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</row>
    <row r="20">
      <c r="A20" s="73">
        <v>3.0</v>
      </c>
      <c r="B20" s="74" t="s">
        <v>246</v>
      </c>
      <c r="C20" s="77" t="s">
        <v>247</v>
      </c>
      <c r="D20" s="77" t="s">
        <v>248</v>
      </c>
      <c r="F20" s="90" t="s">
        <v>244</v>
      </c>
      <c r="G20" s="6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</row>
    <row r="21">
      <c r="A21" s="82">
        <v>4.0</v>
      </c>
      <c r="B21" s="94" t="s">
        <v>249</v>
      </c>
      <c r="C21" s="95"/>
      <c r="D21" s="85" t="s">
        <v>250</v>
      </c>
      <c r="E21" s="93"/>
      <c r="F21" s="87" t="s">
        <v>244</v>
      </c>
      <c r="G21" s="6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</row>
    <row r="22">
      <c r="A22" s="77"/>
      <c r="B22" s="74"/>
      <c r="C22" s="93"/>
      <c r="D22" s="93"/>
      <c r="E22" s="93"/>
      <c r="F22" s="93"/>
      <c r="G22" s="6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</row>
    <row r="23">
      <c r="A23" s="68" t="s">
        <v>251</v>
      </c>
      <c r="B23" s="69"/>
      <c r="C23" s="70" t="s">
        <v>221</v>
      </c>
      <c r="D23" s="71" t="s">
        <v>222</v>
      </c>
      <c r="E23" s="71" t="s">
        <v>223</v>
      </c>
      <c r="F23" s="72" t="s">
        <v>23</v>
      </c>
      <c r="G23" s="6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</row>
    <row r="24" ht="25.5" customHeight="1">
      <c r="A24" s="73">
        <v>1.0</v>
      </c>
      <c r="B24" s="96" t="s">
        <v>252</v>
      </c>
      <c r="C24" s="97" t="s">
        <v>253</v>
      </c>
      <c r="D24" s="98" t="s">
        <v>254</v>
      </c>
      <c r="E24" s="77" t="s">
        <v>131</v>
      </c>
      <c r="F24" s="78" t="s">
        <v>255</v>
      </c>
      <c r="G24" s="6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</row>
    <row r="25">
      <c r="A25" s="73">
        <v>2.0</v>
      </c>
      <c r="B25" s="74" t="s">
        <v>256</v>
      </c>
      <c r="C25" s="77" t="s">
        <v>257</v>
      </c>
      <c r="D25" s="77" t="s">
        <v>258</v>
      </c>
      <c r="E25" s="99" t="s">
        <v>29</v>
      </c>
      <c r="F25" s="78" t="s">
        <v>255</v>
      </c>
      <c r="G25" s="6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</row>
    <row r="26">
      <c r="A26" s="73">
        <v>3.0</v>
      </c>
      <c r="B26" s="74" t="s">
        <v>259</v>
      </c>
      <c r="C26" s="79" t="s">
        <v>260</v>
      </c>
      <c r="D26" s="77" t="s">
        <v>261</v>
      </c>
      <c r="E26" s="99" t="s">
        <v>29</v>
      </c>
      <c r="F26" s="78" t="s">
        <v>255</v>
      </c>
      <c r="G26" s="6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</row>
    <row r="27">
      <c r="A27" s="73">
        <v>4.0</v>
      </c>
      <c r="B27" s="96" t="s">
        <v>262</v>
      </c>
      <c r="C27" s="79" t="s">
        <v>263</v>
      </c>
      <c r="D27" s="79" t="s">
        <v>264</v>
      </c>
      <c r="E27" s="99" t="s">
        <v>29</v>
      </c>
      <c r="F27" s="78" t="s">
        <v>255</v>
      </c>
      <c r="G27" s="6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</row>
    <row r="28">
      <c r="A28" s="82">
        <v>5.0</v>
      </c>
      <c r="B28" s="94" t="s">
        <v>265</v>
      </c>
      <c r="C28" s="100">
        <v>46272.0</v>
      </c>
      <c r="D28" s="101">
        <v>46274.0</v>
      </c>
      <c r="E28" s="102" t="s">
        <v>29</v>
      </c>
      <c r="F28" s="87" t="s">
        <v>255</v>
      </c>
      <c r="G28" s="6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</row>
    <row r="29">
      <c r="A29" s="77"/>
      <c r="B29" s="74"/>
      <c r="C29" s="75"/>
      <c r="D29" s="76"/>
      <c r="E29" s="99"/>
      <c r="F29" s="77"/>
      <c r="G29" s="6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</row>
    <row r="30">
      <c r="A30" s="68" t="s">
        <v>266</v>
      </c>
      <c r="B30" s="69"/>
      <c r="C30" s="70" t="s">
        <v>221</v>
      </c>
      <c r="D30" s="71" t="s">
        <v>222</v>
      </c>
      <c r="E30" s="71" t="s">
        <v>223</v>
      </c>
      <c r="F30" s="72" t="s">
        <v>23</v>
      </c>
      <c r="G30" s="6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</row>
    <row r="31">
      <c r="A31" s="73">
        <v>1.0</v>
      </c>
      <c r="B31" s="74" t="s">
        <v>267</v>
      </c>
      <c r="C31" s="79" t="s">
        <v>268</v>
      </c>
      <c r="D31" s="77" t="s">
        <v>269</v>
      </c>
      <c r="E31" s="77" t="s">
        <v>131</v>
      </c>
      <c r="F31" s="78" t="s">
        <v>226</v>
      </c>
      <c r="G31" s="103" t="s">
        <v>270</v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</row>
    <row r="32">
      <c r="A32" s="73">
        <v>2.0</v>
      </c>
      <c r="B32" s="74" t="s">
        <v>271</v>
      </c>
      <c r="C32" s="79" t="s">
        <v>272</v>
      </c>
      <c r="D32" s="77" t="s">
        <v>273</v>
      </c>
      <c r="E32" s="77" t="s">
        <v>131</v>
      </c>
      <c r="F32" s="78" t="s">
        <v>255</v>
      </c>
      <c r="G32" s="103" t="s">
        <v>274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</row>
    <row r="33">
      <c r="A33" s="82">
        <v>3.0</v>
      </c>
      <c r="B33" s="94" t="s">
        <v>275</v>
      </c>
      <c r="C33" s="84" t="s">
        <v>272</v>
      </c>
      <c r="D33" s="86" t="s">
        <v>276</v>
      </c>
      <c r="E33" s="86" t="s">
        <v>277</v>
      </c>
      <c r="F33" s="87" t="s">
        <v>255</v>
      </c>
      <c r="G33" s="6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</row>
    <row r="34">
      <c r="A34" s="58"/>
      <c r="B34" s="58"/>
      <c r="C34" s="58"/>
      <c r="D34" s="58"/>
      <c r="E34" s="58"/>
      <c r="F34" s="58"/>
      <c r="G34" s="6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</row>
    <row r="35">
      <c r="A35" s="68" t="s">
        <v>278</v>
      </c>
      <c r="B35" s="69"/>
      <c r="C35" s="70" t="s">
        <v>221</v>
      </c>
      <c r="D35" s="71" t="s">
        <v>222</v>
      </c>
      <c r="E35" s="71" t="s">
        <v>223</v>
      </c>
      <c r="F35" s="72" t="s">
        <v>23</v>
      </c>
      <c r="G35" s="6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</row>
    <row r="36">
      <c r="A36" s="73">
        <v>1.0</v>
      </c>
      <c r="B36" s="74" t="s">
        <v>279</v>
      </c>
      <c r="C36" s="79" t="s">
        <v>280</v>
      </c>
      <c r="D36" s="79" t="s">
        <v>281</v>
      </c>
      <c r="E36" s="99" t="s">
        <v>29</v>
      </c>
      <c r="F36" s="78" t="s">
        <v>282</v>
      </c>
      <c r="G36" s="6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</row>
    <row r="37">
      <c r="A37" s="73">
        <v>2.0</v>
      </c>
      <c r="B37" s="74" t="s">
        <v>283</v>
      </c>
      <c r="C37" s="79" t="s">
        <v>284</v>
      </c>
      <c r="D37" s="79" t="s">
        <v>285</v>
      </c>
      <c r="E37" s="99" t="s">
        <v>29</v>
      </c>
      <c r="F37" s="78" t="s">
        <v>282</v>
      </c>
      <c r="G37" s="6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</row>
    <row r="38">
      <c r="A38" s="73">
        <v>3.0</v>
      </c>
      <c r="B38" s="74" t="s">
        <v>286</v>
      </c>
      <c r="C38" s="79" t="s">
        <v>287</v>
      </c>
      <c r="D38" s="79" t="s">
        <v>288</v>
      </c>
      <c r="E38" s="99" t="s">
        <v>29</v>
      </c>
      <c r="F38" s="78" t="s">
        <v>282</v>
      </c>
      <c r="G38" s="6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</row>
    <row r="39">
      <c r="A39" s="73">
        <v>4.0</v>
      </c>
      <c r="B39" s="74" t="s">
        <v>289</v>
      </c>
      <c r="C39" s="79" t="s">
        <v>290</v>
      </c>
      <c r="D39" s="79" t="s">
        <v>291</v>
      </c>
      <c r="E39" s="99" t="s">
        <v>29</v>
      </c>
      <c r="F39" s="78" t="s">
        <v>282</v>
      </c>
      <c r="G39" s="103" t="s">
        <v>292</v>
      </c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</row>
    <row r="40">
      <c r="A40" s="82">
        <v>5.0</v>
      </c>
      <c r="B40" s="94" t="s">
        <v>293</v>
      </c>
      <c r="C40" s="84" t="s">
        <v>294</v>
      </c>
      <c r="D40" s="84" t="s">
        <v>295</v>
      </c>
      <c r="E40" s="102" t="s">
        <v>29</v>
      </c>
      <c r="F40" s="87" t="s">
        <v>282</v>
      </c>
      <c r="G40" s="6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</row>
    <row r="41">
      <c r="A41" s="58"/>
      <c r="B41" s="58"/>
      <c r="C41" s="58"/>
      <c r="D41" s="58"/>
      <c r="E41" s="58"/>
      <c r="F41" s="58"/>
      <c r="G41" s="6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</row>
    <row r="42">
      <c r="A42" s="104" t="s">
        <v>296</v>
      </c>
      <c r="B42" s="69"/>
      <c r="C42" s="70" t="s">
        <v>221</v>
      </c>
      <c r="D42" s="71" t="s">
        <v>222</v>
      </c>
      <c r="E42" s="71" t="s">
        <v>223</v>
      </c>
      <c r="F42" s="72" t="s">
        <v>23</v>
      </c>
      <c r="G42" s="6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</row>
    <row r="43">
      <c r="A43" s="73">
        <v>1.0</v>
      </c>
      <c r="B43" s="74" t="s">
        <v>297</v>
      </c>
      <c r="C43" s="105"/>
      <c r="D43" s="106"/>
      <c r="E43" s="99" t="s">
        <v>29</v>
      </c>
      <c r="F43" s="78" t="s">
        <v>298</v>
      </c>
      <c r="G43" s="6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</row>
    <row r="44">
      <c r="A44" s="73">
        <v>2.0</v>
      </c>
      <c r="B44" s="74" t="s">
        <v>299</v>
      </c>
      <c r="C44" s="107"/>
      <c r="D44" s="108"/>
      <c r="E44" s="99" t="s">
        <v>29</v>
      </c>
      <c r="F44" s="78" t="s">
        <v>298</v>
      </c>
      <c r="G44" s="6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</row>
    <row r="45">
      <c r="A45" s="73">
        <v>3.0</v>
      </c>
      <c r="B45" s="96" t="s">
        <v>300</v>
      </c>
      <c r="C45" s="107"/>
      <c r="D45" s="108"/>
      <c r="E45" s="99" t="s">
        <v>29</v>
      </c>
      <c r="F45" s="78" t="s">
        <v>298</v>
      </c>
      <c r="G45" s="6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</row>
    <row r="46">
      <c r="A46" s="82">
        <v>4.0</v>
      </c>
      <c r="B46" s="94" t="s">
        <v>301</v>
      </c>
      <c r="C46" s="109"/>
      <c r="D46" s="110" t="s">
        <v>302</v>
      </c>
      <c r="E46" s="102" t="s">
        <v>29</v>
      </c>
      <c r="F46" s="87" t="s">
        <v>298</v>
      </c>
      <c r="G46" s="6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</row>
    <row r="47">
      <c r="A47" s="79"/>
      <c r="B47" s="79"/>
      <c r="C47" s="79"/>
      <c r="D47" s="79"/>
      <c r="E47" s="79"/>
      <c r="F47" s="79"/>
      <c r="G47" s="79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</row>
    <row r="48">
      <c r="A48" s="68" t="s">
        <v>303</v>
      </c>
      <c r="B48" s="69"/>
      <c r="C48" s="70" t="s">
        <v>221</v>
      </c>
      <c r="D48" s="71" t="s">
        <v>222</v>
      </c>
      <c r="E48" s="71" t="s">
        <v>223</v>
      </c>
      <c r="F48" s="72" t="s">
        <v>23</v>
      </c>
      <c r="G48" s="6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</row>
    <row r="49">
      <c r="A49" s="73">
        <v>1.0</v>
      </c>
      <c r="B49" s="74" t="s">
        <v>304</v>
      </c>
      <c r="C49" s="105" t="s">
        <v>305</v>
      </c>
      <c r="D49" s="111" t="s">
        <v>306</v>
      </c>
      <c r="E49" s="79" t="s">
        <v>307</v>
      </c>
      <c r="F49" s="78" t="s">
        <v>308</v>
      </c>
      <c r="G49" s="6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</row>
    <row r="50">
      <c r="A50" s="73">
        <v>2.0</v>
      </c>
      <c r="B50" s="74" t="s">
        <v>309</v>
      </c>
      <c r="C50" s="105" t="s">
        <v>310</v>
      </c>
      <c r="D50" s="80" t="s">
        <v>311</v>
      </c>
      <c r="E50" s="112"/>
      <c r="F50" s="78" t="s">
        <v>308</v>
      </c>
      <c r="G50" s="6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</row>
    <row r="51">
      <c r="A51" s="73">
        <v>3.0</v>
      </c>
      <c r="B51" s="113" t="s">
        <v>312</v>
      </c>
      <c r="C51" s="105" t="s">
        <v>313</v>
      </c>
      <c r="D51" s="80" t="s">
        <v>314</v>
      </c>
      <c r="E51" s="114" t="s">
        <v>315</v>
      </c>
      <c r="F51" s="78" t="s">
        <v>308</v>
      </c>
      <c r="G51" s="96" t="s">
        <v>316</v>
      </c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</row>
    <row r="52">
      <c r="A52" s="73">
        <v>4.0</v>
      </c>
      <c r="B52" s="115" t="s">
        <v>317</v>
      </c>
      <c r="C52" s="116" t="s">
        <v>318</v>
      </c>
      <c r="D52" s="79" t="s">
        <v>319</v>
      </c>
      <c r="E52" s="114" t="s">
        <v>315</v>
      </c>
      <c r="F52" s="78" t="s">
        <v>308</v>
      </c>
      <c r="G52" s="6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</row>
    <row r="53">
      <c r="A53" s="117">
        <v>5.0</v>
      </c>
      <c r="B53" s="98" t="s">
        <v>320</v>
      </c>
      <c r="C53" s="97" t="s">
        <v>321</v>
      </c>
      <c r="D53" s="97" t="s">
        <v>322</v>
      </c>
      <c r="E53" s="114" t="s">
        <v>315</v>
      </c>
      <c r="F53" s="78" t="s">
        <v>308</v>
      </c>
      <c r="G53" s="6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</row>
    <row r="54">
      <c r="A54" s="82">
        <v>6.0</v>
      </c>
      <c r="B54" s="94" t="s">
        <v>323</v>
      </c>
      <c r="C54" s="84" t="s">
        <v>284</v>
      </c>
      <c r="D54" s="84" t="s">
        <v>285</v>
      </c>
      <c r="E54" s="118" t="s">
        <v>315</v>
      </c>
      <c r="F54" s="84" t="s">
        <v>308</v>
      </c>
      <c r="G54" s="6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</row>
    <row r="55">
      <c r="A55" s="79"/>
      <c r="B55" s="79"/>
      <c r="C55" s="79"/>
      <c r="D55" s="79"/>
      <c r="E55" s="79"/>
      <c r="F55" s="79"/>
      <c r="G55" s="79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</row>
    <row r="56">
      <c r="A56" s="119" t="s">
        <v>324</v>
      </c>
      <c r="C56" s="70" t="s">
        <v>221</v>
      </c>
      <c r="D56" s="71" t="s">
        <v>222</v>
      </c>
      <c r="E56" s="71" t="s">
        <v>223</v>
      </c>
      <c r="F56" s="72" t="s">
        <v>23</v>
      </c>
      <c r="G56" s="6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</row>
    <row r="57">
      <c r="A57" s="77">
        <v>1.0</v>
      </c>
      <c r="B57" s="74" t="s">
        <v>325</v>
      </c>
      <c r="C57" s="79" t="s">
        <v>326</v>
      </c>
      <c r="D57" s="93"/>
      <c r="E57" s="93"/>
      <c r="F57" s="77" t="s">
        <v>327</v>
      </c>
      <c r="G57" s="6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</row>
    <row r="58">
      <c r="A58" s="77">
        <v>2.0</v>
      </c>
      <c r="B58" s="74" t="s">
        <v>328</v>
      </c>
      <c r="C58" s="75">
        <v>46358.0</v>
      </c>
      <c r="D58" s="93"/>
      <c r="E58" s="93"/>
      <c r="F58" s="77" t="s">
        <v>327</v>
      </c>
      <c r="G58" s="6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</row>
    <row r="59">
      <c r="A59" s="77">
        <v>3.0</v>
      </c>
      <c r="B59" s="74" t="s">
        <v>329</v>
      </c>
      <c r="C59" s="79">
        <v>135.0</v>
      </c>
      <c r="D59" s="93"/>
      <c r="E59" s="93"/>
      <c r="F59" s="77" t="s">
        <v>327</v>
      </c>
      <c r="G59" s="6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</row>
    <row r="60">
      <c r="A60" s="77">
        <v>4.0</v>
      </c>
      <c r="B60" s="74" t="s">
        <v>330</v>
      </c>
      <c r="C60" s="120">
        <v>0.96</v>
      </c>
      <c r="D60" s="93"/>
      <c r="E60" s="93"/>
      <c r="F60" s="77" t="s">
        <v>327</v>
      </c>
      <c r="G60" s="6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</row>
    <row r="61">
      <c r="A61" s="80">
        <v>5.0</v>
      </c>
      <c r="B61" s="74" t="s">
        <v>331</v>
      </c>
      <c r="C61" s="79"/>
      <c r="D61" s="93"/>
      <c r="E61" s="77" t="s">
        <v>332</v>
      </c>
      <c r="F61" s="77" t="s">
        <v>327</v>
      </c>
      <c r="G61" s="6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</row>
    <row r="62">
      <c r="A62" s="80">
        <v>6.0</v>
      </c>
      <c r="B62" s="74" t="s">
        <v>333</v>
      </c>
      <c r="C62" s="79"/>
      <c r="D62" s="93"/>
      <c r="E62" s="77" t="s">
        <v>332</v>
      </c>
      <c r="F62" s="77" t="s">
        <v>327</v>
      </c>
      <c r="G62" s="6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</row>
    <row r="63">
      <c r="A63" s="77">
        <v>7.0</v>
      </c>
      <c r="B63" s="74" t="s">
        <v>334</v>
      </c>
      <c r="C63" s="79"/>
      <c r="D63" s="93"/>
      <c r="E63" s="77" t="s">
        <v>332</v>
      </c>
      <c r="F63" s="77" t="s">
        <v>327</v>
      </c>
      <c r="G63" s="6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</row>
    <row r="64">
      <c r="A64" s="77">
        <v>8.0</v>
      </c>
      <c r="B64" s="74" t="s">
        <v>335</v>
      </c>
      <c r="C64" s="79"/>
      <c r="D64" s="93"/>
      <c r="E64" s="77" t="s">
        <v>336</v>
      </c>
      <c r="F64" s="77" t="s">
        <v>327</v>
      </c>
      <c r="G64" s="6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</row>
    <row r="65">
      <c r="A65" s="119" t="s">
        <v>337</v>
      </c>
      <c r="C65" s="70" t="s">
        <v>221</v>
      </c>
      <c r="D65" s="71" t="s">
        <v>222</v>
      </c>
      <c r="E65" s="71" t="s">
        <v>223</v>
      </c>
      <c r="F65" s="72" t="s">
        <v>23</v>
      </c>
      <c r="G65" s="6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</row>
    <row r="66">
      <c r="A66" s="77">
        <v>1.0</v>
      </c>
      <c r="B66" s="74" t="s">
        <v>338</v>
      </c>
      <c r="C66" s="79"/>
      <c r="D66" s="77"/>
      <c r="E66" s="77" t="s">
        <v>131</v>
      </c>
      <c r="F66" s="80" t="s">
        <v>339</v>
      </c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</row>
    <row r="67">
      <c r="A67" s="77">
        <v>2.0</v>
      </c>
      <c r="B67" s="113" t="s">
        <v>340</v>
      </c>
      <c r="C67" s="79" t="s">
        <v>341</v>
      </c>
      <c r="D67" s="93"/>
      <c r="E67" s="77" t="s">
        <v>342</v>
      </c>
      <c r="F67" s="80" t="s">
        <v>339</v>
      </c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</row>
    <row r="68">
      <c r="A68" s="77">
        <v>3.0</v>
      </c>
      <c r="B68" s="96" t="s">
        <v>343</v>
      </c>
      <c r="C68" s="79" t="s">
        <v>344</v>
      </c>
      <c r="D68" s="77" t="s">
        <v>345</v>
      </c>
      <c r="E68" s="93"/>
      <c r="F68" s="80" t="s">
        <v>339</v>
      </c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</row>
    <row r="69">
      <c r="A69" s="77">
        <v>4.0</v>
      </c>
      <c r="B69" s="113" t="s">
        <v>346</v>
      </c>
      <c r="C69" s="120">
        <v>0.66</v>
      </c>
      <c r="D69" s="92">
        <v>0.8</v>
      </c>
      <c r="E69" s="77" t="s">
        <v>225</v>
      </c>
      <c r="F69" s="80" t="s">
        <v>339</v>
      </c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</row>
    <row r="70">
      <c r="A70" s="77">
        <v>5.0</v>
      </c>
      <c r="B70" s="96" t="s">
        <v>347</v>
      </c>
      <c r="C70" s="79"/>
      <c r="D70" s="93"/>
      <c r="E70" s="93"/>
      <c r="F70" s="80" t="s">
        <v>339</v>
      </c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</row>
    <row r="71">
      <c r="A71" s="77">
        <v>6.0</v>
      </c>
      <c r="B71" s="96" t="s">
        <v>348</v>
      </c>
      <c r="C71" s="79"/>
      <c r="D71" s="93"/>
      <c r="E71" s="93"/>
      <c r="F71" s="80" t="s">
        <v>339</v>
      </c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</row>
    <row r="72">
      <c r="A72" s="79">
        <v>7.0</v>
      </c>
      <c r="B72" s="113" t="s">
        <v>349</v>
      </c>
      <c r="C72" s="79"/>
      <c r="D72" s="79"/>
      <c r="E72" s="79"/>
      <c r="F72" s="79"/>
      <c r="G72" s="79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</row>
    <row r="73">
      <c r="A73" s="119" t="s">
        <v>350</v>
      </c>
      <c r="C73" s="70" t="s">
        <v>221</v>
      </c>
      <c r="D73" s="71" t="s">
        <v>222</v>
      </c>
      <c r="E73" s="71" t="s">
        <v>223</v>
      </c>
      <c r="F73" s="72" t="s">
        <v>23</v>
      </c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</row>
    <row r="74">
      <c r="A74" s="77">
        <v>1.0</v>
      </c>
      <c r="B74" s="74" t="s">
        <v>351</v>
      </c>
      <c r="C74" s="79"/>
      <c r="D74" s="93"/>
      <c r="E74" s="77" t="s">
        <v>225</v>
      </c>
      <c r="F74" s="80" t="s">
        <v>352</v>
      </c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</row>
    <row r="75">
      <c r="A75" s="77">
        <v>2.0</v>
      </c>
      <c r="B75" s="74" t="s">
        <v>353</v>
      </c>
      <c r="C75" s="79"/>
      <c r="D75" s="93"/>
      <c r="E75" s="93"/>
      <c r="F75" s="80" t="s">
        <v>352</v>
      </c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</row>
    <row r="76">
      <c r="A76" s="77">
        <v>3.0</v>
      </c>
      <c r="B76" s="74" t="s">
        <v>354</v>
      </c>
      <c r="C76" s="79"/>
      <c r="D76" s="93"/>
      <c r="E76" s="93"/>
      <c r="F76" s="80" t="s">
        <v>352</v>
      </c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</row>
    <row r="77">
      <c r="A77" s="77">
        <v>4.0</v>
      </c>
      <c r="B77" s="74" t="s">
        <v>355</v>
      </c>
      <c r="C77" s="79"/>
      <c r="D77" s="93"/>
      <c r="E77" s="93"/>
      <c r="F77" s="80" t="s">
        <v>352</v>
      </c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</row>
    <row r="78">
      <c r="A78" s="77">
        <v>5.0</v>
      </c>
      <c r="B78" s="74" t="s">
        <v>356</v>
      </c>
      <c r="C78" s="79"/>
      <c r="D78" s="93"/>
      <c r="E78" s="93"/>
      <c r="F78" s="80" t="s">
        <v>352</v>
      </c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</row>
    <row r="79">
      <c r="A79" s="58"/>
      <c r="B79" s="58"/>
      <c r="C79" s="58"/>
      <c r="D79" s="58"/>
      <c r="E79" s="58"/>
      <c r="F79" s="58"/>
      <c r="G79" s="53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53"/>
    </row>
    <row r="80">
      <c r="A80" s="68" t="s">
        <v>357</v>
      </c>
      <c r="B80" s="69"/>
      <c r="C80" s="70" t="s">
        <v>221</v>
      </c>
      <c r="D80" s="71" t="s">
        <v>222</v>
      </c>
      <c r="E80" s="71" t="s">
        <v>223</v>
      </c>
      <c r="F80" s="72" t="s">
        <v>23</v>
      </c>
      <c r="G80" s="63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53"/>
    </row>
    <row r="81">
      <c r="A81" s="82">
        <v>1.0</v>
      </c>
      <c r="B81" s="94" t="s">
        <v>358</v>
      </c>
      <c r="C81" s="84" t="s">
        <v>359</v>
      </c>
      <c r="D81" s="86" t="s">
        <v>360</v>
      </c>
      <c r="E81" s="86" t="s">
        <v>131</v>
      </c>
      <c r="F81" s="87" t="s">
        <v>226</v>
      </c>
      <c r="G81" s="6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</row>
    <row r="82">
      <c r="A82" s="58"/>
      <c r="B82" s="58"/>
      <c r="C82" s="58"/>
      <c r="D82" s="58"/>
      <c r="E82" s="58"/>
      <c r="F82" s="58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</row>
    <row r="83">
      <c r="A83" s="58"/>
      <c r="B83" s="58"/>
      <c r="C83" s="58"/>
      <c r="D83" s="58"/>
      <c r="E83" s="58"/>
      <c r="F83" s="58"/>
      <c r="G83" s="9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</row>
    <row r="84">
      <c r="A84" s="93"/>
      <c r="B84" s="58"/>
      <c r="C84" s="93"/>
      <c r="D84" s="93"/>
      <c r="E84" s="93"/>
      <c r="F84" s="93"/>
      <c r="G84" s="9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</row>
    <row r="85">
      <c r="A85" s="93"/>
      <c r="B85" s="58"/>
      <c r="C85" s="93"/>
      <c r="D85" s="93"/>
      <c r="E85" s="93"/>
      <c r="F85" s="93"/>
      <c r="G85" s="9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</row>
    <row r="86">
      <c r="A86" s="121" t="s">
        <v>361</v>
      </c>
      <c r="B86" s="58"/>
      <c r="C86" s="93"/>
      <c r="D86" s="93"/>
      <c r="E86" s="93"/>
      <c r="F86" s="93"/>
      <c r="G86" s="9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</row>
    <row r="87">
      <c r="A87" s="77"/>
      <c r="B87" s="122" t="s">
        <v>362</v>
      </c>
      <c r="C87" s="77"/>
      <c r="D87" s="77"/>
      <c r="E87" s="77"/>
      <c r="F87" s="77"/>
      <c r="G87" s="9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</row>
    <row r="88">
      <c r="A88" s="73">
        <v>3.0</v>
      </c>
      <c r="B88" s="74" t="s">
        <v>363</v>
      </c>
      <c r="C88" s="77" t="s">
        <v>364</v>
      </c>
      <c r="D88" s="77" t="s">
        <v>364</v>
      </c>
      <c r="E88" s="77" t="s">
        <v>365</v>
      </c>
      <c r="F88" s="78" t="s">
        <v>66</v>
      </c>
      <c r="G88" s="9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</row>
    <row r="89">
      <c r="A89" s="93"/>
      <c r="B89" s="53"/>
      <c r="C89" s="93"/>
      <c r="D89" s="93"/>
      <c r="E89" s="93"/>
      <c r="F89" s="93"/>
      <c r="G89" s="9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</row>
    <row r="90">
      <c r="A90" s="93"/>
      <c r="B90" s="53"/>
      <c r="C90" s="93"/>
      <c r="D90" s="93"/>
      <c r="E90" s="93"/>
      <c r="F90" s="93"/>
      <c r="G90" s="9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</row>
    <row r="91">
      <c r="A91" s="93"/>
      <c r="B91" s="53"/>
      <c r="C91" s="93"/>
      <c r="D91" s="93"/>
      <c r="E91" s="93"/>
      <c r="F91" s="93"/>
      <c r="G91" s="9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</row>
    <row r="92">
      <c r="A92" s="93"/>
      <c r="B92" s="53"/>
      <c r="C92" s="93"/>
      <c r="D92" s="93"/>
      <c r="E92" s="93"/>
      <c r="F92" s="93"/>
      <c r="G92" s="9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</row>
    <row r="93">
      <c r="A93" s="93"/>
      <c r="B93" s="53"/>
      <c r="C93" s="93"/>
      <c r="D93" s="93"/>
      <c r="E93" s="93"/>
      <c r="F93" s="93"/>
      <c r="G93" s="9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</row>
    <row r="94">
      <c r="A94" s="93"/>
      <c r="B94" s="53"/>
      <c r="C94" s="93"/>
      <c r="D94" s="93"/>
      <c r="E94" s="93"/>
      <c r="F94" s="93"/>
      <c r="G94" s="9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</row>
    <row r="95">
      <c r="A95" s="93"/>
      <c r="B95" s="53"/>
      <c r="C95" s="93"/>
      <c r="D95" s="93"/>
      <c r="E95" s="93"/>
      <c r="F95" s="93"/>
      <c r="G95" s="9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</row>
    <row r="96">
      <c r="A96" s="93"/>
      <c r="B96" s="53"/>
      <c r="C96" s="93"/>
      <c r="D96" s="93"/>
      <c r="E96" s="93"/>
      <c r="F96" s="93"/>
      <c r="G96" s="9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</row>
    <row r="97">
      <c r="A97" s="93"/>
      <c r="B97" s="53"/>
      <c r="C97" s="93"/>
      <c r="D97" s="93"/>
      <c r="E97" s="93"/>
      <c r="F97" s="93"/>
      <c r="G97" s="9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</row>
    <row r="98">
      <c r="A98" s="93"/>
      <c r="B98" s="53"/>
      <c r="C98" s="93"/>
      <c r="D98" s="93"/>
      <c r="E98" s="93"/>
      <c r="F98" s="93"/>
      <c r="G98" s="9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</row>
    <row r="99">
      <c r="A99" s="93"/>
      <c r="B99" s="53"/>
      <c r="C99" s="93"/>
      <c r="D99" s="93"/>
      <c r="E99" s="93"/>
      <c r="F99" s="93"/>
      <c r="G99" s="9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</row>
    <row r="100">
      <c r="A100" s="93"/>
      <c r="B100" s="53"/>
      <c r="C100" s="93"/>
      <c r="D100" s="93"/>
      <c r="E100" s="93"/>
      <c r="F100" s="93"/>
      <c r="G100" s="9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</row>
    <row r="101">
      <c r="A101" s="93"/>
      <c r="B101" s="53"/>
      <c r="C101" s="93"/>
      <c r="D101" s="93"/>
      <c r="E101" s="93"/>
      <c r="F101" s="93"/>
      <c r="G101" s="9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</row>
    <row r="102">
      <c r="A102" s="93"/>
      <c r="B102" s="53"/>
      <c r="C102" s="93"/>
      <c r="D102" s="93"/>
      <c r="E102" s="93"/>
      <c r="F102" s="93"/>
      <c r="G102" s="9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</row>
    <row r="103">
      <c r="A103" s="93"/>
      <c r="B103" s="53"/>
      <c r="C103" s="93"/>
      <c r="D103" s="93"/>
      <c r="E103" s="93"/>
      <c r="F103" s="93"/>
      <c r="G103" s="9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</row>
    <row r="104">
      <c r="A104" s="93"/>
      <c r="B104" s="53"/>
      <c r="C104" s="93"/>
      <c r="D104" s="93"/>
      <c r="E104" s="93"/>
      <c r="F104" s="93"/>
      <c r="G104" s="9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</row>
    <row r="105">
      <c r="A105" s="93"/>
      <c r="B105" s="53"/>
      <c r="C105" s="93"/>
      <c r="D105" s="93"/>
      <c r="E105" s="93"/>
      <c r="F105" s="93"/>
      <c r="G105" s="9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</row>
    <row r="106">
      <c r="A106" s="93"/>
      <c r="B106" s="53"/>
      <c r="C106" s="93"/>
      <c r="D106" s="93"/>
      <c r="E106" s="93"/>
      <c r="F106" s="93"/>
      <c r="G106" s="9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</row>
    <row r="107">
      <c r="A107" s="93"/>
      <c r="B107" s="53"/>
      <c r="C107" s="93"/>
      <c r="D107" s="93"/>
      <c r="E107" s="93"/>
      <c r="F107" s="93"/>
      <c r="G107" s="9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</row>
    <row r="108">
      <c r="A108" s="93"/>
      <c r="B108" s="53"/>
      <c r="C108" s="93"/>
      <c r="D108" s="93"/>
      <c r="E108" s="93"/>
      <c r="F108" s="93"/>
      <c r="G108" s="9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</row>
    <row r="109">
      <c r="A109" s="93"/>
      <c r="B109" s="53"/>
      <c r="C109" s="93"/>
      <c r="D109" s="93"/>
      <c r="E109" s="93"/>
      <c r="F109" s="93"/>
      <c r="G109" s="9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</row>
    <row r="110">
      <c r="A110" s="93"/>
      <c r="B110" s="53"/>
      <c r="C110" s="93"/>
      <c r="D110" s="93"/>
      <c r="E110" s="93"/>
      <c r="F110" s="93"/>
      <c r="G110" s="9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</row>
    <row r="111">
      <c r="A111" s="93"/>
      <c r="B111" s="53"/>
      <c r="C111" s="93"/>
      <c r="D111" s="93"/>
      <c r="E111" s="93"/>
      <c r="F111" s="93"/>
      <c r="G111" s="9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</row>
    <row r="112">
      <c r="A112" s="93"/>
      <c r="B112" s="53"/>
      <c r="C112" s="93"/>
      <c r="D112" s="93"/>
      <c r="E112" s="93"/>
      <c r="F112" s="93"/>
      <c r="G112" s="9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</row>
    <row r="113">
      <c r="A113" s="93"/>
      <c r="B113" s="53"/>
      <c r="C113" s="93"/>
      <c r="D113" s="93"/>
      <c r="E113" s="93"/>
      <c r="F113" s="93"/>
      <c r="G113" s="9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</row>
    <row r="114">
      <c r="A114" s="93"/>
      <c r="B114" s="53"/>
      <c r="C114" s="93"/>
      <c r="D114" s="93"/>
      <c r="E114" s="93"/>
      <c r="F114" s="93"/>
      <c r="G114" s="9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</row>
    <row r="115">
      <c r="A115" s="93"/>
      <c r="B115" s="53"/>
      <c r="C115" s="93"/>
      <c r="D115" s="93"/>
      <c r="E115" s="93"/>
      <c r="F115" s="93"/>
      <c r="G115" s="9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</row>
    <row r="116">
      <c r="A116" s="93"/>
      <c r="B116" s="53"/>
      <c r="C116" s="93"/>
      <c r="D116" s="93"/>
      <c r="E116" s="93"/>
      <c r="F116" s="93"/>
      <c r="G116" s="9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</row>
    <row r="117">
      <c r="A117" s="93"/>
      <c r="B117" s="53"/>
      <c r="C117" s="93"/>
      <c r="D117" s="93"/>
      <c r="E117" s="93"/>
      <c r="F117" s="93"/>
      <c r="G117" s="9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</row>
    <row r="118">
      <c r="A118" s="93"/>
      <c r="B118" s="53"/>
      <c r="C118" s="93"/>
      <c r="D118" s="93"/>
      <c r="E118" s="93"/>
      <c r="F118" s="93"/>
      <c r="G118" s="9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</row>
    <row r="119">
      <c r="A119" s="93"/>
      <c r="B119" s="53"/>
      <c r="C119" s="93"/>
      <c r="D119" s="93"/>
      <c r="E119" s="93"/>
      <c r="F119" s="93"/>
      <c r="G119" s="9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</row>
    <row r="120">
      <c r="A120" s="93"/>
      <c r="B120" s="53"/>
      <c r="C120" s="93"/>
      <c r="D120" s="93"/>
      <c r="E120" s="93"/>
      <c r="F120" s="93"/>
      <c r="G120" s="9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</row>
    <row r="121">
      <c r="A121" s="93"/>
      <c r="B121" s="53"/>
      <c r="C121" s="93"/>
      <c r="D121" s="93"/>
      <c r="E121" s="93"/>
      <c r="F121" s="93"/>
      <c r="G121" s="9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</row>
    <row r="122">
      <c r="A122" s="93"/>
      <c r="B122" s="53"/>
      <c r="C122" s="93"/>
      <c r="D122" s="93"/>
      <c r="E122" s="93"/>
      <c r="F122" s="93"/>
      <c r="G122" s="9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</row>
    <row r="123">
      <c r="A123" s="93"/>
      <c r="B123" s="53"/>
      <c r="C123" s="93"/>
      <c r="D123" s="93"/>
      <c r="E123" s="93"/>
      <c r="F123" s="93"/>
      <c r="G123" s="9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</row>
    <row r="124">
      <c r="A124" s="93"/>
      <c r="B124" s="53"/>
      <c r="C124" s="93"/>
      <c r="D124" s="93"/>
      <c r="E124" s="93"/>
      <c r="F124" s="93"/>
      <c r="G124" s="9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</row>
    <row r="125">
      <c r="A125" s="93"/>
      <c r="B125" s="53"/>
      <c r="C125" s="93"/>
      <c r="D125" s="93"/>
      <c r="E125" s="93"/>
      <c r="F125" s="93"/>
      <c r="G125" s="9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</row>
    <row r="126">
      <c r="A126" s="93"/>
      <c r="B126" s="53"/>
      <c r="C126" s="93"/>
      <c r="D126" s="93"/>
      <c r="E126" s="93"/>
      <c r="F126" s="93"/>
      <c r="G126" s="9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</row>
    <row r="127">
      <c r="A127" s="93"/>
      <c r="B127" s="53"/>
      <c r="C127" s="93"/>
      <c r="D127" s="93"/>
      <c r="E127" s="93"/>
      <c r="F127" s="93"/>
      <c r="G127" s="9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</row>
    <row r="128">
      <c r="A128" s="93"/>
      <c r="B128" s="53"/>
      <c r="C128" s="93"/>
      <c r="D128" s="93"/>
      <c r="E128" s="93"/>
      <c r="F128" s="93"/>
      <c r="G128" s="9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</row>
    <row r="129">
      <c r="A129" s="93"/>
      <c r="B129" s="53"/>
      <c r="C129" s="93"/>
      <c r="D129" s="93"/>
      <c r="E129" s="93"/>
      <c r="F129" s="93"/>
      <c r="G129" s="9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</row>
    <row r="130">
      <c r="A130" s="93"/>
      <c r="B130" s="53"/>
      <c r="C130" s="93"/>
      <c r="D130" s="93"/>
      <c r="E130" s="93"/>
      <c r="F130" s="93"/>
      <c r="G130" s="9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</row>
    <row r="131">
      <c r="A131" s="93"/>
      <c r="B131" s="53"/>
      <c r="C131" s="93"/>
      <c r="D131" s="93"/>
      <c r="E131" s="93"/>
      <c r="F131" s="93"/>
      <c r="G131" s="9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</row>
    <row r="132">
      <c r="A132" s="93"/>
      <c r="B132" s="53"/>
      <c r="C132" s="93"/>
      <c r="D132" s="93"/>
      <c r="E132" s="93"/>
      <c r="F132" s="93"/>
      <c r="G132" s="9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</row>
    <row r="133">
      <c r="A133" s="93"/>
      <c r="B133" s="53"/>
      <c r="C133" s="93"/>
      <c r="D133" s="93"/>
      <c r="E133" s="93"/>
      <c r="F133" s="93"/>
      <c r="G133" s="9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</row>
    <row r="134">
      <c r="A134" s="93"/>
      <c r="B134" s="53"/>
      <c r="C134" s="93"/>
      <c r="D134" s="93"/>
      <c r="E134" s="93"/>
      <c r="F134" s="93"/>
      <c r="G134" s="9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</row>
    <row r="135">
      <c r="A135" s="93"/>
      <c r="B135" s="53"/>
      <c r="C135" s="93"/>
      <c r="D135" s="93"/>
      <c r="E135" s="93"/>
      <c r="F135" s="93"/>
      <c r="G135" s="9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</row>
    <row r="136">
      <c r="A136" s="93"/>
      <c r="B136" s="53"/>
      <c r="C136" s="93"/>
      <c r="D136" s="93"/>
      <c r="E136" s="93"/>
      <c r="F136" s="93"/>
      <c r="G136" s="9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</row>
    <row r="137">
      <c r="A137" s="93"/>
      <c r="B137" s="53"/>
      <c r="C137" s="93"/>
      <c r="D137" s="93"/>
      <c r="E137" s="93"/>
      <c r="F137" s="93"/>
      <c r="G137" s="9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</row>
    <row r="138">
      <c r="A138" s="93"/>
      <c r="B138" s="53"/>
      <c r="C138" s="93"/>
      <c r="D138" s="93"/>
      <c r="E138" s="93"/>
      <c r="F138" s="93"/>
      <c r="G138" s="9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</row>
    <row r="139">
      <c r="A139" s="93"/>
      <c r="B139" s="53"/>
      <c r="C139" s="93"/>
      <c r="D139" s="93"/>
      <c r="E139" s="93"/>
      <c r="F139" s="93"/>
      <c r="G139" s="9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</row>
    <row r="140">
      <c r="A140" s="93"/>
      <c r="B140" s="53"/>
      <c r="C140" s="93"/>
      <c r="D140" s="93"/>
      <c r="E140" s="93"/>
      <c r="F140" s="93"/>
      <c r="G140" s="9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</row>
    <row r="141">
      <c r="A141" s="93"/>
      <c r="B141" s="53"/>
      <c r="C141" s="93"/>
      <c r="D141" s="93"/>
      <c r="E141" s="93"/>
      <c r="F141" s="93"/>
      <c r="G141" s="9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</row>
    <row r="142">
      <c r="A142" s="93"/>
      <c r="B142" s="53"/>
      <c r="C142" s="93"/>
      <c r="D142" s="93"/>
      <c r="E142" s="93"/>
      <c r="F142" s="93"/>
      <c r="G142" s="9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</row>
    <row r="143">
      <c r="A143" s="93"/>
      <c r="B143" s="53"/>
      <c r="C143" s="93"/>
      <c r="D143" s="93"/>
      <c r="E143" s="93"/>
      <c r="F143" s="93"/>
      <c r="G143" s="9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</row>
    <row r="144">
      <c r="A144" s="93"/>
      <c r="B144" s="53"/>
      <c r="C144" s="93"/>
      <c r="D144" s="93"/>
      <c r="E144" s="93"/>
      <c r="F144" s="93"/>
      <c r="G144" s="9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</row>
    <row r="145">
      <c r="A145" s="93"/>
      <c r="B145" s="53"/>
      <c r="C145" s="93"/>
      <c r="D145" s="93"/>
      <c r="E145" s="93"/>
      <c r="F145" s="93"/>
      <c r="G145" s="9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</row>
    <row r="146">
      <c r="A146" s="93"/>
      <c r="B146" s="53"/>
      <c r="C146" s="93"/>
      <c r="D146" s="93"/>
      <c r="E146" s="93"/>
      <c r="F146" s="93"/>
      <c r="G146" s="9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</row>
    <row r="147">
      <c r="A147" s="93"/>
      <c r="B147" s="53"/>
      <c r="C147" s="93"/>
      <c r="D147" s="93"/>
      <c r="E147" s="93"/>
      <c r="F147" s="93"/>
      <c r="G147" s="9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</row>
    <row r="148">
      <c r="A148" s="93"/>
      <c r="B148" s="53"/>
      <c r="C148" s="93"/>
      <c r="D148" s="93"/>
      <c r="E148" s="93"/>
      <c r="F148" s="93"/>
      <c r="G148" s="9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</row>
    <row r="149">
      <c r="A149" s="93"/>
      <c r="B149" s="53"/>
      <c r="C149" s="93"/>
      <c r="D149" s="93"/>
      <c r="E149" s="93"/>
      <c r="F149" s="93"/>
      <c r="G149" s="9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</row>
    <row r="150">
      <c r="A150" s="93"/>
      <c r="B150" s="53"/>
      <c r="C150" s="93"/>
      <c r="D150" s="93"/>
      <c r="E150" s="93"/>
      <c r="F150" s="93"/>
      <c r="G150" s="9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</row>
    <row r="151">
      <c r="A151" s="93"/>
      <c r="B151" s="53"/>
      <c r="C151" s="93"/>
      <c r="D151" s="93"/>
      <c r="E151" s="93"/>
      <c r="F151" s="93"/>
      <c r="G151" s="9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</row>
    <row r="152">
      <c r="A152" s="93"/>
      <c r="B152" s="53"/>
      <c r="C152" s="93"/>
      <c r="D152" s="93"/>
      <c r="E152" s="93"/>
      <c r="F152" s="93"/>
      <c r="G152" s="9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</row>
    <row r="153">
      <c r="A153" s="93"/>
      <c r="B153" s="53"/>
      <c r="C153" s="93"/>
      <c r="D153" s="93"/>
      <c r="E153" s="93"/>
      <c r="F153" s="93"/>
      <c r="G153" s="9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</row>
    <row r="154">
      <c r="A154" s="93"/>
      <c r="B154" s="53"/>
      <c r="C154" s="93"/>
      <c r="D154" s="93"/>
      <c r="E154" s="93"/>
      <c r="F154" s="93"/>
      <c r="G154" s="9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</row>
    <row r="155">
      <c r="A155" s="93"/>
      <c r="B155" s="53"/>
      <c r="C155" s="93"/>
      <c r="D155" s="93"/>
      <c r="E155" s="93"/>
      <c r="F155" s="93"/>
      <c r="G155" s="9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</row>
    <row r="156">
      <c r="A156" s="93"/>
      <c r="B156" s="53"/>
      <c r="C156" s="93"/>
      <c r="D156" s="93"/>
      <c r="E156" s="93"/>
      <c r="F156" s="93"/>
      <c r="G156" s="9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</row>
    <row r="157">
      <c r="A157" s="93"/>
      <c r="B157" s="53"/>
      <c r="C157" s="93"/>
      <c r="D157" s="93"/>
      <c r="E157" s="93"/>
      <c r="F157" s="93"/>
      <c r="G157" s="9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</row>
    <row r="158">
      <c r="A158" s="93"/>
      <c r="B158" s="53"/>
      <c r="C158" s="93"/>
      <c r="D158" s="93"/>
      <c r="E158" s="93"/>
      <c r="F158" s="93"/>
      <c r="G158" s="9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</row>
    <row r="159">
      <c r="A159" s="93"/>
      <c r="B159" s="53"/>
      <c r="C159" s="93"/>
      <c r="D159" s="93"/>
      <c r="E159" s="93"/>
      <c r="F159" s="93"/>
      <c r="G159" s="9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</row>
    <row r="160">
      <c r="A160" s="93"/>
      <c r="B160" s="53"/>
      <c r="C160" s="93"/>
      <c r="D160" s="93"/>
      <c r="E160" s="93"/>
      <c r="F160" s="93"/>
      <c r="G160" s="9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</row>
    <row r="161">
      <c r="A161" s="93"/>
      <c r="B161" s="53"/>
      <c r="C161" s="93"/>
      <c r="D161" s="93"/>
      <c r="E161" s="93"/>
      <c r="F161" s="93"/>
      <c r="G161" s="9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</row>
    <row r="162">
      <c r="A162" s="93"/>
      <c r="B162" s="53"/>
      <c r="C162" s="93"/>
      <c r="D162" s="93"/>
      <c r="E162" s="93"/>
      <c r="F162" s="93"/>
      <c r="G162" s="9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</row>
    <row r="163">
      <c r="A163" s="93"/>
      <c r="B163" s="53"/>
      <c r="C163" s="93"/>
      <c r="D163" s="93"/>
      <c r="E163" s="93"/>
      <c r="F163" s="93"/>
      <c r="G163" s="9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</row>
    <row r="164">
      <c r="A164" s="93"/>
      <c r="B164" s="53"/>
      <c r="C164" s="93"/>
      <c r="D164" s="93"/>
      <c r="E164" s="93"/>
      <c r="F164" s="93"/>
      <c r="G164" s="9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</row>
    <row r="165">
      <c r="A165" s="93"/>
      <c r="B165" s="53"/>
      <c r="C165" s="93"/>
      <c r="D165" s="93"/>
      <c r="E165" s="93"/>
      <c r="F165" s="93"/>
      <c r="G165" s="9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</row>
    <row r="166">
      <c r="A166" s="93"/>
      <c r="B166" s="53"/>
      <c r="C166" s="93"/>
      <c r="D166" s="93"/>
      <c r="E166" s="93"/>
      <c r="F166" s="93"/>
      <c r="G166" s="9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</row>
    <row r="167">
      <c r="A167" s="93"/>
      <c r="B167" s="53"/>
      <c r="C167" s="93"/>
      <c r="D167" s="93"/>
      <c r="E167" s="93"/>
      <c r="F167" s="93"/>
      <c r="G167" s="9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</row>
    <row r="168">
      <c r="A168" s="93"/>
      <c r="B168" s="53"/>
      <c r="C168" s="93"/>
      <c r="D168" s="93"/>
      <c r="E168" s="93"/>
      <c r="F168" s="93"/>
      <c r="G168" s="9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</row>
    <row r="169">
      <c r="A169" s="93"/>
      <c r="B169" s="53"/>
      <c r="C169" s="93"/>
      <c r="D169" s="93"/>
      <c r="E169" s="93"/>
      <c r="F169" s="93"/>
      <c r="G169" s="9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</row>
    <row r="170">
      <c r="A170" s="93"/>
      <c r="B170" s="53"/>
      <c r="C170" s="93"/>
      <c r="D170" s="93"/>
      <c r="E170" s="93"/>
      <c r="F170" s="93"/>
      <c r="G170" s="9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</row>
    <row r="171">
      <c r="A171" s="93"/>
      <c r="B171" s="53"/>
      <c r="C171" s="93"/>
      <c r="D171" s="93"/>
      <c r="E171" s="93"/>
      <c r="F171" s="93"/>
      <c r="G171" s="9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</row>
    <row r="172">
      <c r="A172" s="93"/>
      <c r="B172" s="53"/>
      <c r="C172" s="93"/>
      <c r="D172" s="93"/>
      <c r="E172" s="93"/>
      <c r="F172" s="93"/>
      <c r="G172" s="9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</row>
    <row r="173">
      <c r="A173" s="93"/>
      <c r="B173" s="53"/>
      <c r="C173" s="93"/>
      <c r="D173" s="93"/>
      <c r="E173" s="93"/>
      <c r="F173" s="93"/>
      <c r="G173" s="9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</row>
    <row r="174">
      <c r="A174" s="93"/>
      <c r="B174" s="53"/>
      <c r="C174" s="93"/>
      <c r="D174" s="93"/>
      <c r="E174" s="93"/>
      <c r="F174" s="93"/>
      <c r="G174" s="9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</row>
    <row r="175">
      <c r="A175" s="93"/>
      <c r="B175" s="53"/>
      <c r="C175" s="93"/>
      <c r="D175" s="93"/>
      <c r="E175" s="93"/>
      <c r="F175" s="93"/>
      <c r="G175" s="9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</row>
    <row r="176">
      <c r="A176" s="93"/>
      <c r="B176" s="53"/>
      <c r="C176" s="93"/>
      <c r="D176" s="93"/>
      <c r="E176" s="93"/>
      <c r="F176" s="93"/>
      <c r="G176" s="9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</row>
    <row r="177">
      <c r="A177" s="93"/>
      <c r="B177" s="53"/>
      <c r="C177" s="93"/>
      <c r="D177" s="93"/>
      <c r="E177" s="93"/>
      <c r="F177" s="93"/>
      <c r="G177" s="9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</row>
    <row r="178">
      <c r="A178" s="93"/>
      <c r="B178" s="53"/>
      <c r="C178" s="93"/>
      <c r="D178" s="93"/>
      <c r="E178" s="93"/>
      <c r="F178" s="93"/>
      <c r="G178" s="9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</row>
    <row r="179">
      <c r="A179" s="93"/>
      <c r="B179" s="53"/>
      <c r="C179" s="93"/>
      <c r="D179" s="93"/>
      <c r="E179" s="93"/>
      <c r="F179" s="93"/>
      <c r="G179" s="9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</row>
    <row r="180">
      <c r="A180" s="93"/>
      <c r="B180" s="53"/>
      <c r="C180" s="93"/>
      <c r="D180" s="93"/>
      <c r="E180" s="93"/>
      <c r="F180" s="93"/>
      <c r="G180" s="9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</row>
    <row r="181">
      <c r="A181" s="93"/>
      <c r="B181" s="53"/>
      <c r="C181" s="93"/>
      <c r="D181" s="93"/>
      <c r="E181" s="93"/>
      <c r="F181" s="93"/>
      <c r="G181" s="9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</row>
    <row r="182">
      <c r="A182" s="93"/>
      <c r="B182" s="53"/>
      <c r="C182" s="93"/>
      <c r="D182" s="93"/>
      <c r="E182" s="93"/>
      <c r="F182" s="93"/>
      <c r="G182" s="9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</row>
    <row r="183">
      <c r="A183" s="93"/>
      <c r="B183" s="53"/>
      <c r="C183" s="93"/>
      <c r="D183" s="93"/>
      <c r="E183" s="93"/>
      <c r="F183" s="93"/>
      <c r="G183" s="9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</row>
    <row r="184">
      <c r="A184" s="93"/>
      <c r="B184" s="53"/>
      <c r="C184" s="93"/>
      <c r="D184" s="93"/>
      <c r="E184" s="93"/>
      <c r="F184" s="93"/>
      <c r="G184" s="9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</row>
    <row r="185">
      <c r="A185" s="93"/>
      <c r="B185" s="53"/>
      <c r="C185" s="93"/>
      <c r="D185" s="93"/>
      <c r="E185" s="93"/>
      <c r="F185" s="93"/>
      <c r="G185" s="9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</row>
    <row r="186">
      <c r="A186" s="93"/>
      <c r="B186" s="53"/>
      <c r="C186" s="93"/>
      <c r="D186" s="93"/>
      <c r="E186" s="93"/>
      <c r="F186" s="93"/>
      <c r="G186" s="9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</row>
    <row r="187">
      <c r="A187" s="93"/>
      <c r="B187" s="53"/>
      <c r="C187" s="93"/>
      <c r="D187" s="93"/>
      <c r="E187" s="93"/>
      <c r="F187" s="93"/>
      <c r="G187" s="9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</row>
    <row r="188">
      <c r="A188" s="93"/>
      <c r="B188" s="53"/>
      <c r="C188" s="93"/>
      <c r="D188" s="93"/>
      <c r="E188" s="93"/>
      <c r="F188" s="93"/>
      <c r="G188" s="9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</row>
    <row r="189">
      <c r="A189" s="93"/>
      <c r="B189" s="53"/>
      <c r="C189" s="93"/>
      <c r="D189" s="93"/>
      <c r="E189" s="93"/>
      <c r="F189" s="93"/>
      <c r="G189" s="9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</row>
    <row r="190">
      <c r="A190" s="93"/>
      <c r="B190" s="53"/>
      <c r="C190" s="93"/>
      <c r="D190" s="93"/>
      <c r="E190" s="93"/>
      <c r="F190" s="93"/>
      <c r="G190" s="9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</row>
    <row r="191">
      <c r="A191" s="93"/>
      <c r="B191" s="53"/>
      <c r="C191" s="93"/>
      <c r="D191" s="93"/>
      <c r="E191" s="93"/>
      <c r="F191" s="93"/>
      <c r="G191" s="9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</row>
    <row r="192">
      <c r="A192" s="93"/>
      <c r="B192" s="53"/>
      <c r="C192" s="93"/>
      <c r="D192" s="93"/>
      <c r="E192" s="93"/>
      <c r="F192" s="93"/>
      <c r="G192" s="9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</row>
    <row r="193">
      <c r="A193" s="93"/>
      <c r="B193" s="53"/>
      <c r="C193" s="93"/>
      <c r="D193" s="93"/>
      <c r="E193" s="93"/>
      <c r="F193" s="93"/>
      <c r="G193" s="9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</row>
    <row r="194">
      <c r="A194" s="93"/>
      <c r="B194" s="53"/>
      <c r="C194" s="93"/>
      <c r="D194" s="93"/>
      <c r="E194" s="93"/>
      <c r="F194" s="93"/>
      <c r="G194" s="9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</row>
    <row r="195">
      <c r="A195" s="93"/>
      <c r="B195" s="53"/>
      <c r="C195" s="93"/>
      <c r="D195" s="93"/>
      <c r="E195" s="93"/>
      <c r="F195" s="93"/>
      <c r="G195" s="9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</row>
    <row r="196">
      <c r="A196" s="93"/>
      <c r="B196" s="53"/>
      <c r="C196" s="93"/>
      <c r="D196" s="93"/>
      <c r="E196" s="93"/>
      <c r="F196" s="93"/>
      <c r="G196" s="9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</row>
    <row r="197">
      <c r="A197" s="93"/>
      <c r="B197" s="53"/>
      <c r="C197" s="93"/>
      <c r="D197" s="93"/>
      <c r="E197" s="93"/>
      <c r="F197" s="93"/>
      <c r="G197" s="9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</row>
    <row r="198">
      <c r="A198" s="93"/>
      <c r="B198" s="53"/>
      <c r="C198" s="93"/>
      <c r="D198" s="93"/>
      <c r="E198" s="93"/>
      <c r="F198" s="93"/>
      <c r="G198" s="9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</row>
    <row r="199">
      <c r="A199" s="93"/>
      <c r="B199" s="53"/>
      <c r="C199" s="93"/>
      <c r="D199" s="93"/>
      <c r="E199" s="93"/>
      <c r="F199" s="93"/>
      <c r="G199" s="9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</row>
    <row r="200">
      <c r="A200" s="93"/>
      <c r="B200" s="53"/>
      <c r="C200" s="93"/>
      <c r="D200" s="93"/>
      <c r="E200" s="93"/>
      <c r="F200" s="93"/>
      <c r="G200" s="9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</row>
    <row r="201">
      <c r="A201" s="93"/>
      <c r="B201" s="53"/>
      <c r="C201" s="93"/>
      <c r="D201" s="93"/>
      <c r="E201" s="93"/>
      <c r="F201" s="93"/>
      <c r="G201" s="9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</row>
    <row r="202">
      <c r="A202" s="93"/>
      <c r="B202" s="53"/>
      <c r="C202" s="93"/>
      <c r="D202" s="93"/>
      <c r="E202" s="93"/>
      <c r="F202" s="93"/>
      <c r="G202" s="9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</row>
    <row r="203">
      <c r="A203" s="93"/>
      <c r="B203" s="53"/>
      <c r="C203" s="93"/>
      <c r="D203" s="93"/>
      <c r="E203" s="93"/>
      <c r="F203" s="93"/>
      <c r="G203" s="9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</row>
    <row r="204">
      <c r="A204" s="93"/>
      <c r="B204" s="53"/>
      <c r="C204" s="93"/>
      <c r="D204" s="93"/>
      <c r="E204" s="93"/>
      <c r="F204" s="93"/>
      <c r="G204" s="9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</row>
    <row r="205">
      <c r="A205" s="93"/>
      <c r="B205" s="53"/>
      <c r="C205" s="93"/>
      <c r="D205" s="93"/>
      <c r="E205" s="93"/>
      <c r="F205" s="93"/>
      <c r="G205" s="9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</row>
    <row r="206">
      <c r="A206" s="93"/>
      <c r="B206" s="53"/>
      <c r="C206" s="93"/>
      <c r="D206" s="93"/>
      <c r="E206" s="93"/>
      <c r="F206" s="93"/>
      <c r="G206" s="9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</row>
    <row r="207">
      <c r="A207" s="93"/>
      <c r="B207" s="53"/>
      <c r="C207" s="93"/>
      <c r="D207" s="93"/>
      <c r="E207" s="93"/>
      <c r="F207" s="93"/>
      <c r="G207" s="9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</row>
    <row r="208">
      <c r="A208" s="93"/>
      <c r="B208" s="53"/>
      <c r="C208" s="93"/>
      <c r="D208" s="93"/>
      <c r="E208" s="93"/>
      <c r="F208" s="93"/>
      <c r="G208" s="9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</row>
    <row r="209">
      <c r="A209" s="93"/>
      <c r="B209" s="53"/>
      <c r="C209" s="93"/>
      <c r="D209" s="93"/>
      <c r="E209" s="93"/>
      <c r="F209" s="93"/>
      <c r="G209" s="9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</row>
    <row r="210">
      <c r="A210" s="93"/>
      <c r="B210" s="53"/>
      <c r="C210" s="93"/>
      <c r="D210" s="93"/>
      <c r="E210" s="93"/>
      <c r="F210" s="93"/>
      <c r="G210" s="9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</row>
    <row r="211">
      <c r="A211" s="93"/>
      <c r="B211" s="53"/>
      <c r="C211" s="93"/>
      <c r="D211" s="93"/>
      <c r="E211" s="93"/>
      <c r="F211" s="93"/>
      <c r="G211" s="9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</row>
    <row r="212">
      <c r="A212" s="93"/>
      <c r="B212" s="53"/>
      <c r="C212" s="93"/>
      <c r="D212" s="93"/>
      <c r="E212" s="93"/>
      <c r="F212" s="93"/>
      <c r="G212" s="9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</row>
    <row r="213">
      <c r="A213" s="93"/>
      <c r="B213" s="53"/>
      <c r="C213" s="93"/>
      <c r="D213" s="93"/>
      <c r="E213" s="93"/>
      <c r="F213" s="93"/>
      <c r="G213" s="9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</row>
    <row r="214">
      <c r="A214" s="93"/>
      <c r="B214" s="53"/>
      <c r="C214" s="93"/>
      <c r="D214" s="93"/>
      <c r="E214" s="93"/>
      <c r="F214" s="93"/>
      <c r="G214" s="9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</row>
    <row r="215">
      <c r="A215" s="93"/>
      <c r="B215" s="53"/>
      <c r="C215" s="93"/>
      <c r="D215" s="93"/>
      <c r="E215" s="93"/>
      <c r="F215" s="93"/>
      <c r="G215" s="9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</row>
    <row r="216">
      <c r="A216" s="93"/>
      <c r="B216" s="53"/>
      <c r="C216" s="93"/>
      <c r="D216" s="93"/>
      <c r="E216" s="93"/>
      <c r="F216" s="93"/>
      <c r="G216" s="9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</row>
    <row r="217">
      <c r="A217" s="93"/>
      <c r="B217" s="53"/>
      <c r="C217" s="93"/>
      <c r="D217" s="93"/>
      <c r="E217" s="93"/>
      <c r="F217" s="93"/>
      <c r="G217" s="9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</row>
    <row r="218">
      <c r="A218" s="93"/>
      <c r="B218" s="53"/>
      <c r="C218" s="93"/>
      <c r="D218" s="93"/>
      <c r="E218" s="93"/>
      <c r="F218" s="93"/>
      <c r="G218" s="9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</row>
    <row r="219">
      <c r="A219" s="93"/>
      <c r="B219" s="53"/>
      <c r="C219" s="93"/>
      <c r="D219" s="93"/>
      <c r="E219" s="93"/>
      <c r="F219" s="93"/>
      <c r="G219" s="9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</row>
    <row r="220">
      <c r="A220" s="93"/>
      <c r="B220" s="53"/>
      <c r="C220" s="93"/>
      <c r="D220" s="93"/>
      <c r="E220" s="93"/>
      <c r="F220" s="93"/>
      <c r="G220" s="9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</row>
    <row r="221">
      <c r="A221" s="93"/>
      <c r="B221" s="53"/>
      <c r="C221" s="93"/>
      <c r="D221" s="93"/>
      <c r="E221" s="93"/>
      <c r="F221" s="93"/>
      <c r="G221" s="9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</row>
    <row r="222">
      <c r="A222" s="93"/>
      <c r="B222" s="53"/>
      <c r="C222" s="93"/>
      <c r="D222" s="93"/>
      <c r="E222" s="93"/>
      <c r="F222" s="93"/>
      <c r="G222" s="9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</row>
    <row r="223">
      <c r="A223" s="93"/>
      <c r="B223" s="53"/>
      <c r="C223" s="93"/>
      <c r="D223" s="93"/>
      <c r="E223" s="93"/>
      <c r="F223" s="93"/>
      <c r="G223" s="9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</row>
    <row r="224">
      <c r="A224" s="93"/>
      <c r="B224" s="53"/>
      <c r="C224" s="93"/>
      <c r="D224" s="93"/>
      <c r="E224" s="93"/>
      <c r="F224" s="93"/>
      <c r="G224" s="9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</row>
    <row r="225">
      <c r="A225" s="93"/>
      <c r="B225" s="53"/>
      <c r="C225" s="93"/>
      <c r="D225" s="93"/>
      <c r="E225" s="93"/>
      <c r="F225" s="93"/>
      <c r="G225" s="9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</row>
    <row r="226">
      <c r="A226" s="93"/>
      <c r="B226" s="53"/>
      <c r="C226" s="93"/>
      <c r="D226" s="93"/>
      <c r="E226" s="93"/>
      <c r="F226" s="93"/>
      <c r="G226" s="9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</row>
    <row r="227">
      <c r="A227" s="93"/>
      <c r="B227" s="53"/>
      <c r="C227" s="93"/>
      <c r="D227" s="93"/>
      <c r="E227" s="93"/>
      <c r="F227" s="93"/>
      <c r="G227" s="9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</row>
    <row r="228">
      <c r="A228" s="93"/>
      <c r="B228" s="53"/>
      <c r="C228" s="93"/>
      <c r="D228" s="93"/>
      <c r="E228" s="93"/>
      <c r="F228" s="93"/>
      <c r="G228" s="9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</row>
    <row r="229">
      <c r="A229" s="93"/>
      <c r="B229" s="53"/>
      <c r="C229" s="93"/>
      <c r="D229" s="93"/>
      <c r="E229" s="93"/>
      <c r="F229" s="93"/>
      <c r="G229" s="9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</row>
    <row r="230">
      <c r="A230" s="93"/>
      <c r="B230" s="53"/>
      <c r="C230" s="93"/>
      <c r="D230" s="93"/>
      <c r="E230" s="93"/>
      <c r="F230" s="93"/>
      <c r="G230" s="9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</row>
    <row r="231">
      <c r="A231" s="93"/>
      <c r="B231" s="53"/>
      <c r="C231" s="93"/>
      <c r="D231" s="93"/>
      <c r="E231" s="93"/>
      <c r="F231" s="93"/>
      <c r="G231" s="9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</row>
    <row r="232">
      <c r="A232" s="93"/>
      <c r="B232" s="53"/>
      <c r="C232" s="93"/>
      <c r="D232" s="93"/>
      <c r="E232" s="93"/>
      <c r="F232" s="93"/>
      <c r="G232" s="9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</row>
    <row r="233">
      <c r="A233" s="93"/>
      <c r="B233" s="53"/>
      <c r="C233" s="93"/>
      <c r="D233" s="93"/>
      <c r="E233" s="93"/>
      <c r="F233" s="93"/>
      <c r="G233" s="9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</row>
    <row r="234">
      <c r="A234" s="93"/>
      <c r="B234" s="53"/>
      <c r="C234" s="93"/>
      <c r="D234" s="93"/>
      <c r="E234" s="93"/>
      <c r="F234" s="93"/>
      <c r="G234" s="9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</row>
    <row r="235">
      <c r="A235" s="93"/>
      <c r="B235" s="53"/>
      <c r="C235" s="93"/>
      <c r="D235" s="93"/>
      <c r="E235" s="93"/>
      <c r="F235" s="93"/>
      <c r="G235" s="9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</row>
    <row r="236">
      <c r="A236" s="93"/>
      <c r="B236" s="53"/>
      <c r="C236" s="93"/>
      <c r="D236" s="93"/>
      <c r="E236" s="93"/>
      <c r="F236" s="93"/>
      <c r="G236" s="9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</row>
    <row r="237">
      <c r="A237" s="93"/>
      <c r="B237" s="53"/>
      <c r="C237" s="93"/>
      <c r="D237" s="93"/>
      <c r="E237" s="93"/>
      <c r="F237" s="93"/>
      <c r="G237" s="9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</row>
    <row r="238">
      <c r="A238" s="93"/>
      <c r="B238" s="53"/>
      <c r="C238" s="93"/>
      <c r="D238" s="93"/>
      <c r="E238" s="93"/>
      <c r="F238" s="93"/>
      <c r="G238" s="9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</row>
    <row r="239">
      <c r="A239" s="93"/>
      <c r="B239" s="53"/>
      <c r="C239" s="93"/>
      <c r="D239" s="93"/>
      <c r="E239" s="93"/>
      <c r="F239" s="93"/>
      <c r="G239" s="9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</row>
    <row r="240">
      <c r="A240" s="93"/>
      <c r="B240" s="53"/>
      <c r="C240" s="93"/>
      <c r="D240" s="93"/>
      <c r="E240" s="93"/>
      <c r="F240" s="93"/>
      <c r="G240" s="9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</row>
    <row r="241">
      <c r="A241" s="93"/>
      <c r="B241" s="53"/>
      <c r="C241" s="93"/>
      <c r="D241" s="93"/>
      <c r="E241" s="93"/>
      <c r="F241" s="93"/>
      <c r="G241" s="9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</row>
    <row r="242">
      <c r="A242" s="93"/>
      <c r="B242" s="53"/>
      <c r="C242" s="93"/>
      <c r="D242" s="93"/>
      <c r="E242" s="93"/>
      <c r="F242" s="93"/>
      <c r="G242" s="9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</row>
    <row r="243">
      <c r="A243" s="93"/>
      <c r="B243" s="53"/>
      <c r="C243" s="93"/>
      <c r="D243" s="93"/>
      <c r="E243" s="93"/>
      <c r="F243" s="93"/>
      <c r="G243" s="9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</row>
    <row r="244">
      <c r="A244" s="93"/>
      <c r="B244" s="53"/>
      <c r="C244" s="93"/>
      <c r="D244" s="93"/>
      <c r="E244" s="93"/>
      <c r="F244" s="93"/>
      <c r="G244" s="9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</row>
    <row r="245">
      <c r="A245" s="93"/>
      <c r="B245" s="53"/>
      <c r="C245" s="93"/>
      <c r="D245" s="93"/>
      <c r="E245" s="93"/>
      <c r="F245" s="93"/>
      <c r="G245" s="9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</row>
    <row r="246">
      <c r="A246" s="93"/>
      <c r="B246" s="53"/>
      <c r="C246" s="93"/>
      <c r="D246" s="93"/>
      <c r="E246" s="93"/>
      <c r="F246" s="93"/>
      <c r="G246" s="9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</row>
    <row r="247">
      <c r="A247" s="93"/>
      <c r="B247" s="53"/>
      <c r="C247" s="93"/>
      <c r="D247" s="93"/>
      <c r="E247" s="93"/>
      <c r="F247" s="93"/>
      <c r="G247" s="9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</row>
    <row r="248">
      <c r="A248" s="93"/>
      <c r="B248" s="53"/>
      <c r="C248" s="93"/>
      <c r="D248" s="93"/>
      <c r="E248" s="93"/>
      <c r="F248" s="93"/>
      <c r="G248" s="9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</row>
    <row r="249">
      <c r="A249" s="93"/>
      <c r="B249" s="53"/>
      <c r="C249" s="93"/>
      <c r="D249" s="93"/>
      <c r="E249" s="93"/>
      <c r="F249" s="93"/>
      <c r="G249" s="9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</row>
    <row r="250">
      <c r="A250" s="93"/>
      <c r="B250" s="53"/>
      <c r="C250" s="93"/>
      <c r="D250" s="93"/>
      <c r="E250" s="93"/>
      <c r="F250" s="93"/>
      <c r="G250" s="9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</row>
    <row r="251">
      <c r="A251" s="93"/>
      <c r="B251" s="53"/>
      <c r="C251" s="93"/>
      <c r="D251" s="93"/>
      <c r="E251" s="93"/>
      <c r="F251" s="93"/>
      <c r="G251" s="9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</row>
    <row r="252">
      <c r="A252" s="93"/>
      <c r="B252" s="53"/>
      <c r="C252" s="93"/>
      <c r="D252" s="93"/>
      <c r="E252" s="93"/>
      <c r="F252" s="93"/>
      <c r="G252" s="9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</row>
    <row r="253">
      <c r="A253" s="93"/>
      <c r="B253" s="53"/>
      <c r="C253" s="93"/>
      <c r="D253" s="93"/>
      <c r="E253" s="93"/>
      <c r="F253" s="93"/>
      <c r="G253" s="9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</row>
    <row r="254">
      <c r="A254" s="93"/>
      <c r="B254" s="53"/>
      <c r="C254" s="93"/>
      <c r="D254" s="93"/>
      <c r="E254" s="93"/>
      <c r="F254" s="93"/>
      <c r="G254" s="9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</row>
    <row r="255">
      <c r="A255" s="93"/>
      <c r="B255" s="53"/>
      <c r="C255" s="93"/>
      <c r="D255" s="93"/>
      <c r="E255" s="93"/>
      <c r="F255" s="93"/>
      <c r="G255" s="9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</row>
    <row r="256">
      <c r="A256" s="93"/>
      <c r="B256" s="53"/>
      <c r="C256" s="93"/>
      <c r="D256" s="93"/>
      <c r="E256" s="93"/>
      <c r="F256" s="93"/>
      <c r="G256" s="9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</row>
    <row r="257">
      <c r="A257" s="93"/>
      <c r="B257" s="53"/>
      <c r="C257" s="93"/>
      <c r="D257" s="93"/>
      <c r="E257" s="93"/>
      <c r="F257" s="93"/>
      <c r="G257" s="9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</row>
    <row r="258">
      <c r="A258" s="93"/>
      <c r="B258" s="53"/>
      <c r="C258" s="93"/>
      <c r="D258" s="93"/>
      <c r="E258" s="93"/>
      <c r="F258" s="93"/>
      <c r="G258" s="9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</row>
    <row r="259">
      <c r="A259" s="93"/>
      <c r="B259" s="53"/>
      <c r="C259" s="93"/>
      <c r="D259" s="93"/>
      <c r="E259" s="93"/>
      <c r="F259" s="93"/>
      <c r="G259" s="9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</row>
    <row r="260">
      <c r="A260" s="93"/>
      <c r="B260" s="53"/>
      <c r="C260" s="93"/>
      <c r="D260" s="93"/>
      <c r="E260" s="93"/>
      <c r="F260" s="93"/>
      <c r="G260" s="9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</row>
    <row r="261">
      <c r="A261" s="93"/>
      <c r="B261" s="53"/>
      <c r="C261" s="93"/>
      <c r="D261" s="93"/>
      <c r="E261" s="93"/>
      <c r="F261" s="93"/>
      <c r="G261" s="9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</row>
    <row r="262">
      <c r="A262" s="93"/>
      <c r="B262" s="53"/>
      <c r="C262" s="93"/>
      <c r="D262" s="93"/>
      <c r="E262" s="93"/>
      <c r="F262" s="93"/>
      <c r="G262" s="9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</row>
    <row r="263">
      <c r="A263" s="93"/>
      <c r="B263" s="53"/>
      <c r="C263" s="93"/>
      <c r="D263" s="93"/>
      <c r="E263" s="93"/>
      <c r="F263" s="93"/>
      <c r="G263" s="9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</row>
    <row r="264">
      <c r="A264" s="93"/>
      <c r="B264" s="53"/>
      <c r="C264" s="93"/>
      <c r="D264" s="93"/>
      <c r="E264" s="93"/>
      <c r="F264" s="93"/>
      <c r="G264" s="9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</row>
    <row r="265">
      <c r="A265" s="93"/>
      <c r="B265" s="53"/>
      <c r="C265" s="93"/>
      <c r="D265" s="93"/>
      <c r="E265" s="93"/>
      <c r="F265" s="93"/>
      <c r="G265" s="9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</row>
    <row r="266">
      <c r="A266" s="93"/>
      <c r="B266" s="53"/>
      <c r="C266" s="93"/>
      <c r="D266" s="93"/>
      <c r="E266" s="93"/>
      <c r="F266" s="93"/>
      <c r="G266" s="9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</row>
    <row r="267">
      <c r="A267" s="93"/>
      <c r="B267" s="53"/>
      <c r="C267" s="93"/>
      <c r="D267" s="93"/>
      <c r="E267" s="93"/>
      <c r="F267" s="93"/>
      <c r="G267" s="9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</row>
    <row r="268">
      <c r="A268" s="93"/>
      <c r="B268" s="53"/>
      <c r="C268" s="93"/>
      <c r="D268" s="93"/>
      <c r="E268" s="93"/>
      <c r="F268" s="93"/>
      <c r="G268" s="9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</row>
    <row r="269">
      <c r="A269" s="93"/>
      <c r="B269" s="53"/>
      <c r="C269" s="93"/>
      <c r="D269" s="93"/>
      <c r="E269" s="93"/>
      <c r="F269" s="93"/>
      <c r="G269" s="9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</row>
    <row r="270">
      <c r="A270" s="93"/>
      <c r="B270" s="53"/>
      <c r="C270" s="93"/>
      <c r="D270" s="93"/>
      <c r="E270" s="93"/>
      <c r="F270" s="93"/>
      <c r="G270" s="9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</row>
    <row r="271">
      <c r="A271" s="93"/>
      <c r="B271" s="53"/>
      <c r="C271" s="93"/>
      <c r="D271" s="93"/>
      <c r="E271" s="93"/>
      <c r="F271" s="93"/>
      <c r="G271" s="9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</row>
    <row r="272">
      <c r="A272" s="93"/>
      <c r="B272" s="53"/>
      <c r="C272" s="93"/>
      <c r="D272" s="93"/>
      <c r="E272" s="93"/>
      <c r="F272" s="93"/>
      <c r="G272" s="9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</row>
    <row r="273">
      <c r="A273" s="93"/>
      <c r="B273" s="53"/>
      <c r="C273" s="93"/>
      <c r="D273" s="93"/>
      <c r="E273" s="93"/>
      <c r="F273" s="93"/>
      <c r="G273" s="9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</row>
    <row r="274">
      <c r="A274" s="93"/>
      <c r="B274" s="53"/>
      <c r="C274" s="93"/>
      <c r="D274" s="93"/>
      <c r="E274" s="93"/>
      <c r="F274" s="93"/>
      <c r="G274" s="9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</row>
    <row r="275">
      <c r="A275" s="93"/>
      <c r="B275" s="53"/>
      <c r="C275" s="93"/>
      <c r="D275" s="93"/>
      <c r="E275" s="93"/>
      <c r="F275" s="93"/>
      <c r="G275" s="9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</row>
    <row r="276">
      <c r="A276" s="93"/>
      <c r="B276" s="53"/>
      <c r="C276" s="93"/>
      <c r="D276" s="93"/>
      <c r="E276" s="93"/>
      <c r="F276" s="93"/>
      <c r="G276" s="9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</row>
    <row r="277">
      <c r="A277" s="93"/>
      <c r="B277" s="53"/>
      <c r="C277" s="93"/>
      <c r="D277" s="93"/>
      <c r="E277" s="93"/>
      <c r="F277" s="93"/>
      <c r="G277" s="9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</row>
    <row r="278">
      <c r="A278" s="93"/>
      <c r="B278" s="53"/>
      <c r="C278" s="93"/>
      <c r="D278" s="93"/>
      <c r="E278" s="93"/>
      <c r="F278" s="93"/>
      <c r="G278" s="9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</row>
    <row r="279">
      <c r="A279" s="93"/>
      <c r="B279" s="53"/>
      <c r="C279" s="93"/>
      <c r="D279" s="93"/>
      <c r="E279" s="93"/>
      <c r="F279" s="93"/>
      <c r="G279" s="9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</row>
    <row r="280">
      <c r="A280" s="93"/>
      <c r="B280" s="53"/>
      <c r="C280" s="93"/>
      <c r="D280" s="93"/>
      <c r="E280" s="93"/>
      <c r="F280" s="93"/>
      <c r="G280" s="9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</row>
    <row r="281">
      <c r="A281" s="93"/>
      <c r="B281" s="53"/>
      <c r="C281" s="93"/>
      <c r="D281" s="93"/>
      <c r="E281" s="93"/>
      <c r="F281" s="93"/>
      <c r="G281" s="9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</row>
    <row r="282">
      <c r="A282" s="93"/>
      <c r="B282" s="53"/>
      <c r="C282" s="93"/>
      <c r="D282" s="93"/>
      <c r="E282" s="93"/>
      <c r="F282" s="93"/>
      <c r="G282" s="9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</row>
    <row r="283">
      <c r="A283" s="93"/>
      <c r="B283" s="53"/>
      <c r="C283" s="93"/>
      <c r="D283" s="93"/>
      <c r="E283" s="93"/>
      <c r="F283" s="93"/>
      <c r="G283" s="9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</row>
    <row r="284">
      <c r="A284" s="93"/>
      <c r="B284" s="53"/>
      <c r="C284" s="93"/>
      <c r="D284" s="93"/>
      <c r="E284" s="93"/>
      <c r="F284" s="93"/>
      <c r="G284" s="9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</row>
    <row r="285">
      <c r="A285" s="93"/>
      <c r="B285" s="53"/>
      <c r="C285" s="93"/>
      <c r="D285" s="93"/>
      <c r="E285" s="93"/>
      <c r="F285" s="93"/>
      <c r="G285" s="9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</row>
    <row r="286">
      <c r="A286" s="93"/>
      <c r="B286" s="53"/>
      <c r="C286" s="93"/>
      <c r="D286" s="93"/>
      <c r="E286" s="93"/>
      <c r="F286" s="93"/>
      <c r="G286" s="9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</row>
    <row r="287">
      <c r="A287" s="93"/>
      <c r="B287" s="53"/>
      <c r="C287" s="93"/>
      <c r="D287" s="93"/>
      <c r="E287" s="93"/>
      <c r="F287" s="93"/>
      <c r="G287" s="9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</row>
    <row r="288">
      <c r="A288" s="93"/>
      <c r="B288" s="53"/>
      <c r="C288" s="93"/>
      <c r="D288" s="93"/>
      <c r="E288" s="93"/>
      <c r="F288" s="93"/>
      <c r="G288" s="9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</row>
    <row r="289">
      <c r="A289" s="93"/>
      <c r="B289" s="53"/>
      <c r="C289" s="93"/>
      <c r="D289" s="93"/>
      <c r="E289" s="93"/>
      <c r="F289" s="93"/>
      <c r="G289" s="9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</row>
    <row r="290">
      <c r="A290" s="93"/>
      <c r="B290" s="53"/>
      <c r="C290" s="93"/>
      <c r="D290" s="93"/>
      <c r="E290" s="93"/>
      <c r="F290" s="93"/>
      <c r="G290" s="9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</row>
    <row r="291">
      <c r="A291" s="93"/>
      <c r="B291" s="53"/>
      <c r="C291" s="93"/>
      <c r="D291" s="93"/>
      <c r="E291" s="93"/>
      <c r="F291" s="93"/>
      <c r="G291" s="9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</row>
    <row r="292">
      <c r="A292" s="93"/>
      <c r="B292" s="53"/>
      <c r="C292" s="93"/>
      <c r="D292" s="93"/>
      <c r="E292" s="93"/>
      <c r="F292" s="93"/>
      <c r="G292" s="9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</row>
    <row r="293">
      <c r="A293" s="93"/>
      <c r="B293" s="53"/>
      <c r="C293" s="93"/>
      <c r="D293" s="93"/>
      <c r="E293" s="93"/>
      <c r="F293" s="93"/>
      <c r="G293" s="9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</row>
    <row r="294">
      <c r="A294" s="93"/>
      <c r="B294" s="53"/>
      <c r="C294" s="93"/>
      <c r="D294" s="93"/>
      <c r="E294" s="93"/>
      <c r="F294" s="93"/>
      <c r="G294" s="9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</row>
    <row r="295">
      <c r="A295" s="93"/>
      <c r="B295" s="53"/>
      <c r="C295" s="93"/>
      <c r="D295" s="93"/>
      <c r="E295" s="93"/>
      <c r="F295" s="93"/>
      <c r="G295" s="9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</row>
    <row r="296">
      <c r="A296" s="93"/>
      <c r="B296" s="53"/>
      <c r="C296" s="93"/>
      <c r="D296" s="93"/>
      <c r="E296" s="93"/>
      <c r="F296" s="93"/>
      <c r="G296" s="9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</row>
    <row r="297">
      <c r="A297" s="93"/>
      <c r="B297" s="53"/>
      <c r="C297" s="93"/>
      <c r="D297" s="93"/>
      <c r="E297" s="93"/>
      <c r="F297" s="93"/>
      <c r="G297" s="9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</row>
    <row r="298">
      <c r="A298" s="93"/>
      <c r="B298" s="53"/>
      <c r="C298" s="93"/>
      <c r="D298" s="93"/>
      <c r="E298" s="93"/>
      <c r="F298" s="93"/>
      <c r="G298" s="9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</row>
    <row r="299">
      <c r="A299" s="93"/>
      <c r="B299" s="53"/>
      <c r="C299" s="93"/>
      <c r="D299" s="93"/>
      <c r="E299" s="93"/>
      <c r="F299" s="93"/>
      <c r="G299" s="9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</row>
    <row r="300">
      <c r="A300" s="93"/>
      <c r="B300" s="53"/>
      <c r="C300" s="93"/>
      <c r="D300" s="93"/>
      <c r="E300" s="93"/>
      <c r="F300" s="93"/>
      <c r="G300" s="9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</row>
    <row r="301">
      <c r="A301" s="93"/>
      <c r="B301" s="53"/>
      <c r="C301" s="93"/>
      <c r="D301" s="93"/>
      <c r="E301" s="93"/>
      <c r="F301" s="93"/>
      <c r="G301" s="9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</row>
    <row r="302">
      <c r="A302" s="93"/>
      <c r="B302" s="53"/>
      <c r="C302" s="93"/>
      <c r="D302" s="93"/>
      <c r="E302" s="93"/>
      <c r="F302" s="93"/>
      <c r="G302" s="9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</row>
    <row r="303">
      <c r="A303" s="93"/>
      <c r="B303" s="53"/>
      <c r="C303" s="93"/>
      <c r="D303" s="93"/>
      <c r="E303" s="93"/>
      <c r="F303" s="93"/>
      <c r="G303" s="9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</row>
    <row r="304">
      <c r="A304" s="93"/>
      <c r="B304" s="53"/>
      <c r="C304" s="93"/>
      <c r="D304" s="93"/>
      <c r="E304" s="93"/>
      <c r="F304" s="93"/>
      <c r="G304" s="9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</row>
    <row r="305">
      <c r="A305" s="93"/>
      <c r="B305" s="53"/>
      <c r="C305" s="93"/>
      <c r="D305" s="93"/>
      <c r="E305" s="93"/>
      <c r="F305" s="93"/>
      <c r="G305" s="9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</row>
    <row r="306">
      <c r="A306" s="93"/>
      <c r="B306" s="53"/>
      <c r="C306" s="93"/>
      <c r="D306" s="93"/>
      <c r="E306" s="93"/>
      <c r="F306" s="93"/>
      <c r="G306" s="9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</row>
    <row r="307">
      <c r="A307" s="93"/>
      <c r="B307" s="53"/>
      <c r="C307" s="93"/>
      <c r="D307" s="93"/>
      <c r="E307" s="93"/>
      <c r="F307" s="93"/>
      <c r="G307" s="9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</row>
    <row r="308">
      <c r="A308" s="93"/>
      <c r="B308" s="53"/>
      <c r="C308" s="93"/>
      <c r="D308" s="93"/>
      <c r="E308" s="93"/>
      <c r="F308" s="93"/>
      <c r="G308" s="9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</row>
    <row r="309">
      <c r="A309" s="93"/>
      <c r="B309" s="53"/>
      <c r="C309" s="93"/>
      <c r="D309" s="93"/>
      <c r="E309" s="93"/>
      <c r="F309" s="93"/>
      <c r="G309" s="9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</row>
    <row r="310">
      <c r="A310" s="93"/>
      <c r="B310" s="53"/>
      <c r="C310" s="93"/>
      <c r="D310" s="93"/>
      <c r="E310" s="93"/>
      <c r="F310" s="93"/>
      <c r="G310" s="9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</row>
    <row r="311">
      <c r="A311" s="93"/>
      <c r="B311" s="53"/>
      <c r="C311" s="93"/>
      <c r="D311" s="93"/>
      <c r="E311" s="93"/>
      <c r="F311" s="93"/>
      <c r="G311" s="9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</row>
    <row r="312">
      <c r="A312" s="93"/>
      <c r="B312" s="53"/>
      <c r="C312" s="93"/>
      <c r="D312" s="93"/>
      <c r="E312" s="93"/>
      <c r="F312" s="93"/>
      <c r="G312" s="9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</row>
    <row r="313">
      <c r="A313" s="93"/>
      <c r="B313" s="53"/>
      <c r="C313" s="93"/>
      <c r="D313" s="93"/>
      <c r="E313" s="93"/>
      <c r="F313" s="93"/>
      <c r="G313" s="9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</row>
    <row r="314">
      <c r="A314" s="93"/>
      <c r="B314" s="53"/>
      <c r="C314" s="93"/>
      <c r="D314" s="93"/>
      <c r="E314" s="93"/>
      <c r="F314" s="93"/>
      <c r="G314" s="9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</row>
    <row r="315">
      <c r="A315" s="93"/>
      <c r="B315" s="53"/>
      <c r="C315" s="93"/>
      <c r="D315" s="93"/>
      <c r="E315" s="93"/>
      <c r="F315" s="93"/>
      <c r="G315" s="9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</row>
    <row r="316">
      <c r="A316" s="93"/>
      <c r="B316" s="53"/>
      <c r="C316" s="93"/>
      <c r="D316" s="93"/>
      <c r="E316" s="93"/>
      <c r="F316" s="93"/>
      <c r="G316" s="9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</row>
    <row r="317">
      <c r="A317" s="93"/>
      <c r="B317" s="53"/>
      <c r="C317" s="93"/>
      <c r="D317" s="93"/>
      <c r="E317" s="93"/>
      <c r="F317" s="93"/>
      <c r="G317" s="9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</row>
    <row r="318">
      <c r="A318" s="93"/>
      <c r="B318" s="53"/>
      <c r="C318" s="93"/>
      <c r="D318" s="93"/>
      <c r="E318" s="93"/>
      <c r="F318" s="93"/>
      <c r="G318" s="9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</row>
    <row r="319">
      <c r="A319" s="93"/>
      <c r="B319" s="53"/>
      <c r="C319" s="93"/>
      <c r="D319" s="93"/>
      <c r="E319" s="93"/>
      <c r="F319" s="93"/>
      <c r="G319" s="9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</row>
    <row r="320">
      <c r="A320" s="93"/>
      <c r="B320" s="53"/>
      <c r="C320" s="93"/>
      <c r="D320" s="93"/>
      <c r="E320" s="93"/>
      <c r="F320" s="93"/>
      <c r="G320" s="9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</row>
    <row r="321">
      <c r="A321" s="93"/>
      <c r="B321" s="53"/>
      <c r="C321" s="93"/>
      <c r="D321" s="93"/>
      <c r="E321" s="93"/>
      <c r="F321" s="93"/>
      <c r="G321" s="9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</row>
    <row r="322">
      <c r="A322" s="93"/>
      <c r="B322" s="53"/>
      <c r="C322" s="93"/>
      <c r="D322" s="93"/>
      <c r="E322" s="93"/>
      <c r="F322" s="93"/>
      <c r="G322" s="9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</row>
    <row r="323">
      <c r="A323" s="93"/>
      <c r="B323" s="53"/>
      <c r="C323" s="93"/>
      <c r="D323" s="93"/>
      <c r="E323" s="93"/>
      <c r="F323" s="93"/>
      <c r="G323" s="9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</row>
    <row r="324">
      <c r="A324" s="93"/>
      <c r="B324" s="53"/>
      <c r="C324" s="93"/>
      <c r="D324" s="93"/>
      <c r="E324" s="93"/>
      <c r="F324" s="93"/>
      <c r="G324" s="9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</row>
    <row r="325">
      <c r="A325" s="93"/>
      <c r="B325" s="53"/>
      <c r="C325" s="93"/>
      <c r="D325" s="93"/>
      <c r="E325" s="93"/>
      <c r="F325" s="93"/>
      <c r="G325" s="9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</row>
    <row r="326">
      <c r="A326" s="93"/>
      <c r="B326" s="53"/>
      <c r="C326" s="93"/>
      <c r="D326" s="93"/>
      <c r="E326" s="93"/>
      <c r="F326" s="93"/>
      <c r="G326" s="9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</row>
    <row r="327">
      <c r="A327" s="93"/>
      <c r="B327" s="53"/>
      <c r="C327" s="93"/>
      <c r="D327" s="93"/>
      <c r="E327" s="93"/>
      <c r="F327" s="93"/>
      <c r="G327" s="9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</row>
    <row r="328">
      <c r="A328" s="93"/>
      <c r="B328" s="53"/>
      <c r="C328" s="93"/>
      <c r="D328" s="93"/>
      <c r="E328" s="93"/>
      <c r="F328" s="93"/>
      <c r="G328" s="9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</row>
    <row r="329">
      <c r="A329" s="93"/>
      <c r="B329" s="53"/>
      <c r="C329" s="93"/>
      <c r="D329" s="93"/>
      <c r="E329" s="93"/>
      <c r="F329" s="93"/>
      <c r="G329" s="9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</row>
    <row r="330">
      <c r="A330" s="93"/>
      <c r="B330" s="53"/>
      <c r="C330" s="93"/>
      <c r="D330" s="93"/>
      <c r="E330" s="93"/>
      <c r="F330" s="93"/>
      <c r="G330" s="9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</row>
    <row r="331">
      <c r="A331" s="93"/>
      <c r="B331" s="53"/>
      <c r="C331" s="93"/>
      <c r="D331" s="93"/>
      <c r="E331" s="93"/>
      <c r="F331" s="93"/>
      <c r="G331" s="9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</row>
    <row r="332">
      <c r="A332" s="93"/>
      <c r="B332" s="53"/>
      <c r="C332" s="93"/>
      <c r="D332" s="93"/>
      <c r="E332" s="93"/>
      <c r="F332" s="93"/>
      <c r="G332" s="9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</row>
    <row r="333">
      <c r="A333" s="93"/>
      <c r="B333" s="53"/>
      <c r="C333" s="93"/>
      <c r="D333" s="93"/>
      <c r="E333" s="93"/>
      <c r="F333" s="93"/>
      <c r="G333" s="9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</row>
    <row r="334">
      <c r="A334" s="93"/>
      <c r="B334" s="53"/>
      <c r="C334" s="93"/>
      <c r="D334" s="93"/>
      <c r="E334" s="93"/>
      <c r="F334" s="93"/>
      <c r="G334" s="9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</row>
    <row r="335">
      <c r="A335" s="93"/>
      <c r="B335" s="53"/>
      <c r="C335" s="93"/>
      <c r="D335" s="93"/>
      <c r="E335" s="93"/>
      <c r="F335" s="93"/>
      <c r="G335" s="9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</row>
    <row r="336">
      <c r="A336" s="93"/>
      <c r="B336" s="53"/>
      <c r="C336" s="93"/>
      <c r="D336" s="93"/>
      <c r="E336" s="93"/>
      <c r="F336" s="93"/>
      <c r="G336" s="9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</row>
    <row r="337">
      <c r="A337" s="93"/>
      <c r="B337" s="53"/>
      <c r="C337" s="93"/>
      <c r="D337" s="93"/>
      <c r="E337" s="93"/>
      <c r="F337" s="93"/>
      <c r="G337" s="9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</row>
    <row r="338">
      <c r="A338" s="93"/>
      <c r="B338" s="53"/>
      <c r="C338" s="93"/>
      <c r="D338" s="93"/>
      <c r="E338" s="93"/>
      <c r="F338" s="93"/>
      <c r="G338" s="9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</row>
    <row r="339">
      <c r="A339" s="93"/>
      <c r="B339" s="53"/>
      <c r="C339" s="93"/>
      <c r="D339" s="93"/>
      <c r="E339" s="93"/>
      <c r="F339" s="93"/>
      <c r="G339" s="9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</row>
    <row r="340">
      <c r="A340" s="93"/>
      <c r="B340" s="53"/>
      <c r="C340" s="93"/>
      <c r="D340" s="93"/>
      <c r="E340" s="93"/>
      <c r="F340" s="93"/>
      <c r="G340" s="9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</row>
    <row r="341">
      <c r="A341" s="93"/>
      <c r="B341" s="53"/>
      <c r="C341" s="93"/>
      <c r="D341" s="93"/>
      <c r="E341" s="93"/>
      <c r="F341" s="93"/>
      <c r="G341" s="9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</row>
    <row r="342">
      <c r="A342" s="93"/>
      <c r="B342" s="53"/>
      <c r="C342" s="93"/>
      <c r="D342" s="93"/>
      <c r="E342" s="93"/>
      <c r="F342" s="93"/>
      <c r="G342" s="9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</row>
    <row r="343">
      <c r="A343" s="93"/>
      <c r="B343" s="53"/>
      <c r="C343" s="93"/>
      <c r="D343" s="93"/>
      <c r="E343" s="93"/>
      <c r="F343" s="93"/>
      <c r="G343" s="9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</row>
    <row r="344">
      <c r="A344" s="93"/>
      <c r="B344" s="53"/>
      <c r="C344" s="93"/>
      <c r="D344" s="93"/>
      <c r="E344" s="93"/>
      <c r="F344" s="93"/>
      <c r="G344" s="9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</row>
    <row r="345">
      <c r="A345" s="93"/>
      <c r="B345" s="53"/>
      <c r="C345" s="93"/>
      <c r="D345" s="93"/>
      <c r="E345" s="93"/>
      <c r="F345" s="93"/>
      <c r="G345" s="9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</row>
    <row r="346">
      <c r="A346" s="93"/>
      <c r="B346" s="53"/>
      <c r="C346" s="93"/>
      <c r="D346" s="93"/>
      <c r="E346" s="93"/>
      <c r="F346" s="93"/>
      <c r="G346" s="9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</row>
    <row r="347">
      <c r="A347" s="93"/>
      <c r="B347" s="53"/>
      <c r="C347" s="93"/>
      <c r="D347" s="93"/>
      <c r="E347" s="93"/>
      <c r="F347" s="93"/>
      <c r="G347" s="9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</row>
    <row r="348">
      <c r="A348" s="93"/>
      <c r="B348" s="53"/>
      <c r="C348" s="93"/>
      <c r="D348" s="93"/>
      <c r="E348" s="93"/>
      <c r="F348" s="93"/>
      <c r="G348" s="9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</row>
    <row r="349">
      <c r="A349" s="93"/>
      <c r="B349" s="53"/>
      <c r="C349" s="93"/>
      <c r="D349" s="93"/>
      <c r="E349" s="93"/>
      <c r="F349" s="93"/>
      <c r="G349" s="9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</row>
    <row r="350">
      <c r="A350" s="93"/>
      <c r="B350" s="53"/>
      <c r="C350" s="93"/>
      <c r="D350" s="93"/>
      <c r="E350" s="93"/>
      <c r="F350" s="93"/>
      <c r="G350" s="9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</row>
    <row r="351">
      <c r="A351" s="93"/>
      <c r="B351" s="53"/>
      <c r="C351" s="93"/>
      <c r="D351" s="93"/>
      <c r="E351" s="93"/>
      <c r="F351" s="93"/>
      <c r="G351" s="9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</row>
    <row r="352">
      <c r="A352" s="93"/>
      <c r="B352" s="53"/>
      <c r="C352" s="93"/>
      <c r="D352" s="93"/>
      <c r="E352" s="93"/>
      <c r="F352" s="93"/>
      <c r="G352" s="9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</row>
    <row r="353">
      <c r="A353" s="93"/>
      <c r="B353" s="53"/>
      <c r="C353" s="93"/>
      <c r="D353" s="93"/>
      <c r="E353" s="93"/>
      <c r="F353" s="93"/>
      <c r="G353" s="9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</row>
    <row r="354">
      <c r="A354" s="93"/>
      <c r="B354" s="53"/>
      <c r="C354" s="93"/>
      <c r="D354" s="93"/>
      <c r="E354" s="93"/>
      <c r="F354" s="93"/>
      <c r="G354" s="9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</row>
    <row r="355">
      <c r="A355" s="93"/>
      <c r="B355" s="53"/>
      <c r="C355" s="93"/>
      <c r="D355" s="93"/>
      <c r="E355" s="93"/>
      <c r="F355" s="93"/>
      <c r="G355" s="9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</row>
    <row r="356">
      <c r="A356" s="93"/>
      <c r="B356" s="53"/>
      <c r="C356" s="93"/>
      <c r="D356" s="93"/>
      <c r="E356" s="93"/>
      <c r="F356" s="93"/>
      <c r="G356" s="9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</row>
    <row r="357">
      <c r="A357" s="93"/>
      <c r="B357" s="53"/>
      <c r="C357" s="93"/>
      <c r="D357" s="93"/>
      <c r="E357" s="93"/>
      <c r="F357" s="93"/>
      <c r="G357" s="9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</row>
    <row r="358">
      <c r="A358" s="93"/>
      <c r="B358" s="53"/>
      <c r="C358" s="93"/>
      <c r="D358" s="93"/>
      <c r="E358" s="93"/>
      <c r="F358" s="93"/>
      <c r="G358" s="9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</row>
    <row r="359">
      <c r="A359" s="93"/>
      <c r="B359" s="53"/>
      <c r="C359" s="93"/>
      <c r="D359" s="93"/>
      <c r="E359" s="93"/>
      <c r="F359" s="93"/>
      <c r="G359" s="9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</row>
    <row r="360">
      <c r="A360" s="93"/>
      <c r="B360" s="53"/>
      <c r="C360" s="93"/>
      <c r="D360" s="93"/>
      <c r="E360" s="93"/>
      <c r="F360" s="93"/>
      <c r="G360" s="9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</row>
    <row r="361">
      <c r="A361" s="93"/>
      <c r="B361" s="53"/>
      <c r="C361" s="93"/>
      <c r="D361" s="93"/>
      <c r="E361" s="93"/>
      <c r="F361" s="93"/>
      <c r="G361" s="9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</row>
    <row r="362">
      <c r="A362" s="93"/>
      <c r="B362" s="53"/>
      <c r="C362" s="93"/>
      <c r="D362" s="93"/>
      <c r="E362" s="93"/>
      <c r="F362" s="93"/>
      <c r="G362" s="9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</row>
    <row r="363">
      <c r="A363" s="93"/>
      <c r="B363" s="53"/>
      <c r="C363" s="93"/>
      <c r="D363" s="93"/>
      <c r="E363" s="93"/>
      <c r="F363" s="93"/>
      <c r="G363" s="9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</row>
    <row r="364">
      <c r="A364" s="93"/>
      <c r="B364" s="53"/>
      <c r="C364" s="93"/>
      <c r="D364" s="93"/>
      <c r="E364" s="93"/>
      <c r="F364" s="93"/>
      <c r="G364" s="9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</row>
    <row r="365">
      <c r="A365" s="93"/>
      <c r="B365" s="53"/>
      <c r="C365" s="93"/>
      <c r="D365" s="93"/>
      <c r="E365" s="93"/>
      <c r="F365" s="93"/>
      <c r="G365" s="9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</row>
    <row r="366">
      <c r="A366" s="93"/>
      <c r="B366" s="53"/>
      <c r="C366" s="93"/>
      <c r="D366" s="93"/>
      <c r="E366" s="93"/>
      <c r="F366" s="93"/>
      <c r="G366" s="9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</row>
    <row r="367">
      <c r="A367" s="93"/>
      <c r="B367" s="53"/>
      <c r="C367" s="93"/>
      <c r="D367" s="93"/>
      <c r="E367" s="93"/>
      <c r="F367" s="93"/>
      <c r="G367" s="9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</row>
    <row r="368">
      <c r="A368" s="93"/>
      <c r="B368" s="53"/>
      <c r="C368" s="93"/>
      <c r="D368" s="93"/>
      <c r="E368" s="93"/>
      <c r="F368" s="93"/>
      <c r="G368" s="9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</row>
    <row r="369">
      <c r="A369" s="93"/>
      <c r="B369" s="53"/>
      <c r="C369" s="93"/>
      <c r="D369" s="93"/>
      <c r="E369" s="93"/>
      <c r="F369" s="93"/>
      <c r="G369" s="9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</row>
    <row r="370">
      <c r="A370" s="93"/>
      <c r="B370" s="53"/>
      <c r="C370" s="93"/>
      <c r="D370" s="93"/>
      <c r="E370" s="93"/>
      <c r="F370" s="93"/>
      <c r="G370" s="9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</row>
    <row r="371">
      <c r="A371" s="93"/>
      <c r="B371" s="53"/>
      <c r="C371" s="93"/>
      <c r="D371" s="93"/>
      <c r="E371" s="93"/>
      <c r="F371" s="93"/>
      <c r="G371" s="9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</row>
    <row r="372">
      <c r="A372" s="93"/>
      <c r="B372" s="53"/>
      <c r="C372" s="93"/>
      <c r="D372" s="93"/>
      <c r="E372" s="93"/>
      <c r="F372" s="93"/>
      <c r="G372" s="9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</row>
    <row r="373">
      <c r="A373" s="93"/>
      <c r="B373" s="53"/>
      <c r="C373" s="93"/>
      <c r="D373" s="93"/>
      <c r="E373" s="93"/>
      <c r="F373" s="93"/>
      <c r="G373" s="9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</row>
    <row r="374">
      <c r="A374" s="93"/>
      <c r="B374" s="53"/>
      <c r="C374" s="93"/>
      <c r="D374" s="93"/>
      <c r="E374" s="93"/>
      <c r="F374" s="93"/>
      <c r="G374" s="9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</row>
    <row r="375">
      <c r="A375" s="93"/>
      <c r="B375" s="53"/>
      <c r="C375" s="93"/>
      <c r="D375" s="93"/>
      <c r="E375" s="93"/>
      <c r="F375" s="93"/>
      <c r="G375" s="9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</row>
    <row r="376">
      <c r="A376" s="93"/>
      <c r="B376" s="53"/>
      <c r="C376" s="93"/>
      <c r="D376" s="93"/>
      <c r="E376" s="93"/>
      <c r="F376" s="93"/>
      <c r="G376" s="9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</row>
    <row r="377">
      <c r="A377" s="93"/>
      <c r="B377" s="53"/>
      <c r="C377" s="93"/>
      <c r="D377" s="93"/>
      <c r="E377" s="93"/>
      <c r="F377" s="93"/>
      <c r="G377" s="9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</row>
    <row r="378">
      <c r="A378" s="93"/>
      <c r="B378" s="53"/>
      <c r="C378" s="93"/>
      <c r="D378" s="93"/>
      <c r="E378" s="93"/>
      <c r="F378" s="93"/>
      <c r="G378" s="9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</row>
    <row r="379">
      <c r="A379" s="93"/>
      <c r="B379" s="53"/>
      <c r="C379" s="93"/>
      <c r="D379" s="93"/>
      <c r="E379" s="93"/>
      <c r="F379" s="93"/>
      <c r="G379" s="9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</row>
    <row r="380">
      <c r="A380" s="93"/>
      <c r="B380" s="53"/>
      <c r="C380" s="93"/>
      <c r="D380" s="93"/>
      <c r="E380" s="93"/>
      <c r="F380" s="93"/>
      <c r="G380" s="9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</row>
    <row r="381">
      <c r="A381" s="93"/>
      <c r="B381" s="53"/>
      <c r="C381" s="93"/>
      <c r="D381" s="93"/>
      <c r="E381" s="93"/>
      <c r="F381" s="93"/>
      <c r="G381" s="9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</row>
    <row r="382">
      <c r="A382" s="93"/>
      <c r="B382" s="53"/>
      <c r="C382" s="93"/>
      <c r="D382" s="93"/>
      <c r="E382" s="93"/>
      <c r="F382" s="93"/>
      <c r="G382" s="9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</row>
    <row r="383">
      <c r="A383" s="93"/>
      <c r="B383" s="53"/>
      <c r="C383" s="93"/>
      <c r="D383" s="93"/>
      <c r="E383" s="93"/>
      <c r="F383" s="93"/>
      <c r="G383" s="9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</row>
    <row r="384">
      <c r="A384" s="93"/>
      <c r="B384" s="53"/>
      <c r="C384" s="93"/>
      <c r="D384" s="93"/>
      <c r="E384" s="93"/>
      <c r="F384" s="93"/>
      <c r="G384" s="9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</row>
    <row r="385">
      <c r="A385" s="93"/>
      <c r="B385" s="53"/>
      <c r="C385" s="93"/>
      <c r="D385" s="93"/>
      <c r="E385" s="93"/>
      <c r="F385" s="93"/>
      <c r="G385" s="9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</row>
    <row r="386">
      <c r="A386" s="93"/>
      <c r="B386" s="53"/>
      <c r="C386" s="93"/>
      <c r="D386" s="93"/>
      <c r="E386" s="93"/>
      <c r="F386" s="93"/>
      <c r="G386" s="9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</row>
    <row r="387">
      <c r="A387" s="93"/>
      <c r="B387" s="53"/>
      <c r="C387" s="93"/>
      <c r="D387" s="93"/>
      <c r="E387" s="93"/>
      <c r="F387" s="93"/>
      <c r="G387" s="9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</row>
    <row r="388">
      <c r="A388" s="93"/>
      <c r="B388" s="53"/>
      <c r="C388" s="93"/>
      <c r="D388" s="93"/>
      <c r="E388" s="93"/>
      <c r="F388" s="93"/>
      <c r="G388" s="9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</row>
    <row r="389">
      <c r="A389" s="93"/>
      <c r="B389" s="53"/>
      <c r="C389" s="93"/>
      <c r="D389" s="93"/>
      <c r="E389" s="93"/>
      <c r="F389" s="93"/>
      <c r="G389" s="9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</row>
    <row r="390">
      <c r="A390" s="93"/>
      <c r="B390" s="53"/>
      <c r="C390" s="93"/>
      <c r="D390" s="93"/>
      <c r="E390" s="93"/>
      <c r="F390" s="93"/>
      <c r="G390" s="9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</row>
    <row r="391">
      <c r="A391" s="93"/>
      <c r="B391" s="53"/>
      <c r="C391" s="93"/>
      <c r="D391" s="93"/>
      <c r="E391" s="93"/>
      <c r="F391" s="93"/>
      <c r="G391" s="9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</row>
    <row r="392">
      <c r="A392" s="93"/>
      <c r="B392" s="53"/>
      <c r="C392" s="93"/>
      <c r="D392" s="93"/>
      <c r="E392" s="93"/>
      <c r="F392" s="93"/>
      <c r="G392" s="9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</row>
    <row r="393">
      <c r="A393" s="93"/>
      <c r="B393" s="53"/>
      <c r="C393" s="93"/>
      <c r="D393" s="93"/>
      <c r="E393" s="93"/>
      <c r="F393" s="93"/>
      <c r="G393" s="9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</row>
    <row r="394">
      <c r="A394" s="93"/>
      <c r="B394" s="53"/>
      <c r="C394" s="93"/>
      <c r="D394" s="93"/>
      <c r="E394" s="93"/>
      <c r="F394" s="93"/>
      <c r="G394" s="9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</row>
    <row r="395">
      <c r="A395" s="93"/>
      <c r="B395" s="53"/>
      <c r="C395" s="93"/>
      <c r="D395" s="93"/>
      <c r="E395" s="93"/>
      <c r="F395" s="93"/>
      <c r="G395" s="9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</row>
    <row r="396">
      <c r="A396" s="93"/>
      <c r="B396" s="53"/>
      <c r="C396" s="93"/>
      <c r="D396" s="93"/>
      <c r="E396" s="93"/>
      <c r="F396" s="93"/>
      <c r="G396" s="9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</row>
    <row r="397">
      <c r="A397" s="93"/>
      <c r="B397" s="53"/>
      <c r="C397" s="93"/>
      <c r="D397" s="93"/>
      <c r="E397" s="93"/>
      <c r="F397" s="93"/>
      <c r="G397" s="9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</row>
    <row r="398">
      <c r="A398" s="93"/>
      <c r="B398" s="53"/>
      <c r="C398" s="93"/>
      <c r="D398" s="93"/>
      <c r="E398" s="93"/>
      <c r="F398" s="93"/>
      <c r="G398" s="9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</row>
    <row r="399">
      <c r="A399" s="93"/>
      <c r="B399" s="53"/>
      <c r="C399" s="93"/>
      <c r="D399" s="93"/>
      <c r="E399" s="93"/>
      <c r="F399" s="93"/>
      <c r="G399" s="9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</row>
    <row r="400">
      <c r="A400" s="93"/>
      <c r="B400" s="53"/>
      <c r="C400" s="93"/>
      <c r="D400" s="93"/>
      <c r="E400" s="93"/>
      <c r="F400" s="93"/>
      <c r="G400" s="9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</row>
    <row r="401">
      <c r="A401" s="93"/>
      <c r="B401" s="53"/>
      <c r="C401" s="93"/>
      <c r="D401" s="93"/>
      <c r="E401" s="93"/>
      <c r="F401" s="93"/>
      <c r="G401" s="9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</row>
    <row r="402">
      <c r="A402" s="93"/>
      <c r="B402" s="53"/>
      <c r="C402" s="93"/>
      <c r="D402" s="93"/>
      <c r="E402" s="93"/>
      <c r="F402" s="93"/>
      <c r="G402" s="9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</row>
    <row r="403">
      <c r="A403" s="93"/>
      <c r="B403" s="53"/>
      <c r="C403" s="93"/>
      <c r="D403" s="93"/>
      <c r="E403" s="93"/>
      <c r="F403" s="93"/>
      <c r="G403" s="9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</row>
    <row r="404">
      <c r="A404" s="93"/>
      <c r="B404" s="53"/>
      <c r="C404" s="93"/>
      <c r="D404" s="93"/>
      <c r="E404" s="93"/>
      <c r="F404" s="93"/>
      <c r="G404" s="9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</row>
    <row r="405">
      <c r="A405" s="93"/>
      <c r="B405" s="53"/>
      <c r="C405" s="93"/>
      <c r="D405" s="93"/>
      <c r="E405" s="93"/>
      <c r="F405" s="93"/>
      <c r="G405" s="9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</row>
    <row r="406">
      <c r="A406" s="93"/>
      <c r="B406" s="53"/>
      <c r="C406" s="93"/>
      <c r="D406" s="93"/>
      <c r="E406" s="93"/>
      <c r="F406" s="93"/>
      <c r="G406" s="9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</row>
    <row r="407">
      <c r="A407" s="93"/>
      <c r="B407" s="53"/>
      <c r="C407" s="93"/>
      <c r="D407" s="93"/>
      <c r="E407" s="93"/>
      <c r="F407" s="93"/>
      <c r="G407" s="9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</row>
    <row r="408">
      <c r="A408" s="93"/>
      <c r="B408" s="53"/>
      <c r="C408" s="93"/>
      <c r="D408" s="93"/>
      <c r="E408" s="93"/>
      <c r="F408" s="93"/>
      <c r="G408" s="9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</row>
    <row r="409">
      <c r="A409" s="93"/>
      <c r="B409" s="53"/>
      <c r="C409" s="93"/>
      <c r="D409" s="93"/>
      <c r="E409" s="93"/>
      <c r="F409" s="93"/>
      <c r="G409" s="9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</row>
    <row r="410">
      <c r="A410" s="93"/>
      <c r="B410" s="53"/>
      <c r="C410" s="93"/>
      <c r="D410" s="93"/>
      <c r="E410" s="93"/>
      <c r="F410" s="93"/>
      <c r="G410" s="9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</row>
    <row r="411">
      <c r="A411" s="93"/>
      <c r="B411" s="53"/>
      <c r="C411" s="93"/>
      <c r="D411" s="93"/>
      <c r="E411" s="93"/>
      <c r="F411" s="93"/>
      <c r="G411" s="9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</row>
    <row r="412">
      <c r="A412" s="93"/>
      <c r="B412" s="53"/>
      <c r="C412" s="93"/>
      <c r="D412" s="93"/>
      <c r="E412" s="93"/>
      <c r="F412" s="93"/>
      <c r="G412" s="9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</row>
    <row r="413">
      <c r="A413" s="93"/>
      <c r="B413" s="53"/>
      <c r="C413" s="93"/>
      <c r="D413" s="93"/>
      <c r="E413" s="93"/>
      <c r="F413" s="93"/>
      <c r="G413" s="9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</row>
    <row r="414">
      <c r="A414" s="93"/>
      <c r="B414" s="53"/>
      <c r="C414" s="93"/>
      <c r="D414" s="93"/>
      <c r="E414" s="93"/>
      <c r="F414" s="93"/>
      <c r="G414" s="9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</row>
    <row r="415">
      <c r="A415" s="93"/>
      <c r="B415" s="53"/>
      <c r="C415" s="93"/>
      <c r="D415" s="93"/>
      <c r="E415" s="93"/>
      <c r="F415" s="93"/>
      <c r="G415" s="9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</row>
    <row r="416">
      <c r="A416" s="93"/>
      <c r="B416" s="53"/>
      <c r="C416" s="93"/>
      <c r="D416" s="93"/>
      <c r="E416" s="93"/>
      <c r="F416" s="93"/>
      <c r="G416" s="9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</row>
    <row r="417">
      <c r="A417" s="93"/>
      <c r="B417" s="53"/>
      <c r="C417" s="93"/>
      <c r="D417" s="93"/>
      <c r="E417" s="93"/>
      <c r="F417" s="93"/>
      <c r="G417" s="9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</row>
    <row r="418">
      <c r="A418" s="93"/>
      <c r="B418" s="53"/>
      <c r="C418" s="93"/>
      <c r="D418" s="93"/>
      <c r="E418" s="93"/>
      <c r="F418" s="93"/>
      <c r="G418" s="9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</row>
    <row r="419">
      <c r="A419" s="93"/>
      <c r="B419" s="53"/>
      <c r="C419" s="93"/>
      <c r="D419" s="93"/>
      <c r="E419" s="93"/>
      <c r="F419" s="93"/>
      <c r="G419" s="9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</row>
    <row r="420">
      <c r="A420" s="93"/>
      <c r="B420" s="53"/>
      <c r="C420" s="93"/>
      <c r="D420" s="93"/>
      <c r="E420" s="93"/>
      <c r="F420" s="93"/>
      <c r="G420" s="9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</row>
    <row r="421">
      <c r="A421" s="93"/>
      <c r="B421" s="53"/>
      <c r="C421" s="93"/>
      <c r="D421" s="93"/>
      <c r="E421" s="93"/>
      <c r="F421" s="93"/>
      <c r="G421" s="9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</row>
    <row r="422">
      <c r="A422" s="93"/>
      <c r="B422" s="53"/>
      <c r="C422" s="93"/>
      <c r="D422" s="93"/>
      <c r="E422" s="93"/>
      <c r="F422" s="93"/>
      <c r="G422" s="9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</row>
    <row r="423">
      <c r="A423" s="93"/>
      <c r="B423" s="53"/>
      <c r="C423" s="93"/>
      <c r="D423" s="93"/>
      <c r="E423" s="93"/>
      <c r="F423" s="93"/>
      <c r="G423" s="9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</row>
    <row r="424">
      <c r="A424" s="93"/>
      <c r="B424" s="53"/>
      <c r="C424" s="93"/>
      <c r="D424" s="93"/>
      <c r="E424" s="93"/>
      <c r="F424" s="93"/>
      <c r="G424" s="9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</row>
    <row r="425">
      <c r="A425" s="93"/>
      <c r="B425" s="53"/>
      <c r="C425" s="93"/>
      <c r="D425" s="93"/>
      <c r="E425" s="93"/>
      <c r="F425" s="93"/>
      <c r="G425" s="9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</row>
    <row r="426">
      <c r="A426" s="93"/>
      <c r="B426" s="53"/>
      <c r="C426" s="93"/>
      <c r="D426" s="93"/>
      <c r="E426" s="93"/>
      <c r="F426" s="93"/>
      <c r="G426" s="9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</row>
    <row r="427">
      <c r="A427" s="93"/>
      <c r="B427" s="53"/>
      <c r="C427" s="93"/>
      <c r="D427" s="93"/>
      <c r="E427" s="93"/>
      <c r="F427" s="93"/>
      <c r="G427" s="9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</row>
    <row r="428">
      <c r="A428" s="93"/>
      <c r="B428" s="53"/>
      <c r="C428" s="93"/>
      <c r="D428" s="93"/>
      <c r="E428" s="93"/>
      <c r="F428" s="93"/>
      <c r="G428" s="9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</row>
    <row r="429">
      <c r="A429" s="93"/>
      <c r="B429" s="53"/>
      <c r="C429" s="93"/>
      <c r="D429" s="93"/>
      <c r="E429" s="93"/>
      <c r="F429" s="93"/>
      <c r="G429" s="9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</row>
    <row r="430">
      <c r="A430" s="93"/>
      <c r="B430" s="53"/>
      <c r="C430" s="93"/>
      <c r="D430" s="93"/>
      <c r="E430" s="93"/>
      <c r="F430" s="93"/>
      <c r="G430" s="9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</row>
    <row r="431">
      <c r="A431" s="93"/>
      <c r="B431" s="53"/>
      <c r="C431" s="93"/>
      <c r="D431" s="93"/>
      <c r="E431" s="93"/>
      <c r="F431" s="93"/>
      <c r="G431" s="9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</row>
    <row r="432">
      <c r="A432" s="93"/>
      <c r="B432" s="53"/>
      <c r="C432" s="93"/>
      <c r="D432" s="93"/>
      <c r="E432" s="93"/>
      <c r="F432" s="93"/>
      <c r="G432" s="9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</row>
    <row r="433">
      <c r="A433" s="93"/>
      <c r="B433" s="53"/>
      <c r="C433" s="93"/>
      <c r="D433" s="93"/>
      <c r="E433" s="93"/>
      <c r="F433" s="93"/>
      <c r="G433" s="9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</row>
    <row r="434">
      <c r="A434" s="93"/>
      <c r="B434" s="53"/>
      <c r="C434" s="93"/>
      <c r="D434" s="93"/>
      <c r="E434" s="93"/>
      <c r="F434" s="93"/>
      <c r="G434" s="9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</row>
    <row r="435">
      <c r="A435" s="93"/>
      <c r="B435" s="53"/>
      <c r="C435" s="93"/>
      <c r="D435" s="93"/>
      <c r="E435" s="93"/>
      <c r="F435" s="93"/>
      <c r="G435" s="9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</row>
    <row r="436">
      <c r="A436" s="93"/>
      <c r="B436" s="53"/>
      <c r="C436" s="93"/>
      <c r="D436" s="93"/>
      <c r="E436" s="93"/>
      <c r="F436" s="93"/>
      <c r="G436" s="9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</row>
    <row r="437">
      <c r="A437" s="93"/>
      <c r="B437" s="53"/>
      <c r="C437" s="93"/>
      <c r="D437" s="93"/>
      <c r="E437" s="93"/>
      <c r="F437" s="93"/>
      <c r="G437" s="9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</row>
    <row r="438">
      <c r="A438" s="93"/>
      <c r="B438" s="53"/>
      <c r="C438" s="93"/>
      <c r="D438" s="93"/>
      <c r="E438" s="93"/>
      <c r="F438" s="93"/>
      <c r="G438" s="9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</row>
    <row r="439">
      <c r="A439" s="93"/>
      <c r="B439" s="53"/>
      <c r="C439" s="93"/>
      <c r="D439" s="93"/>
      <c r="E439" s="93"/>
      <c r="F439" s="93"/>
      <c r="G439" s="9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</row>
    <row r="440">
      <c r="A440" s="93"/>
      <c r="B440" s="53"/>
      <c r="C440" s="93"/>
      <c r="D440" s="93"/>
      <c r="E440" s="93"/>
      <c r="F440" s="93"/>
      <c r="G440" s="9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</row>
    <row r="441">
      <c r="A441" s="93"/>
      <c r="B441" s="53"/>
      <c r="C441" s="93"/>
      <c r="D441" s="93"/>
      <c r="E441" s="93"/>
      <c r="F441" s="93"/>
      <c r="G441" s="9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</row>
    <row r="442">
      <c r="A442" s="93"/>
      <c r="B442" s="53"/>
      <c r="C442" s="93"/>
      <c r="D442" s="93"/>
      <c r="E442" s="93"/>
      <c r="F442" s="93"/>
      <c r="G442" s="9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</row>
    <row r="443">
      <c r="A443" s="93"/>
      <c r="B443" s="53"/>
      <c r="C443" s="93"/>
      <c r="D443" s="93"/>
      <c r="E443" s="93"/>
      <c r="F443" s="93"/>
      <c r="G443" s="9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</row>
    <row r="444">
      <c r="A444" s="93"/>
      <c r="B444" s="53"/>
      <c r="C444" s="93"/>
      <c r="D444" s="93"/>
      <c r="E444" s="93"/>
      <c r="F444" s="93"/>
      <c r="G444" s="9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</row>
    <row r="445">
      <c r="A445" s="93"/>
      <c r="B445" s="53"/>
      <c r="C445" s="93"/>
      <c r="D445" s="93"/>
      <c r="E445" s="93"/>
      <c r="F445" s="93"/>
      <c r="G445" s="9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</row>
    <row r="446">
      <c r="A446" s="93"/>
      <c r="B446" s="53"/>
      <c r="C446" s="93"/>
      <c r="D446" s="93"/>
      <c r="E446" s="93"/>
      <c r="F446" s="93"/>
      <c r="G446" s="9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</row>
    <row r="447">
      <c r="A447" s="93"/>
      <c r="B447" s="53"/>
      <c r="C447" s="93"/>
      <c r="D447" s="93"/>
      <c r="E447" s="93"/>
      <c r="F447" s="93"/>
      <c r="G447" s="9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</row>
    <row r="448">
      <c r="A448" s="93"/>
      <c r="B448" s="53"/>
      <c r="C448" s="93"/>
      <c r="D448" s="93"/>
      <c r="E448" s="93"/>
      <c r="F448" s="93"/>
      <c r="G448" s="9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</row>
    <row r="449">
      <c r="A449" s="93"/>
      <c r="B449" s="53"/>
      <c r="C449" s="93"/>
      <c r="D449" s="93"/>
      <c r="E449" s="93"/>
      <c r="F449" s="93"/>
      <c r="G449" s="9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</row>
    <row r="450">
      <c r="A450" s="93"/>
      <c r="B450" s="53"/>
      <c r="C450" s="93"/>
      <c r="D450" s="93"/>
      <c r="E450" s="93"/>
      <c r="F450" s="93"/>
      <c r="G450" s="9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</row>
    <row r="451">
      <c r="A451" s="93"/>
      <c r="B451" s="53"/>
      <c r="C451" s="93"/>
      <c r="D451" s="93"/>
      <c r="E451" s="93"/>
      <c r="F451" s="93"/>
      <c r="G451" s="9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</row>
    <row r="452">
      <c r="A452" s="93"/>
      <c r="B452" s="53"/>
      <c r="C452" s="93"/>
      <c r="D452" s="93"/>
      <c r="E452" s="93"/>
      <c r="F452" s="93"/>
      <c r="G452" s="9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</row>
    <row r="453">
      <c r="A453" s="93"/>
      <c r="B453" s="53"/>
      <c r="C453" s="93"/>
      <c r="D453" s="93"/>
      <c r="E453" s="93"/>
      <c r="F453" s="93"/>
      <c r="G453" s="9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</row>
    <row r="454">
      <c r="A454" s="93"/>
      <c r="B454" s="53"/>
      <c r="C454" s="93"/>
      <c r="D454" s="93"/>
      <c r="E454" s="93"/>
      <c r="F454" s="93"/>
      <c r="G454" s="9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</row>
    <row r="455">
      <c r="A455" s="93"/>
      <c r="B455" s="53"/>
      <c r="C455" s="93"/>
      <c r="D455" s="93"/>
      <c r="E455" s="93"/>
      <c r="F455" s="93"/>
      <c r="G455" s="9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</row>
    <row r="456">
      <c r="A456" s="93"/>
      <c r="B456" s="53"/>
      <c r="C456" s="93"/>
      <c r="D456" s="93"/>
      <c r="E456" s="93"/>
      <c r="F456" s="93"/>
      <c r="G456" s="9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</row>
    <row r="457">
      <c r="A457" s="93"/>
      <c r="B457" s="53"/>
      <c r="C457" s="93"/>
      <c r="D457" s="93"/>
      <c r="E457" s="93"/>
      <c r="F457" s="93"/>
      <c r="G457" s="9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</row>
    <row r="458">
      <c r="A458" s="93"/>
      <c r="B458" s="53"/>
      <c r="C458" s="93"/>
      <c r="D458" s="93"/>
      <c r="E458" s="93"/>
      <c r="F458" s="93"/>
      <c r="G458" s="9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</row>
    <row r="459">
      <c r="A459" s="93"/>
      <c r="B459" s="53"/>
      <c r="C459" s="93"/>
      <c r="D459" s="93"/>
      <c r="E459" s="93"/>
      <c r="F459" s="93"/>
      <c r="G459" s="9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</row>
    <row r="460">
      <c r="A460" s="93"/>
      <c r="B460" s="53"/>
      <c r="C460" s="93"/>
      <c r="D460" s="93"/>
      <c r="E460" s="93"/>
      <c r="F460" s="93"/>
      <c r="G460" s="9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</row>
    <row r="461">
      <c r="A461" s="93"/>
      <c r="B461" s="53"/>
      <c r="C461" s="93"/>
      <c r="D461" s="93"/>
      <c r="E461" s="93"/>
      <c r="F461" s="93"/>
      <c r="G461" s="9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</row>
    <row r="462">
      <c r="A462" s="93"/>
      <c r="B462" s="53"/>
      <c r="C462" s="93"/>
      <c r="D462" s="93"/>
      <c r="E462" s="93"/>
      <c r="F462" s="93"/>
      <c r="G462" s="9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</row>
    <row r="463">
      <c r="A463" s="93"/>
      <c r="B463" s="53"/>
      <c r="C463" s="93"/>
      <c r="D463" s="93"/>
      <c r="E463" s="93"/>
      <c r="F463" s="93"/>
      <c r="G463" s="9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</row>
    <row r="464">
      <c r="A464" s="93"/>
      <c r="B464" s="53"/>
      <c r="C464" s="93"/>
      <c r="D464" s="93"/>
      <c r="E464" s="93"/>
      <c r="F464" s="93"/>
      <c r="G464" s="9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</row>
    <row r="465">
      <c r="A465" s="93"/>
      <c r="B465" s="53"/>
      <c r="C465" s="93"/>
      <c r="D465" s="93"/>
      <c r="E465" s="93"/>
      <c r="F465" s="93"/>
      <c r="G465" s="9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</row>
    <row r="466">
      <c r="A466" s="93"/>
      <c r="B466" s="53"/>
      <c r="C466" s="93"/>
      <c r="D466" s="93"/>
      <c r="E466" s="93"/>
      <c r="F466" s="93"/>
      <c r="G466" s="9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</row>
    <row r="467">
      <c r="A467" s="93"/>
      <c r="B467" s="53"/>
      <c r="C467" s="93"/>
      <c r="D467" s="93"/>
      <c r="E467" s="93"/>
      <c r="F467" s="93"/>
      <c r="G467" s="9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</row>
    <row r="468">
      <c r="A468" s="93"/>
      <c r="B468" s="53"/>
      <c r="C468" s="93"/>
      <c r="D468" s="93"/>
      <c r="E468" s="93"/>
      <c r="F468" s="93"/>
      <c r="G468" s="9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</row>
    <row r="469">
      <c r="A469" s="93"/>
      <c r="B469" s="53"/>
      <c r="C469" s="93"/>
      <c r="D469" s="93"/>
      <c r="E469" s="93"/>
      <c r="F469" s="93"/>
      <c r="G469" s="9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</row>
    <row r="470">
      <c r="A470" s="93"/>
      <c r="B470" s="53"/>
      <c r="C470" s="93"/>
      <c r="D470" s="93"/>
      <c r="E470" s="93"/>
      <c r="F470" s="93"/>
      <c r="G470" s="9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</row>
    <row r="471">
      <c r="A471" s="93"/>
      <c r="B471" s="53"/>
      <c r="C471" s="93"/>
      <c r="D471" s="93"/>
      <c r="E471" s="93"/>
      <c r="F471" s="93"/>
      <c r="G471" s="9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</row>
    <row r="472">
      <c r="A472" s="93"/>
      <c r="B472" s="53"/>
      <c r="C472" s="93"/>
      <c r="D472" s="93"/>
      <c r="E472" s="93"/>
      <c r="F472" s="93"/>
      <c r="G472" s="9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</row>
    <row r="473">
      <c r="A473" s="93"/>
      <c r="B473" s="53"/>
      <c r="C473" s="93"/>
      <c r="D473" s="93"/>
      <c r="E473" s="93"/>
      <c r="F473" s="93"/>
      <c r="G473" s="9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</row>
    <row r="474">
      <c r="A474" s="93"/>
      <c r="B474" s="53"/>
      <c r="C474" s="93"/>
      <c r="D474" s="93"/>
      <c r="E474" s="93"/>
      <c r="F474" s="93"/>
      <c r="G474" s="9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</row>
    <row r="475">
      <c r="A475" s="93"/>
      <c r="B475" s="53"/>
      <c r="C475" s="93"/>
      <c r="D475" s="93"/>
      <c r="E475" s="93"/>
      <c r="F475" s="93"/>
      <c r="G475" s="9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</row>
    <row r="476">
      <c r="A476" s="93"/>
      <c r="B476" s="53"/>
      <c r="C476" s="93"/>
      <c r="D476" s="93"/>
      <c r="E476" s="93"/>
      <c r="F476" s="93"/>
      <c r="G476" s="9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</row>
    <row r="477">
      <c r="A477" s="93"/>
      <c r="B477" s="53"/>
      <c r="C477" s="93"/>
      <c r="D477" s="93"/>
      <c r="E477" s="93"/>
      <c r="F477" s="93"/>
      <c r="G477" s="9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</row>
    <row r="478">
      <c r="A478" s="93"/>
      <c r="B478" s="53"/>
      <c r="C478" s="93"/>
      <c r="D478" s="93"/>
      <c r="E478" s="93"/>
      <c r="F478" s="93"/>
      <c r="G478" s="9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</row>
    <row r="479">
      <c r="A479" s="93"/>
      <c r="B479" s="53"/>
      <c r="C479" s="93"/>
      <c r="D479" s="93"/>
      <c r="E479" s="93"/>
      <c r="F479" s="93"/>
      <c r="G479" s="9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</row>
    <row r="480">
      <c r="A480" s="93"/>
      <c r="B480" s="53"/>
      <c r="C480" s="93"/>
      <c r="D480" s="93"/>
      <c r="E480" s="93"/>
      <c r="F480" s="93"/>
      <c r="G480" s="9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</row>
    <row r="481">
      <c r="A481" s="93"/>
      <c r="B481" s="53"/>
      <c r="C481" s="93"/>
      <c r="D481" s="93"/>
      <c r="E481" s="93"/>
      <c r="F481" s="93"/>
      <c r="G481" s="9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</row>
    <row r="482">
      <c r="A482" s="93"/>
      <c r="B482" s="53"/>
      <c r="C482" s="93"/>
      <c r="D482" s="93"/>
      <c r="E482" s="93"/>
      <c r="F482" s="93"/>
      <c r="G482" s="9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</row>
    <row r="483">
      <c r="A483" s="93"/>
      <c r="B483" s="53"/>
      <c r="C483" s="93"/>
      <c r="D483" s="93"/>
      <c r="E483" s="93"/>
      <c r="F483" s="93"/>
      <c r="G483" s="9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</row>
    <row r="484">
      <c r="A484" s="93"/>
      <c r="B484" s="53"/>
      <c r="C484" s="93"/>
      <c r="D484" s="93"/>
      <c r="E484" s="93"/>
      <c r="F484" s="93"/>
      <c r="G484" s="9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</row>
    <row r="485">
      <c r="A485" s="93"/>
      <c r="B485" s="53"/>
      <c r="C485" s="93"/>
      <c r="D485" s="93"/>
      <c r="E485" s="93"/>
      <c r="F485" s="93"/>
      <c r="G485" s="9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</row>
    <row r="486">
      <c r="A486" s="93"/>
      <c r="B486" s="53"/>
      <c r="C486" s="93"/>
      <c r="D486" s="93"/>
      <c r="E486" s="93"/>
      <c r="F486" s="93"/>
      <c r="G486" s="9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</row>
    <row r="487">
      <c r="A487" s="93"/>
      <c r="B487" s="53"/>
      <c r="C487" s="93"/>
      <c r="D487" s="93"/>
      <c r="E487" s="93"/>
      <c r="F487" s="93"/>
      <c r="G487" s="9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</row>
    <row r="488">
      <c r="A488" s="93"/>
      <c r="B488" s="53"/>
      <c r="C488" s="93"/>
      <c r="D488" s="93"/>
      <c r="E488" s="93"/>
      <c r="F488" s="93"/>
      <c r="G488" s="9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</row>
    <row r="489">
      <c r="A489" s="93"/>
      <c r="B489" s="53"/>
      <c r="C489" s="93"/>
      <c r="D489" s="93"/>
      <c r="E489" s="93"/>
      <c r="F489" s="93"/>
      <c r="G489" s="9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</row>
    <row r="490">
      <c r="A490" s="93"/>
      <c r="B490" s="53"/>
      <c r="C490" s="93"/>
      <c r="D490" s="93"/>
      <c r="E490" s="93"/>
      <c r="F490" s="93"/>
      <c r="G490" s="9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</row>
    <row r="491">
      <c r="A491" s="93"/>
      <c r="B491" s="53"/>
      <c r="C491" s="93"/>
      <c r="D491" s="93"/>
      <c r="E491" s="93"/>
      <c r="F491" s="93"/>
      <c r="G491" s="9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</row>
    <row r="492">
      <c r="A492" s="93"/>
      <c r="B492" s="53"/>
      <c r="C492" s="93"/>
      <c r="D492" s="93"/>
      <c r="E492" s="93"/>
      <c r="F492" s="93"/>
      <c r="G492" s="9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</row>
    <row r="493">
      <c r="A493" s="93"/>
      <c r="B493" s="53"/>
      <c r="C493" s="93"/>
      <c r="D493" s="93"/>
      <c r="E493" s="93"/>
      <c r="F493" s="93"/>
      <c r="G493" s="9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</row>
    <row r="494">
      <c r="A494" s="93"/>
      <c r="B494" s="53"/>
      <c r="C494" s="93"/>
      <c r="D494" s="93"/>
      <c r="E494" s="93"/>
      <c r="F494" s="93"/>
      <c r="G494" s="9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</row>
    <row r="495">
      <c r="A495" s="93"/>
      <c r="B495" s="53"/>
      <c r="C495" s="93"/>
      <c r="D495" s="93"/>
      <c r="E495" s="93"/>
      <c r="F495" s="93"/>
      <c r="G495" s="9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</row>
    <row r="496">
      <c r="A496" s="93"/>
      <c r="B496" s="53"/>
      <c r="C496" s="93"/>
      <c r="D496" s="93"/>
      <c r="E496" s="93"/>
      <c r="F496" s="93"/>
      <c r="G496" s="9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</row>
    <row r="497">
      <c r="A497" s="93"/>
      <c r="B497" s="53"/>
      <c r="C497" s="93"/>
      <c r="D497" s="93"/>
      <c r="E497" s="93"/>
      <c r="F497" s="93"/>
      <c r="G497" s="9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</row>
    <row r="498">
      <c r="A498" s="93"/>
      <c r="B498" s="53"/>
      <c r="C498" s="93"/>
      <c r="D498" s="93"/>
      <c r="E498" s="93"/>
      <c r="F498" s="93"/>
      <c r="G498" s="9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</row>
    <row r="499">
      <c r="A499" s="93"/>
      <c r="B499" s="53"/>
      <c r="C499" s="93"/>
      <c r="D499" s="93"/>
      <c r="E499" s="93"/>
      <c r="F499" s="93"/>
      <c r="G499" s="9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</row>
    <row r="500">
      <c r="A500" s="93"/>
      <c r="B500" s="53"/>
      <c r="C500" s="93"/>
      <c r="D500" s="93"/>
      <c r="E500" s="93"/>
      <c r="F500" s="93"/>
      <c r="G500" s="9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</row>
    <row r="501">
      <c r="A501" s="93"/>
      <c r="B501" s="53"/>
      <c r="C501" s="93"/>
      <c r="D501" s="93"/>
      <c r="E501" s="93"/>
      <c r="F501" s="93"/>
      <c r="G501" s="9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</row>
    <row r="502">
      <c r="A502" s="93"/>
      <c r="B502" s="53"/>
      <c r="C502" s="93"/>
      <c r="D502" s="93"/>
      <c r="E502" s="93"/>
      <c r="F502" s="93"/>
      <c r="G502" s="9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</row>
    <row r="503">
      <c r="A503" s="93"/>
      <c r="B503" s="53"/>
      <c r="C503" s="93"/>
      <c r="D503" s="93"/>
      <c r="E503" s="93"/>
      <c r="F503" s="93"/>
      <c r="G503" s="9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</row>
    <row r="504">
      <c r="A504" s="93"/>
      <c r="B504" s="53"/>
      <c r="C504" s="93"/>
      <c r="D504" s="93"/>
      <c r="E504" s="93"/>
      <c r="F504" s="93"/>
      <c r="G504" s="9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</row>
    <row r="505">
      <c r="A505" s="93"/>
      <c r="B505" s="53"/>
      <c r="C505" s="93"/>
      <c r="D505" s="93"/>
      <c r="E505" s="93"/>
      <c r="F505" s="93"/>
      <c r="G505" s="9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</row>
    <row r="506">
      <c r="A506" s="93"/>
      <c r="B506" s="53"/>
      <c r="C506" s="93"/>
      <c r="D506" s="93"/>
      <c r="E506" s="93"/>
      <c r="F506" s="93"/>
      <c r="G506" s="9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</row>
    <row r="507">
      <c r="A507" s="93"/>
      <c r="B507" s="53"/>
      <c r="C507" s="93"/>
      <c r="D507" s="93"/>
      <c r="E507" s="93"/>
      <c r="F507" s="93"/>
      <c r="G507" s="9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</row>
    <row r="508">
      <c r="A508" s="93"/>
      <c r="B508" s="53"/>
      <c r="C508" s="93"/>
      <c r="D508" s="93"/>
      <c r="E508" s="93"/>
      <c r="F508" s="93"/>
      <c r="G508" s="9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</row>
    <row r="509">
      <c r="A509" s="93"/>
      <c r="B509" s="53"/>
      <c r="C509" s="93"/>
      <c r="D509" s="93"/>
      <c r="E509" s="93"/>
      <c r="F509" s="93"/>
      <c r="G509" s="9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</row>
    <row r="510">
      <c r="A510" s="93"/>
      <c r="B510" s="53"/>
      <c r="C510" s="93"/>
      <c r="D510" s="93"/>
      <c r="E510" s="93"/>
      <c r="F510" s="93"/>
      <c r="G510" s="9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</row>
    <row r="511">
      <c r="A511" s="93"/>
      <c r="B511" s="53"/>
      <c r="C511" s="93"/>
      <c r="D511" s="93"/>
      <c r="E511" s="93"/>
      <c r="F511" s="93"/>
      <c r="G511" s="9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</row>
    <row r="512">
      <c r="A512" s="93"/>
      <c r="B512" s="53"/>
      <c r="C512" s="93"/>
      <c r="D512" s="93"/>
      <c r="E512" s="93"/>
      <c r="F512" s="93"/>
      <c r="G512" s="9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</row>
    <row r="513">
      <c r="A513" s="93"/>
      <c r="B513" s="53"/>
      <c r="C513" s="93"/>
      <c r="D513" s="93"/>
      <c r="E513" s="93"/>
      <c r="F513" s="93"/>
      <c r="G513" s="9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</row>
    <row r="514">
      <c r="A514" s="93"/>
      <c r="B514" s="53"/>
      <c r="C514" s="93"/>
      <c r="D514" s="93"/>
      <c r="E514" s="93"/>
      <c r="F514" s="93"/>
      <c r="G514" s="9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</row>
    <row r="515">
      <c r="A515" s="93"/>
      <c r="B515" s="53"/>
      <c r="C515" s="93"/>
      <c r="D515" s="93"/>
      <c r="E515" s="93"/>
      <c r="F515" s="93"/>
      <c r="G515" s="9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</row>
    <row r="516">
      <c r="A516" s="93"/>
      <c r="B516" s="53"/>
      <c r="C516" s="93"/>
      <c r="D516" s="93"/>
      <c r="E516" s="93"/>
      <c r="F516" s="93"/>
      <c r="G516" s="9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</row>
    <row r="517">
      <c r="A517" s="93"/>
      <c r="B517" s="53"/>
      <c r="C517" s="93"/>
      <c r="D517" s="93"/>
      <c r="E517" s="93"/>
      <c r="F517" s="93"/>
      <c r="G517" s="9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</row>
    <row r="518">
      <c r="A518" s="93"/>
      <c r="B518" s="53"/>
      <c r="C518" s="93"/>
      <c r="D518" s="93"/>
      <c r="E518" s="93"/>
      <c r="F518" s="93"/>
      <c r="G518" s="9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</row>
    <row r="519">
      <c r="A519" s="93"/>
      <c r="B519" s="53"/>
      <c r="C519" s="93"/>
      <c r="D519" s="93"/>
      <c r="E519" s="93"/>
      <c r="F519" s="93"/>
      <c r="G519" s="9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</row>
    <row r="520">
      <c r="A520" s="93"/>
      <c r="B520" s="53"/>
      <c r="C520" s="93"/>
      <c r="D520" s="93"/>
      <c r="E520" s="93"/>
      <c r="F520" s="93"/>
      <c r="G520" s="9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</row>
    <row r="521">
      <c r="A521" s="93"/>
      <c r="B521" s="53"/>
      <c r="C521" s="93"/>
      <c r="D521" s="93"/>
      <c r="E521" s="93"/>
      <c r="F521" s="93"/>
      <c r="G521" s="9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</row>
    <row r="522">
      <c r="A522" s="93"/>
      <c r="B522" s="53"/>
      <c r="C522" s="93"/>
      <c r="D522" s="93"/>
      <c r="E522" s="93"/>
      <c r="F522" s="93"/>
      <c r="G522" s="9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</row>
    <row r="523">
      <c r="A523" s="93"/>
      <c r="B523" s="53"/>
      <c r="C523" s="93"/>
      <c r="D523" s="93"/>
      <c r="E523" s="93"/>
      <c r="F523" s="93"/>
      <c r="G523" s="9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</row>
    <row r="524">
      <c r="A524" s="93"/>
      <c r="B524" s="53"/>
      <c r="C524" s="93"/>
      <c r="D524" s="93"/>
      <c r="E524" s="93"/>
      <c r="F524" s="93"/>
      <c r="G524" s="9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</row>
    <row r="525">
      <c r="A525" s="93"/>
      <c r="B525" s="53"/>
      <c r="C525" s="93"/>
      <c r="D525" s="93"/>
      <c r="E525" s="93"/>
      <c r="F525" s="93"/>
      <c r="G525" s="9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</row>
    <row r="526">
      <c r="A526" s="93"/>
      <c r="B526" s="53"/>
      <c r="C526" s="93"/>
      <c r="D526" s="93"/>
      <c r="E526" s="93"/>
      <c r="F526" s="93"/>
      <c r="G526" s="9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</row>
    <row r="527">
      <c r="A527" s="93"/>
      <c r="B527" s="53"/>
      <c r="C527" s="93"/>
      <c r="D527" s="93"/>
      <c r="E527" s="93"/>
      <c r="F527" s="93"/>
      <c r="G527" s="9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</row>
    <row r="528">
      <c r="A528" s="93"/>
      <c r="B528" s="53"/>
      <c r="C528" s="93"/>
      <c r="D528" s="93"/>
      <c r="E528" s="93"/>
      <c r="F528" s="93"/>
      <c r="G528" s="9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</row>
    <row r="529">
      <c r="A529" s="93"/>
      <c r="B529" s="53"/>
      <c r="C529" s="93"/>
      <c r="D529" s="93"/>
      <c r="E529" s="93"/>
      <c r="F529" s="93"/>
      <c r="G529" s="9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</row>
    <row r="530">
      <c r="A530" s="93"/>
      <c r="B530" s="53"/>
      <c r="C530" s="93"/>
      <c r="D530" s="93"/>
      <c r="E530" s="93"/>
      <c r="F530" s="93"/>
      <c r="G530" s="9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</row>
    <row r="531">
      <c r="A531" s="93"/>
      <c r="B531" s="53"/>
      <c r="C531" s="93"/>
      <c r="D531" s="93"/>
      <c r="E531" s="93"/>
      <c r="F531" s="93"/>
      <c r="G531" s="9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</row>
    <row r="532">
      <c r="A532" s="93"/>
      <c r="B532" s="53"/>
      <c r="C532" s="93"/>
      <c r="D532" s="93"/>
      <c r="E532" s="93"/>
      <c r="F532" s="93"/>
      <c r="G532" s="9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</row>
    <row r="533">
      <c r="A533" s="93"/>
      <c r="B533" s="53"/>
      <c r="C533" s="93"/>
      <c r="D533" s="93"/>
      <c r="E533" s="93"/>
      <c r="F533" s="93"/>
      <c r="G533" s="9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</row>
    <row r="534">
      <c r="A534" s="93"/>
      <c r="B534" s="53"/>
      <c r="C534" s="93"/>
      <c r="D534" s="93"/>
      <c r="E534" s="93"/>
      <c r="F534" s="93"/>
      <c r="G534" s="9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</row>
    <row r="535">
      <c r="A535" s="93"/>
      <c r="B535" s="53"/>
      <c r="C535" s="93"/>
      <c r="D535" s="93"/>
      <c r="E535" s="93"/>
      <c r="F535" s="93"/>
      <c r="G535" s="9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</row>
    <row r="536">
      <c r="A536" s="93"/>
      <c r="B536" s="53"/>
      <c r="C536" s="93"/>
      <c r="D536" s="93"/>
      <c r="E536" s="93"/>
      <c r="F536" s="93"/>
      <c r="G536" s="9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</row>
    <row r="537">
      <c r="A537" s="93"/>
      <c r="B537" s="53"/>
      <c r="C537" s="93"/>
      <c r="D537" s="93"/>
      <c r="E537" s="93"/>
      <c r="F537" s="93"/>
      <c r="G537" s="9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</row>
    <row r="538">
      <c r="A538" s="93"/>
      <c r="B538" s="53"/>
      <c r="C538" s="93"/>
      <c r="D538" s="93"/>
      <c r="E538" s="93"/>
      <c r="F538" s="93"/>
      <c r="G538" s="9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</row>
    <row r="539">
      <c r="A539" s="93"/>
      <c r="B539" s="53"/>
      <c r="C539" s="93"/>
      <c r="D539" s="93"/>
      <c r="E539" s="93"/>
      <c r="F539" s="93"/>
      <c r="G539" s="9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</row>
    <row r="540">
      <c r="A540" s="93"/>
      <c r="B540" s="53"/>
      <c r="C540" s="93"/>
      <c r="D540" s="93"/>
      <c r="E540" s="93"/>
      <c r="F540" s="93"/>
      <c r="G540" s="9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</row>
    <row r="541">
      <c r="A541" s="93"/>
      <c r="B541" s="53"/>
      <c r="C541" s="93"/>
      <c r="D541" s="93"/>
      <c r="E541" s="93"/>
      <c r="F541" s="93"/>
      <c r="G541" s="9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</row>
    <row r="542">
      <c r="A542" s="93"/>
      <c r="B542" s="53"/>
      <c r="C542" s="93"/>
      <c r="D542" s="93"/>
      <c r="E542" s="93"/>
      <c r="F542" s="93"/>
      <c r="G542" s="9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</row>
    <row r="543">
      <c r="A543" s="93"/>
      <c r="B543" s="53"/>
      <c r="C543" s="93"/>
      <c r="D543" s="93"/>
      <c r="E543" s="93"/>
      <c r="F543" s="93"/>
      <c r="G543" s="9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</row>
    <row r="544">
      <c r="A544" s="93"/>
      <c r="B544" s="53"/>
      <c r="C544" s="93"/>
      <c r="D544" s="93"/>
      <c r="E544" s="93"/>
      <c r="F544" s="93"/>
      <c r="G544" s="9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</row>
    <row r="545">
      <c r="A545" s="93"/>
      <c r="B545" s="53"/>
      <c r="C545" s="93"/>
      <c r="D545" s="93"/>
      <c r="E545" s="93"/>
      <c r="F545" s="93"/>
      <c r="G545" s="9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</row>
    <row r="546">
      <c r="A546" s="93"/>
      <c r="B546" s="53"/>
      <c r="C546" s="93"/>
      <c r="D546" s="93"/>
      <c r="E546" s="93"/>
      <c r="F546" s="93"/>
      <c r="G546" s="9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</row>
    <row r="547">
      <c r="A547" s="93"/>
      <c r="B547" s="53"/>
      <c r="C547" s="93"/>
      <c r="D547" s="93"/>
      <c r="E547" s="93"/>
      <c r="F547" s="93"/>
      <c r="G547" s="9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</row>
    <row r="548">
      <c r="A548" s="93"/>
      <c r="B548" s="53"/>
      <c r="C548" s="93"/>
      <c r="D548" s="93"/>
      <c r="E548" s="93"/>
      <c r="F548" s="93"/>
      <c r="G548" s="9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</row>
    <row r="549">
      <c r="A549" s="93"/>
      <c r="B549" s="53"/>
      <c r="C549" s="93"/>
      <c r="D549" s="93"/>
      <c r="E549" s="93"/>
      <c r="F549" s="93"/>
      <c r="G549" s="9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</row>
    <row r="550">
      <c r="A550" s="93"/>
      <c r="B550" s="53"/>
      <c r="C550" s="93"/>
      <c r="D550" s="93"/>
      <c r="E550" s="93"/>
      <c r="F550" s="93"/>
      <c r="G550" s="9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</row>
    <row r="551">
      <c r="A551" s="93"/>
      <c r="B551" s="53"/>
      <c r="C551" s="93"/>
      <c r="D551" s="93"/>
      <c r="E551" s="93"/>
      <c r="F551" s="93"/>
      <c r="G551" s="9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</row>
    <row r="552">
      <c r="A552" s="93"/>
      <c r="B552" s="53"/>
      <c r="C552" s="93"/>
      <c r="D552" s="93"/>
      <c r="E552" s="93"/>
      <c r="F552" s="93"/>
      <c r="G552" s="9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</row>
    <row r="553">
      <c r="A553" s="93"/>
      <c r="B553" s="53"/>
      <c r="C553" s="93"/>
      <c r="D553" s="93"/>
      <c r="E553" s="93"/>
      <c r="F553" s="93"/>
      <c r="G553" s="9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</row>
    <row r="554">
      <c r="A554" s="93"/>
      <c r="B554" s="53"/>
      <c r="C554" s="93"/>
      <c r="D554" s="93"/>
      <c r="E554" s="93"/>
      <c r="F554" s="93"/>
      <c r="G554" s="9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</row>
    <row r="555">
      <c r="A555" s="93"/>
      <c r="B555" s="53"/>
      <c r="C555" s="93"/>
      <c r="D555" s="93"/>
      <c r="E555" s="93"/>
      <c r="F555" s="93"/>
      <c r="G555" s="9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</row>
    <row r="556">
      <c r="A556" s="93"/>
      <c r="B556" s="53"/>
      <c r="C556" s="93"/>
      <c r="D556" s="93"/>
      <c r="E556" s="93"/>
      <c r="F556" s="93"/>
      <c r="G556" s="9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</row>
    <row r="557">
      <c r="A557" s="93"/>
      <c r="B557" s="53"/>
      <c r="C557" s="93"/>
      <c r="D557" s="93"/>
      <c r="E557" s="93"/>
      <c r="F557" s="93"/>
      <c r="G557" s="9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</row>
    <row r="558">
      <c r="A558" s="93"/>
      <c r="B558" s="53"/>
      <c r="C558" s="93"/>
      <c r="D558" s="93"/>
      <c r="E558" s="93"/>
      <c r="F558" s="93"/>
      <c r="G558" s="9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</row>
    <row r="559">
      <c r="A559" s="93"/>
      <c r="B559" s="53"/>
      <c r="C559" s="93"/>
      <c r="D559" s="93"/>
      <c r="E559" s="93"/>
      <c r="F559" s="93"/>
      <c r="G559" s="9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</row>
    <row r="560">
      <c r="A560" s="93"/>
      <c r="B560" s="53"/>
      <c r="C560" s="93"/>
      <c r="D560" s="93"/>
      <c r="E560" s="93"/>
      <c r="F560" s="93"/>
      <c r="G560" s="9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</row>
    <row r="561">
      <c r="A561" s="93"/>
      <c r="B561" s="53"/>
      <c r="C561" s="93"/>
      <c r="D561" s="93"/>
      <c r="E561" s="93"/>
      <c r="F561" s="93"/>
      <c r="G561" s="9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</row>
    <row r="562">
      <c r="A562" s="93"/>
      <c r="B562" s="53"/>
      <c r="C562" s="93"/>
      <c r="D562" s="93"/>
      <c r="E562" s="93"/>
      <c r="F562" s="93"/>
      <c r="G562" s="9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</row>
    <row r="563">
      <c r="A563" s="93"/>
      <c r="B563" s="53"/>
      <c r="C563" s="93"/>
      <c r="D563" s="93"/>
      <c r="E563" s="93"/>
      <c r="F563" s="93"/>
      <c r="G563" s="9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</row>
    <row r="564">
      <c r="A564" s="93"/>
      <c r="B564" s="53"/>
      <c r="C564" s="93"/>
      <c r="D564" s="93"/>
      <c r="E564" s="93"/>
      <c r="F564" s="93"/>
      <c r="G564" s="9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</row>
    <row r="565">
      <c r="A565" s="93"/>
      <c r="B565" s="53"/>
      <c r="C565" s="93"/>
      <c r="D565" s="93"/>
      <c r="E565" s="93"/>
      <c r="F565" s="93"/>
      <c r="G565" s="9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</row>
    <row r="566">
      <c r="A566" s="93"/>
      <c r="B566" s="53"/>
      <c r="C566" s="93"/>
      <c r="D566" s="93"/>
      <c r="E566" s="93"/>
      <c r="F566" s="93"/>
      <c r="G566" s="9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</row>
    <row r="567">
      <c r="A567" s="93"/>
      <c r="B567" s="53"/>
      <c r="C567" s="93"/>
      <c r="D567" s="93"/>
      <c r="E567" s="93"/>
      <c r="F567" s="93"/>
      <c r="G567" s="9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</row>
    <row r="568">
      <c r="A568" s="93"/>
      <c r="B568" s="53"/>
      <c r="C568" s="93"/>
      <c r="D568" s="93"/>
      <c r="E568" s="93"/>
      <c r="F568" s="93"/>
      <c r="G568" s="9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</row>
    <row r="569">
      <c r="A569" s="93"/>
      <c r="B569" s="53"/>
      <c r="C569" s="93"/>
      <c r="D569" s="93"/>
      <c r="E569" s="93"/>
      <c r="F569" s="93"/>
      <c r="G569" s="9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</row>
    <row r="570">
      <c r="A570" s="93"/>
      <c r="B570" s="53"/>
      <c r="C570" s="93"/>
      <c r="D570" s="93"/>
      <c r="E570" s="93"/>
      <c r="F570" s="93"/>
      <c r="G570" s="9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</row>
    <row r="571">
      <c r="A571" s="93"/>
      <c r="B571" s="53"/>
      <c r="C571" s="93"/>
      <c r="D571" s="93"/>
      <c r="E571" s="93"/>
      <c r="F571" s="93"/>
      <c r="G571" s="9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</row>
    <row r="572">
      <c r="A572" s="93"/>
      <c r="B572" s="53"/>
      <c r="C572" s="93"/>
      <c r="D572" s="93"/>
      <c r="E572" s="93"/>
      <c r="F572" s="93"/>
      <c r="G572" s="9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</row>
    <row r="573">
      <c r="A573" s="93"/>
      <c r="B573" s="53"/>
      <c r="C573" s="93"/>
      <c r="D573" s="93"/>
      <c r="E573" s="93"/>
      <c r="F573" s="93"/>
      <c r="G573" s="9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</row>
    <row r="574">
      <c r="A574" s="93"/>
      <c r="B574" s="53"/>
      <c r="C574" s="93"/>
      <c r="D574" s="93"/>
      <c r="E574" s="93"/>
      <c r="F574" s="93"/>
      <c r="G574" s="9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</row>
    <row r="575">
      <c r="A575" s="93"/>
      <c r="B575" s="53"/>
      <c r="C575" s="93"/>
      <c r="D575" s="93"/>
      <c r="E575" s="93"/>
      <c r="F575" s="93"/>
      <c r="G575" s="9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</row>
    <row r="576">
      <c r="A576" s="93"/>
      <c r="B576" s="53"/>
      <c r="C576" s="93"/>
      <c r="D576" s="93"/>
      <c r="E576" s="93"/>
      <c r="F576" s="93"/>
      <c r="G576" s="9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</row>
    <row r="577">
      <c r="A577" s="93"/>
      <c r="B577" s="53"/>
      <c r="C577" s="93"/>
      <c r="D577" s="93"/>
      <c r="E577" s="93"/>
      <c r="F577" s="93"/>
      <c r="G577" s="9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</row>
    <row r="578">
      <c r="A578" s="93"/>
      <c r="B578" s="53"/>
      <c r="C578" s="93"/>
      <c r="D578" s="93"/>
      <c r="E578" s="93"/>
      <c r="F578" s="93"/>
      <c r="G578" s="9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</row>
    <row r="579">
      <c r="A579" s="93"/>
      <c r="B579" s="53"/>
      <c r="C579" s="93"/>
      <c r="D579" s="93"/>
      <c r="E579" s="93"/>
      <c r="F579" s="93"/>
      <c r="G579" s="9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</row>
    <row r="580">
      <c r="A580" s="93"/>
      <c r="B580" s="53"/>
      <c r="C580" s="93"/>
      <c r="D580" s="93"/>
      <c r="E580" s="93"/>
      <c r="F580" s="93"/>
      <c r="G580" s="9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</row>
    <row r="581">
      <c r="A581" s="93"/>
      <c r="B581" s="53"/>
      <c r="C581" s="93"/>
      <c r="D581" s="93"/>
      <c r="E581" s="93"/>
      <c r="F581" s="93"/>
      <c r="G581" s="9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</row>
    <row r="582">
      <c r="A582" s="93"/>
      <c r="B582" s="53"/>
      <c r="C582" s="93"/>
      <c r="D582" s="93"/>
      <c r="E582" s="93"/>
      <c r="F582" s="93"/>
      <c r="G582" s="9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</row>
    <row r="583">
      <c r="A583" s="93"/>
      <c r="B583" s="53"/>
      <c r="C583" s="93"/>
      <c r="D583" s="93"/>
      <c r="E583" s="93"/>
      <c r="F583" s="93"/>
      <c r="G583" s="9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</row>
    <row r="584">
      <c r="A584" s="93"/>
      <c r="B584" s="53"/>
      <c r="C584" s="93"/>
      <c r="D584" s="93"/>
      <c r="E584" s="93"/>
      <c r="F584" s="93"/>
      <c r="G584" s="9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</row>
    <row r="585">
      <c r="A585" s="93"/>
      <c r="B585" s="53"/>
      <c r="C585" s="93"/>
      <c r="D585" s="93"/>
      <c r="E585" s="93"/>
      <c r="F585" s="93"/>
      <c r="G585" s="9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</row>
    <row r="586">
      <c r="A586" s="93"/>
      <c r="B586" s="53"/>
      <c r="C586" s="93"/>
      <c r="D586" s="93"/>
      <c r="E586" s="93"/>
      <c r="F586" s="93"/>
      <c r="G586" s="9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</row>
    <row r="587">
      <c r="A587" s="93"/>
      <c r="B587" s="53"/>
      <c r="C587" s="93"/>
      <c r="D587" s="93"/>
      <c r="E587" s="93"/>
      <c r="F587" s="93"/>
      <c r="G587" s="9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</row>
    <row r="588">
      <c r="A588" s="93"/>
      <c r="B588" s="53"/>
      <c r="C588" s="93"/>
      <c r="D588" s="93"/>
      <c r="E588" s="93"/>
      <c r="F588" s="93"/>
      <c r="G588" s="9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</row>
    <row r="589">
      <c r="A589" s="93"/>
      <c r="B589" s="53"/>
      <c r="C589" s="93"/>
      <c r="D589" s="93"/>
      <c r="E589" s="93"/>
      <c r="F589" s="93"/>
      <c r="G589" s="9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</row>
    <row r="590">
      <c r="A590" s="93"/>
      <c r="B590" s="53"/>
      <c r="C590" s="93"/>
      <c r="D590" s="93"/>
      <c r="E590" s="93"/>
      <c r="F590" s="93"/>
      <c r="G590" s="9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</row>
    <row r="591">
      <c r="A591" s="93"/>
      <c r="B591" s="53"/>
      <c r="C591" s="93"/>
      <c r="D591" s="93"/>
      <c r="E591" s="93"/>
      <c r="F591" s="93"/>
      <c r="G591" s="9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</row>
    <row r="592">
      <c r="A592" s="93"/>
      <c r="B592" s="53"/>
      <c r="C592" s="93"/>
      <c r="D592" s="93"/>
      <c r="E592" s="93"/>
      <c r="F592" s="93"/>
      <c r="G592" s="9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</row>
    <row r="593">
      <c r="A593" s="93"/>
      <c r="B593" s="53"/>
      <c r="C593" s="93"/>
      <c r="D593" s="93"/>
      <c r="E593" s="93"/>
      <c r="F593" s="93"/>
      <c r="G593" s="9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</row>
    <row r="594">
      <c r="A594" s="93"/>
      <c r="B594" s="53"/>
      <c r="C594" s="93"/>
      <c r="D594" s="93"/>
      <c r="E594" s="93"/>
      <c r="F594" s="93"/>
      <c r="G594" s="9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</row>
    <row r="595">
      <c r="A595" s="93"/>
      <c r="B595" s="53"/>
      <c r="C595" s="93"/>
      <c r="D595" s="93"/>
      <c r="E595" s="93"/>
      <c r="F595" s="93"/>
      <c r="G595" s="9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</row>
    <row r="596">
      <c r="A596" s="93"/>
      <c r="B596" s="53"/>
      <c r="C596" s="93"/>
      <c r="D596" s="93"/>
      <c r="E596" s="93"/>
      <c r="F596" s="93"/>
      <c r="G596" s="9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</row>
    <row r="597">
      <c r="A597" s="93"/>
      <c r="B597" s="53"/>
      <c r="C597" s="93"/>
      <c r="D597" s="93"/>
      <c r="E597" s="93"/>
      <c r="F597" s="93"/>
      <c r="G597" s="9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</row>
    <row r="598">
      <c r="A598" s="93"/>
      <c r="B598" s="53"/>
      <c r="C598" s="93"/>
      <c r="D598" s="93"/>
      <c r="E598" s="93"/>
      <c r="F598" s="93"/>
      <c r="G598" s="9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</row>
    <row r="599">
      <c r="A599" s="93"/>
      <c r="B599" s="53"/>
      <c r="C599" s="93"/>
      <c r="D599" s="93"/>
      <c r="E599" s="93"/>
      <c r="F599" s="93"/>
      <c r="G599" s="9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</row>
    <row r="600">
      <c r="A600" s="93"/>
      <c r="B600" s="53"/>
      <c r="C600" s="93"/>
      <c r="D600" s="93"/>
      <c r="E600" s="93"/>
      <c r="F600" s="93"/>
      <c r="G600" s="9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</row>
    <row r="601">
      <c r="A601" s="93"/>
      <c r="B601" s="53"/>
      <c r="C601" s="93"/>
      <c r="D601" s="93"/>
      <c r="E601" s="93"/>
      <c r="F601" s="93"/>
      <c r="G601" s="9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</row>
    <row r="602">
      <c r="A602" s="93"/>
      <c r="B602" s="53"/>
      <c r="C602" s="93"/>
      <c r="D602" s="93"/>
      <c r="E602" s="93"/>
      <c r="F602" s="93"/>
      <c r="G602" s="9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</row>
    <row r="603">
      <c r="A603" s="93"/>
      <c r="B603" s="53"/>
      <c r="C603" s="93"/>
      <c r="D603" s="93"/>
      <c r="E603" s="93"/>
      <c r="F603" s="93"/>
      <c r="G603" s="9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</row>
    <row r="604">
      <c r="A604" s="93"/>
      <c r="B604" s="53"/>
      <c r="C604" s="93"/>
      <c r="D604" s="93"/>
      <c r="E604" s="93"/>
      <c r="F604" s="93"/>
      <c r="G604" s="9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</row>
    <row r="605">
      <c r="A605" s="93"/>
      <c r="B605" s="53"/>
      <c r="C605" s="93"/>
      <c r="D605" s="93"/>
      <c r="E605" s="93"/>
      <c r="F605" s="93"/>
      <c r="G605" s="9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</row>
    <row r="606">
      <c r="A606" s="93"/>
      <c r="B606" s="53"/>
      <c r="C606" s="93"/>
      <c r="D606" s="93"/>
      <c r="E606" s="93"/>
      <c r="F606" s="93"/>
      <c r="G606" s="9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</row>
    <row r="607">
      <c r="A607" s="93"/>
      <c r="B607" s="53"/>
      <c r="C607" s="93"/>
      <c r="D607" s="93"/>
      <c r="E607" s="93"/>
      <c r="F607" s="93"/>
      <c r="G607" s="9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</row>
    <row r="608">
      <c r="A608" s="93"/>
      <c r="B608" s="53"/>
      <c r="C608" s="93"/>
      <c r="D608" s="93"/>
      <c r="E608" s="93"/>
      <c r="F608" s="93"/>
      <c r="G608" s="9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</row>
    <row r="609">
      <c r="A609" s="93"/>
      <c r="B609" s="53"/>
      <c r="C609" s="93"/>
      <c r="D609" s="93"/>
      <c r="E609" s="93"/>
      <c r="F609" s="93"/>
      <c r="G609" s="9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</row>
    <row r="610">
      <c r="A610" s="93"/>
      <c r="B610" s="53"/>
      <c r="C610" s="93"/>
      <c r="D610" s="93"/>
      <c r="E610" s="93"/>
      <c r="F610" s="93"/>
      <c r="G610" s="9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</row>
    <row r="611">
      <c r="A611" s="93"/>
      <c r="B611" s="53"/>
      <c r="C611" s="93"/>
      <c r="D611" s="93"/>
      <c r="E611" s="93"/>
      <c r="F611" s="93"/>
      <c r="G611" s="9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</row>
    <row r="612">
      <c r="A612" s="93"/>
      <c r="B612" s="53"/>
      <c r="C612" s="93"/>
      <c r="D612" s="93"/>
      <c r="E612" s="93"/>
      <c r="F612" s="93"/>
      <c r="G612" s="9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</row>
    <row r="613">
      <c r="A613" s="93"/>
      <c r="B613" s="53"/>
      <c r="C613" s="93"/>
      <c r="D613" s="93"/>
      <c r="E613" s="93"/>
      <c r="F613" s="93"/>
      <c r="G613" s="9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</row>
    <row r="614">
      <c r="A614" s="93"/>
      <c r="B614" s="53"/>
      <c r="C614" s="93"/>
      <c r="D614" s="93"/>
      <c r="E614" s="93"/>
      <c r="F614" s="93"/>
      <c r="G614" s="9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</row>
    <row r="615">
      <c r="A615" s="93"/>
      <c r="B615" s="53"/>
      <c r="C615" s="93"/>
      <c r="D615" s="93"/>
      <c r="E615" s="93"/>
      <c r="F615" s="93"/>
      <c r="G615" s="9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</row>
    <row r="616">
      <c r="A616" s="93"/>
      <c r="B616" s="53"/>
      <c r="C616" s="93"/>
      <c r="D616" s="93"/>
      <c r="E616" s="93"/>
      <c r="F616" s="93"/>
      <c r="G616" s="9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</row>
    <row r="617">
      <c r="A617" s="93"/>
      <c r="B617" s="53"/>
      <c r="C617" s="93"/>
      <c r="D617" s="93"/>
      <c r="E617" s="93"/>
      <c r="F617" s="93"/>
      <c r="G617" s="9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</row>
    <row r="618">
      <c r="A618" s="93"/>
      <c r="B618" s="53"/>
      <c r="C618" s="93"/>
      <c r="D618" s="93"/>
      <c r="E618" s="93"/>
      <c r="F618" s="93"/>
      <c r="G618" s="9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</row>
    <row r="619">
      <c r="A619" s="93"/>
      <c r="B619" s="53"/>
      <c r="C619" s="93"/>
      <c r="D619" s="93"/>
      <c r="E619" s="93"/>
      <c r="F619" s="93"/>
      <c r="G619" s="9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</row>
    <row r="620">
      <c r="A620" s="93"/>
      <c r="B620" s="53"/>
      <c r="C620" s="93"/>
      <c r="D620" s="93"/>
      <c r="E620" s="93"/>
      <c r="F620" s="93"/>
      <c r="G620" s="9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</row>
    <row r="621">
      <c r="A621" s="93"/>
      <c r="B621" s="53"/>
      <c r="C621" s="93"/>
      <c r="D621" s="93"/>
      <c r="E621" s="93"/>
      <c r="F621" s="93"/>
      <c r="G621" s="9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</row>
    <row r="622">
      <c r="A622" s="93"/>
      <c r="B622" s="53"/>
      <c r="C622" s="93"/>
      <c r="D622" s="93"/>
      <c r="E622" s="93"/>
      <c r="F622" s="93"/>
      <c r="G622" s="9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</row>
    <row r="623">
      <c r="A623" s="93"/>
      <c r="B623" s="53"/>
      <c r="C623" s="93"/>
      <c r="D623" s="93"/>
      <c r="E623" s="93"/>
      <c r="F623" s="93"/>
      <c r="G623" s="9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</row>
    <row r="624">
      <c r="A624" s="93"/>
      <c r="B624" s="53"/>
      <c r="C624" s="93"/>
      <c r="D624" s="93"/>
      <c r="E624" s="93"/>
      <c r="F624" s="93"/>
      <c r="G624" s="9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</row>
    <row r="625">
      <c r="A625" s="93"/>
      <c r="B625" s="53"/>
      <c r="C625" s="93"/>
      <c r="D625" s="93"/>
      <c r="E625" s="93"/>
      <c r="F625" s="93"/>
      <c r="G625" s="9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</row>
    <row r="626">
      <c r="A626" s="93"/>
      <c r="B626" s="53"/>
      <c r="C626" s="93"/>
      <c r="D626" s="93"/>
      <c r="E626" s="93"/>
      <c r="F626" s="93"/>
      <c r="G626" s="9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</row>
    <row r="627">
      <c r="A627" s="93"/>
      <c r="B627" s="53"/>
      <c r="C627" s="93"/>
      <c r="D627" s="93"/>
      <c r="E627" s="93"/>
      <c r="F627" s="93"/>
      <c r="G627" s="9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</row>
    <row r="628">
      <c r="A628" s="93"/>
      <c r="B628" s="53"/>
      <c r="C628" s="93"/>
      <c r="D628" s="93"/>
      <c r="E628" s="93"/>
      <c r="F628" s="93"/>
      <c r="G628" s="9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</row>
    <row r="629">
      <c r="A629" s="93"/>
      <c r="B629" s="53"/>
      <c r="C629" s="93"/>
      <c r="D629" s="93"/>
      <c r="E629" s="93"/>
      <c r="F629" s="93"/>
      <c r="G629" s="9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</row>
    <row r="630">
      <c r="A630" s="93"/>
      <c r="B630" s="53"/>
      <c r="C630" s="93"/>
      <c r="D630" s="93"/>
      <c r="E630" s="93"/>
      <c r="F630" s="93"/>
      <c r="G630" s="9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</row>
    <row r="631">
      <c r="A631" s="93"/>
      <c r="B631" s="53"/>
      <c r="C631" s="93"/>
      <c r="D631" s="93"/>
      <c r="E631" s="93"/>
      <c r="F631" s="93"/>
      <c r="G631" s="9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</row>
    <row r="632">
      <c r="A632" s="93"/>
      <c r="B632" s="53"/>
      <c r="C632" s="93"/>
      <c r="D632" s="93"/>
      <c r="E632" s="93"/>
      <c r="F632" s="93"/>
      <c r="G632" s="9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</row>
    <row r="633">
      <c r="A633" s="93"/>
      <c r="B633" s="53"/>
      <c r="C633" s="93"/>
      <c r="D633" s="93"/>
      <c r="E633" s="93"/>
      <c r="F633" s="93"/>
      <c r="G633" s="9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</row>
    <row r="634">
      <c r="A634" s="93"/>
      <c r="B634" s="53"/>
      <c r="C634" s="93"/>
      <c r="D634" s="93"/>
      <c r="E634" s="93"/>
      <c r="F634" s="93"/>
      <c r="G634" s="9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</row>
    <row r="635">
      <c r="A635" s="93"/>
      <c r="B635" s="53"/>
      <c r="C635" s="93"/>
      <c r="D635" s="93"/>
      <c r="E635" s="93"/>
      <c r="F635" s="93"/>
      <c r="G635" s="9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</row>
    <row r="636">
      <c r="A636" s="93"/>
      <c r="B636" s="53"/>
      <c r="C636" s="93"/>
      <c r="D636" s="93"/>
      <c r="E636" s="93"/>
      <c r="F636" s="93"/>
      <c r="G636" s="9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</row>
    <row r="637">
      <c r="A637" s="93"/>
      <c r="B637" s="53"/>
      <c r="C637" s="93"/>
      <c r="D637" s="93"/>
      <c r="E637" s="93"/>
      <c r="F637" s="93"/>
      <c r="G637" s="9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</row>
    <row r="638">
      <c r="A638" s="93"/>
      <c r="B638" s="53"/>
      <c r="C638" s="93"/>
      <c r="D638" s="93"/>
      <c r="E638" s="93"/>
      <c r="F638" s="93"/>
      <c r="G638" s="9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</row>
    <row r="639">
      <c r="A639" s="93"/>
      <c r="B639" s="53"/>
      <c r="C639" s="93"/>
      <c r="D639" s="93"/>
      <c r="E639" s="93"/>
      <c r="F639" s="93"/>
      <c r="G639" s="9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</row>
    <row r="640">
      <c r="A640" s="93"/>
      <c r="B640" s="53"/>
      <c r="C640" s="93"/>
      <c r="D640" s="93"/>
      <c r="E640" s="93"/>
      <c r="F640" s="93"/>
      <c r="G640" s="9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</row>
    <row r="641">
      <c r="A641" s="93"/>
      <c r="B641" s="53"/>
      <c r="C641" s="93"/>
      <c r="D641" s="93"/>
      <c r="E641" s="93"/>
      <c r="F641" s="93"/>
      <c r="G641" s="9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</row>
    <row r="642">
      <c r="A642" s="93"/>
      <c r="B642" s="53"/>
      <c r="C642" s="93"/>
      <c r="D642" s="93"/>
      <c r="E642" s="93"/>
      <c r="F642" s="93"/>
      <c r="G642" s="9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</row>
    <row r="643">
      <c r="A643" s="93"/>
      <c r="B643" s="53"/>
      <c r="C643" s="93"/>
      <c r="D643" s="93"/>
      <c r="E643" s="93"/>
      <c r="F643" s="93"/>
      <c r="G643" s="9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</row>
    <row r="644">
      <c r="A644" s="93"/>
      <c r="B644" s="53"/>
      <c r="C644" s="93"/>
      <c r="D644" s="93"/>
      <c r="E644" s="93"/>
      <c r="F644" s="93"/>
      <c r="G644" s="9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</row>
    <row r="645">
      <c r="A645" s="93"/>
      <c r="B645" s="53"/>
      <c r="C645" s="93"/>
      <c r="D645" s="93"/>
      <c r="E645" s="93"/>
      <c r="F645" s="93"/>
      <c r="G645" s="9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</row>
    <row r="646">
      <c r="A646" s="93"/>
      <c r="B646" s="53"/>
      <c r="C646" s="93"/>
      <c r="D646" s="93"/>
      <c r="E646" s="93"/>
      <c r="F646" s="93"/>
      <c r="G646" s="9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</row>
    <row r="647">
      <c r="A647" s="93"/>
      <c r="B647" s="53"/>
      <c r="C647" s="93"/>
      <c r="D647" s="93"/>
      <c r="E647" s="93"/>
      <c r="F647" s="93"/>
      <c r="G647" s="9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</row>
    <row r="648">
      <c r="A648" s="93"/>
      <c r="B648" s="53"/>
      <c r="C648" s="93"/>
      <c r="D648" s="93"/>
      <c r="E648" s="93"/>
      <c r="F648" s="93"/>
      <c r="G648" s="9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</row>
    <row r="649">
      <c r="A649" s="93"/>
      <c r="B649" s="53"/>
      <c r="C649" s="93"/>
      <c r="D649" s="93"/>
      <c r="E649" s="93"/>
      <c r="F649" s="93"/>
      <c r="G649" s="9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</row>
    <row r="650">
      <c r="A650" s="93"/>
      <c r="B650" s="53"/>
      <c r="C650" s="93"/>
      <c r="D650" s="93"/>
      <c r="E650" s="93"/>
      <c r="F650" s="93"/>
      <c r="G650" s="9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</row>
    <row r="651">
      <c r="A651" s="93"/>
      <c r="B651" s="53"/>
      <c r="C651" s="93"/>
      <c r="D651" s="93"/>
      <c r="E651" s="93"/>
      <c r="F651" s="93"/>
      <c r="G651" s="9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</row>
    <row r="652">
      <c r="A652" s="93"/>
      <c r="B652" s="53"/>
      <c r="C652" s="93"/>
      <c r="D652" s="93"/>
      <c r="E652" s="93"/>
      <c r="F652" s="93"/>
      <c r="G652" s="9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</row>
    <row r="653">
      <c r="A653" s="93"/>
      <c r="B653" s="53"/>
      <c r="C653" s="93"/>
      <c r="D653" s="93"/>
      <c r="E653" s="93"/>
      <c r="F653" s="93"/>
      <c r="G653" s="9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</row>
    <row r="654">
      <c r="A654" s="93"/>
      <c r="B654" s="53"/>
      <c r="C654" s="93"/>
      <c r="D654" s="93"/>
      <c r="E654" s="93"/>
      <c r="F654" s="93"/>
      <c r="G654" s="9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</row>
    <row r="655">
      <c r="A655" s="93"/>
      <c r="B655" s="53"/>
      <c r="C655" s="93"/>
      <c r="D655" s="93"/>
      <c r="E655" s="93"/>
      <c r="F655" s="93"/>
      <c r="G655" s="9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</row>
    <row r="656">
      <c r="A656" s="93"/>
      <c r="B656" s="53"/>
      <c r="C656" s="93"/>
      <c r="D656" s="93"/>
      <c r="E656" s="93"/>
      <c r="F656" s="93"/>
      <c r="G656" s="9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</row>
    <row r="657">
      <c r="A657" s="93"/>
      <c r="B657" s="53"/>
      <c r="C657" s="93"/>
      <c r="D657" s="93"/>
      <c r="E657" s="93"/>
      <c r="F657" s="93"/>
      <c r="G657" s="9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</row>
    <row r="658">
      <c r="A658" s="93"/>
      <c r="B658" s="53"/>
      <c r="C658" s="93"/>
      <c r="D658" s="93"/>
      <c r="E658" s="93"/>
      <c r="F658" s="93"/>
      <c r="G658" s="9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</row>
    <row r="659">
      <c r="A659" s="93"/>
      <c r="B659" s="53"/>
      <c r="C659" s="93"/>
      <c r="D659" s="93"/>
      <c r="E659" s="93"/>
      <c r="F659" s="93"/>
      <c r="G659" s="9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</row>
    <row r="660">
      <c r="A660" s="93"/>
      <c r="B660" s="53"/>
      <c r="C660" s="93"/>
      <c r="D660" s="93"/>
      <c r="E660" s="93"/>
      <c r="F660" s="93"/>
      <c r="G660" s="9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</row>
    <row r="661">
      <c r="A661" s="93"/>
      <c r="B661" s="53"/>
      <c r="C661" s="93"/>
      <c r="D661" s="93"/>
      <c r="E661" s="93"/>
      <c r="F661" s="93"/>
      <c r="G661" s="9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</row>
    <row r="662">
      <c r="A662" s="93"/>
      <c r="B662" s="53"/>
      <c r="C662" s="93"/>
      <c r="D662" s="93"/>
      <c r="E662" s="93"/>
      <c r="F662" s="93"/>
      <c r="G662" s="9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</row>
    <row r="663">
      <c r="A663" s="93"/>
      <c r="B663" s="53"/>
      <c r="C663" s="93"/>
      <c r="D663" s="93"/>
      <c r="E663" s="93"/>
      <c r="F663" s="93"/>
      <c r="G663" s="9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</row>
    <row r="664">
      <c r="A664" s="93"/>
      <c r="B664" s="53"/>
      <c r="C664" s="93"/>
      <c r="D664" s="93"/>
      <c r="E664" s="93"/>
      <c r="F664" s="93"/>
      <c r="G664" s="9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</row>
    <row r="665">
      <c r="A665" s="93"/>
      <c r="B665" s="53"/>
      <c r="C665" s="93"/>
      <c r="D665" s="93"/>
      <c r="E665" s="93"/>
      <c r="F665" s="93"/>
      <c r="G665" s="9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</row>
    <row r="666">
      <c r="A666" s="93"/>
      <c r="B666" s="53"/>
      <c r="C666" s="93"/>
      <c r="D666" s="93"/>
      <c r="E666" s="93"/>
      <c r="F666" s="93"/>
      <c r="G666" s="9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</row>
    <row r="667">
      <c r="A667" s="93"/>
      <c r="B667" s="53"/>
      <c r="C667" s="93"/>
      <c r="D667" s="93"/>
      <c r="E667" s="93"/>
      <c r="F667" s="93"/>
      <c r="G667" s="9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</row>
    <row r="668">
      <c r="A668" s="93"/>
      <c r="B668" s="53"/>
      <c r="C668" s="93"/>
      <c r="D668" s="93"/>
      <c r="E668" s="93"/>
      <c r="F668" s="93"/>
      <c r="G668" s="9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</row>
    <row r="669">
      <c r="A669" s="93"/>
      <c r="B669" s="53"/>
      <c r="C669" s="93"/>
      <c r="D669" s="93"/>
      <c r="E669" s="93"/>
      <c r="F669" s="93"/>
      <c r="G669" s="9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</row>
    <row r="670">
      <c r="A670" s="93"/>
      <c r="B670" s="53"/>
      <c r="C670" s="93"/>
      <c r="D670" s="93"/>
      <c r="E670" s="93"/>
      <c r="F670" s="93"/>
      <c r="G670" s="9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</row>
    <row r="671">
      <c r="A671" s="93"/>
      <c r="B671" s="53"/>
      <c r="C671" s="93"/>
      <c r="D671" s="93"/>
      <c r="E671" s="93"/>
      <c r="F671" s="93"/>
      <c r="G671" s="9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</row>
    <row r="672">
      <c r="A672" s="93"/>
      <c r="B672" s="53"/>
      <c r="C672" s="93"/>
      <c r="D672" s="93"/>
      <c r="E672" s="93"/>
      <c r="F672" s="93"/>
      <c r="G672" s="9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</row>
    <row r="673">
      <c r="A673" s="93"/>
      <c r="B673" s="53"/>
      <c r="C673" s="93"/>
      <c r="D673" s="93"/>
      <c r="E673" s="93"/>
      <c r="F673" s="93"/>
      <c r="G673" s="9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</row>
    <row r="674">
      <c r="A674" s="93"/>
      <c r="B674" s="53"/>
      <c r="C674" s="93"/>
      <c r="D674" s="93"/>
      <c r="E674" s="93"/>
      <c r="F674" s="93"/>
      <c r="G674" s="9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</row>
    <row r="675">
      <c r="A675" s="93"/>
      <c r="B675" s="53"/>
      <c r="C675" s="93"/>
      <c r="D675" s="93"/>
      <c r="E675" s="93"/>
      <c r="F675" s="93"/>
      <c r="G675" s="9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</row>
    <row r="676">
      <c r="A676" s="93"/>
      <c r="B676" s="53"/>
      <c r="C676" s="93"/>
      <c r="D676" s="93"/>
      <c r="E676" s="93"/>
      <c r="F676" s="93"/>
      <c r="G676" s="9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</row>
    <row r="677">
      <c r="A677" s="93"/>
      <c r="B677" s="53"/>
      <c r="C677" s="93"/>
      <c r="D677" s="93"/>
      <c r="E677" s="93"/>
      <c r="F677" s="93"/>
      <c r="G677" s="9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</row>
    <row r="678">
      <c r="A678" s="93"/>
      <c r="B678" s="53"/>
      <c r="C678" s="93"/>
      <c r="D678" s="93"/>
      <c r="E678" s="93"/>
      <c r="F678" s="93"/>
      <c r="G678" s="9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</row>
    <row r="679">
      <c r="A679" s="93"/>
      <c r="B679" s="53"/>
      <c r="C679" s="93"/>
      <c r="D679" s="93"/>
      <c r="E679" s="93"/>
      <c r="F679" s="93"/>
      <c r="G679" s="9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</row>
    <row r="680">
      <c r="A680" s="93"/>
      <c r="B680" s="53"/>
      <c r="C680" s="93"/>
      <c r="D680" s="93"/>
      <c r="E680" s="93"/>
      <c r="F680" s="93"/>
      <c r="G680" s="9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</row>
    <row r="681">
      <c r="A681" s="93"/>
      <c r="B681" s="53"/>
      <c r="C681" s="93"/>
      <c r="D681" s="93"/>
      <c r="E681" s="93"/>
      <c r="F681" s="93"/>
      <c r="G681" s="9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</row>
    <row r="682">
      <c r="A682" s="93"/>
      <c r="B682" s="53"/>
      <c r="C682" s="93"/>
      <c r="D682" s="93"/>
      <c r="E682" s="93"/>
      <c r="F682" s="93"/>
      <c r="G682" s="9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</row>
    <row r="683">
      <c r="A683" s="93"/>
      <c r="B683" s="53"/>
      <c r="C683" s="93"/>
      <c r="D683" s="93"/>
      <c r="E683" s="93"/>
      <c r="F683" s="93"/>
      <c r="G683" s="9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</row>
    <row r="684">
      <c r="A684" s="93"/>
      <c r="B684" s="53"/>
      <c r="C684" s="93"/>
      <c r="D684" s="93"/>
      <c r="E684" s="93"/>
      <c r="F684" s="93"/>
      <c r="G684" s="9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</row>
    <row r="685">
      <c r="A685" s="93"/>
      <c r="B685" s="53"/>
      <c r="C685" s="93"/>
      <c r="D685" s="93"/>
      <c r="E685" s="93"/>
      <c r="F685" s="93"/>
      <c r="G685" s="9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</row>
    <row r="686">
      <c r="A686" s="93"/>
      <c r="B686" s="53"/>
      <c r="C686" s="93"/>
      <c r="D686" s="93"/>
      <c r="E686" s="93"/>
      <c r="F686" s="93"/>
      <c r="G686" s="9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</row>
    <row r="687">
      <c r="A687" s="93"/>
      <c r="B687" s="53"/>
      <c r="C687" s="93"/>
      <c r="D687" s="93"/>
      <c r="E687" s="93"/>
      <c r="F687" s="93"/>
      <c r="G687" s="9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</row>
    <row r="688">
      <c r="A688" s="93"/>
      <c r="B688" s="53"/>
      <c r="C688" s="93"/>
      <c r="D688" s="93"/>
      <c r="E688" s="93"/>
      <c r="F688" s="93"/>
      <c r="G688" s="9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</row>
    <row r="689">
      <c r="A689" s="93"/>
      <c r="B689" s="53"/>
      <c r="C689" s="93"/>
      <c r="D689" s="93"/>
      <c r="E689" s="93"/>
      <c r="F689" s="93"/>
      <c r="G689" s="9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</row>
    <row r="690">
      <c r="A690" s="93"/>
      <c r="B690" s="53"/>
      <c r="C690" s="93"/>
      <c r="D690" s="93"/>
      <c r="E690" s="93"/>
      <c r="F690" s="93"/>
      <c r="G690" s="9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</row>
    <row r="691">
      <c r="A691" s="93"/>
      <c r="B691" s="53"/>
      <c r="C691" s="93"/>
      <c r="D691" s="93"/>
      <c r="E691" s="93"/>
      <c r="F691" s="93"/>
      <c r="G691" s="9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</row>
    <row r="692">
      <c r="A692" s="93"/>
      <c r="B692" s="53"/>
      <c r="C692" s="93"/>
      <c r="D692" s="93"/>
      <c r="E692" s="93"/>
      <c r="F692" s="93"/>
      <c r="G692" s="9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</row>
    <row r="693">
      <c r="A693" s="93"/>
      <c r="B693" s="53"/>
      <c r="C693" s="93"/>
      <c r="D693" s="93"/>
      <c r="E693" s="93"/>
      <c r="F693" s="93"/>
      <c r="G693" s="9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</row>
    <row r="694">
      <c r="A694" s="93"/>
      <c r="B694" s="53"/>
      <c r="C694" s="93"/>
      <c r="D694" s="93"/>
      <c r="E694" s="93"/>
      <c r="F694" s="93"/>
      <c r="G694" s="9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</row>
    <row r="695">
      <c r="A695" s="93"/>
      <c r="B695" s="53"/>
      <c r="C695" s="93"/>
      <c r="D695" s="93"/>
      <c r="E695" s="93"/>
      <c r="F695" s="93"/>
      <c r="G695" s="9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</row>
    <row r="696">
      <c r="A696" s="93"/>
      <c r="B696" s="53"/>
      <c r="C696" s="93"/>
      <c r="D696" s="93"/>
      <c r="E696" s="93"/>
      <c r="F696" s="93"/>
      <c r="G696" s="9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</row>
    <row r="697">
      <c r="A697" s="93"/>
      <c r="B697" s="53"/>
      <c r="C697" s="93"/>
      <c r="D697" s="93"/>
      <c r="E697" s="93"/>
      <c r="F697" s="93"/>
      <c r="G697" s="9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</row>
    <row r="698">
      <c r="A698" s="93"/>
      <c r="B698" s="53"/>
      <c r="C698" s="93"/>
      <c r="D698" s="93"/>
      <c r="E698" s="93"/>
      <c r="F698" s="93"/>
      <c r="G698" s="9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</row>
    <row r="699">
      <c r="A699" s="93"/>
      <c r="B699" s="53"/>
      <c r="C699" s="93"/>
      <c r="D699" s="93"/>
      <c r="E699" s="93"/>
      <c r="F699" s="93"/>
      <c r="G699" s="9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</row>
    <row r="700">
      <c r="A700" s="93"/>
      <c r="B700" s="53"/>
      <c r="C700" s="93"/>
      <c r="D700" s="93"/>
      <c r="E700" s="93"/>
      <c r="F700" s="93"/>
      <c r="G700" s="9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</row>
    <row r="701">
      <c r="A701" s="93"/>
      <c r="B701" s="53"/>
      <c r="C701" s="93"/>
      <c r="D701" s="93"/>
      <c r="E701" s="93"/>
      <c r="F701" s="93"/>
      <c r="G701" s="9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</row>
    <row r="702">
      <c r="A702" s="93"/>
      <c r="B702" s="53"/>
      <c r="C702" s="93"/>
      <c r="D702" s="93"/>
      <c r="E702" s="93"/>
      <c r="F702" s="93"/>
      <c r="G702" s="9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</row>
    <row r="703">
      <c r="A703" s="93"/>
      <c r="B703" s="53"/>
      <c r="C703" s="93"/>
      <c r="D703" s="93"/>
      <c r="E703" s="93"/>
      <c r="F703" s="93"/>
      <c r="G703" s="9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</row>
    <row r="704">
      <c r="A704" s="93"/>
      <c r="B704" s="53"/>
      <c r="C704" s="93"/>
      <c r="D704" s="93"/>
      <c r="E704" s="93"/>
      <c r="F704" s="93"/>
      <c r="G704" s="9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</row>
    <row r="705">
      <c r="A705" s="93"/>
      <c r="B705" s="53"/>
      <c r="C705" s="93"/>
      <c r="D705" s="93"/>
      <c r="E705" s="93"/>
      <c r="F705" s="93"/>
      <c r="G705" s="9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</row>
    <row r="706">
      <c r="A706" s="93"/>
      <c r="B706" s="53"/>
      <c r="C706" s="93"/>
      <c r="D706" s="93"/>
      <c r="E706" s="93"/>
      <c r="F706" s="93"/>
      <c r="G706" s="9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</row>
    <row r="707">
      <c r="A707" s="93"/>
      <c r="B707" s="53"/>
      <c r="C707" s="93"/>
      <c r="D707" s="93"/>
      <c r="E707" s="93"/>
      <c r="F707" s="93"/>
      <c r="G707" s="9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</row>
    <row r="708">
      <c r="A708" s="93"/>
      <c r="B708" s="53"/>
      <c r="C708" s="93"/>
      <c r="D708" s="93"/>
      <c r="E708" s="93"/>
      <c r="F708" s="93"/>
      <c r="G708" s="9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</row>
    <row r="709">
      <c r="A709" s="93"/>
      <c r="B709" s="53"/>
      <c r="C709" s="93"/>
      <c r="D709" s="93"/>
      <c r="E709" s="93"/>
      <c r="F709" s="93"/>
      <c r="G709" s="9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</row>
    <row r="710">
      <c r="A710" s="93"/>
      <c r="B710" s="53"/>
      <c r="C710" s="93"/>
      <c r="D710" s="93"/>
      <c r="E710" s="93"/>
      <c r="F710" s="93"/>
      <c r="G710" s="9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</row>
    <row r="711">
      <c r="A711" s="93"/>
      <c r="B711" s="53"/>
      <c r="C711" s="93"/>
      <c r="D711" s="93"/>
      <c r="E711" s="93"/>
      <c r="F711" s="93"/>
      <c r="G711" s="9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</row>
    <row r="712">
      <c r="A712" s="93"/>
      <c r="B712" s="53"/>
      <c r="C712" s="93"/>
      <c r="D712" s="93"/>
      <c r="E712" s="93"/>
      <c r="F712" s="93"/>
      <c r="G712" s="9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</row>
    <row r="713">
      <c r="A713" s="93"/>
      <c r="B713" s="53"/>
      <c r="C713" s="93"/>
      <c r="D713" s="93"/>
      <c r="E713" s="93"/>
      <c r="F713" s="93"/>
      <c r="G713" s="9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</row>
    <row r="714">
      <c r="A714" s="93"/>
      <c r="B714" s="53"/>
      <c r="C714" s="93"/>
      <c r="D714" s="93"/>
      <c r="E714" s="93"/>
      <c r="F714" s="93"/>
      <c r="G714" s="9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</row>
    <row r="715">
      <c r="A715" s="93"/>
      <c r="B715" s="53"/>
      <c r="C715" s="93"/>
      <c r="D715" s="93"/>
      <c r="E715" s="93"/>
      <c r="F715" s="93"/>
      <c r="G715" s="9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</row>
    <row r="716">
      <c r="A716" s="93"/>
      <c r="B716" s="53"/>
      <c r="C716" s="93"/>
      <c r="D716" s="93"/>
      <c r="E716" s="93"/>
      <c r="F716" s="93"/>
      <c r="G716" s="9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</row>
    <row r="717">
      <c r="A717" s="93"/>
      <c r="B717" s="53"/>
      <c r="C717" s="93"/>
      <c r="D717" s="93"/>
      <c r="E717" s="93"/>
      <c r="F717" s="93"/>
      <c r="G717" s="9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</row>
    <row r="718">
      <c r="A718" s="93"/>
      <c r="B718" s="53"/>
      <c r="C718" s="93"/>
      <c r="D718" s="93"/>
      <c r="E718" s="93"/>
      <c r="F718" s="93"/>
      <c r="G718" s="9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</row>
    <row r="719">
      <c r="A719" s="93"/>
      <c r="B719" s="53"/>
      <c r="C719" s="93"/>
      <c r="D719" s="93"/>
      <c r="E719" s="93"/>
      <c r="F719" s="93"/>
      <c r="G719" s="9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</row>
    <row r="720">
      <c r="A720" s="93"/>
      <c r="B720" s="53"/>
      <c r="C720" s="93"/>
      <c r="D720" s="93"/>
      <c r="E720" s="93"/>
      <c r="F720" s="93"/>
      <c r="G720" s="9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</row>
    <row r="721">
      <c r="A721" s="93"/>
      <c r="B721" s="53"/>
      <c r="C721" s="93"/>
      <c r="D721" s="93"/>
      <c r="E721" s="93"/>
      <c r="F721" s="93"/>
      <c r="G721" s="9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</row>
    <row r="722">
      <c r="A722" s="93"/>
      <c r="B722" s="53"/>
      <c r="C722" s="93"/>
      <c r="D722" s="93"/>
      <c r="E722" s="93"/>
      <c r="F722" s="93"/>
      <c r="G722" s="9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</row>
    <row r="723">
      <c r="A723" s="93"/>
      <c r="B723" s="53"/>
      <c r="C723" s="93"/>
      <c r="D723" s="93"/>
      <c r="E723" s="93"/>
      <c r="F723" s="93"/>
      <c r="G723" s="9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</row>
    <row r="724">
      <c r="A724" s="93"/>
      <c r="B724" s="53"/>
      <c r="C724" s="93"/>
      <c r="D724" s="93"/>
      <c r="E724" s="93"/>
      <c r="F724" s="93"/>
      <c r="G724" s="9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</row>
    <row r="725">
      <c r="A725" s="93"/>
      <c r="B725" s="53"/>
      <c r="C725" s="93"/>
      <c r="D725" s="93"/>
      <c r="E725" s="93"/>
      <c r="F725" s="93"/>
      <c r="G725" s="9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</row>
    <row r="726">
      <c r="A726" s="93"/>
      <c r="B726" s="53"/>
      <c r="C726" s="93"/>
      <c r="D726" s="93"/>
      <c r="E726" s="93"/>
      <c r="F726" s="93"/>
      <c r="G726" s="9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</row>
    <row r="727">
      <c r="A727" s="93"/>
      <c r="B727" s="53"/>
      <c r="C727" s="93"/>
      <c r="D727" s="93"/>
      <c r="E727" s="93"/>
      <c r="F727" s="93"/>
      <c r="G727" s="9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</row>
    <row r="728">
      <c r="A728" s="93"/>
      <c r="B728" s="53"/>
      <c r="C728" s="93"/>
      <c r="D728" s="93"/>
      <c r="E728" s="93"/>
      <c r="F728" s="93"/>
      <c r="G728" s="9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</row>
    <row r="729">
      <c r="A729" s="93"/>
      <c r="B729" s="53"/>
      <c r="C729" s="93"/>
      <c r="D729" s="93"/>
      <c r="E729" s="93"/>
      <c r="F729" s="93"/>
      <c r="G729" s="9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</row>
    <row r="730">
      <c r="A730" s="93"/>
      <c r="B730" s="53"/>
      <c r="C730" s="93"/>
      <c r="D730" s="93"/>
      <c r="E730" s="93"/>
      <c r="F730" s="93"/>
      <c r="G730" s="9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</row>
    <row r="731">
      <c r="A731" s="93"/>
      <c r="B731" s="53"/>
      <c r="C731" s="93"/>
      <c r="D731" s="93"/>
      <c r="E731" s="93"/>
      <c r="F731" s="93"/>
      <c r="G731" s="9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</row>
    <row r="732">
      <c r="A732" s="93"/>
      <c r="B732" s="53"/>
      <c r="C732" s="93"/>
      <c r="D732" s="93"/>
      <c r="E732" s="93"/>
      <c r="F732" s="93"/>
      <c r="G732" s="9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</row>
    <row r="733">
      <c r="A733" s="93"/>
      <c r="B733" s="53"/>
      <c r="C733" s="93"/>
      <c r="D733" s="93"/>
      <c r="E733" s="93"/>
      <c r="F733" s="93"/>
      <c r="G733" s="9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</row>
    <row r="734">
      <c r="A734" s="93"/>
      <c r="B734" s="53"/>
      <c r="C734" s="93"/>
      <c r="D734" s="93"/>
      <c r="E734" s="93"/>
      <c r="F734" s="93"/>
      <c r="G734" s="9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</row>
    <row r="735">
      <c r="A735" s="93"/>
      <c r="B735" s="53"/>
      <c r="C735" s="93"/>
      <c r="D735" s="93"/>
      <c r="E735" s="93"/>
      <c r="F735" s="93"/>
      <c r="G735" s="9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</row>
    <row r="736">
      <c r="A736" s="93"/>
      <c r="B736" s="53"/>
      <c r="C736" s="93"/>
      <c r="D736" s="93"/>
      <c r="E736" s="93"/>
      <c r="F736" s="93"/>
      <c r="G736" s="9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</row>
    <row r="737">
      <c r="A737" s="93"/>
      <c r="B737" s="53"/>
      <c r="C737" s="93"/>
      <c r="D737" s="93"/>
      <c r="E737" s="93"/>
      <c r="F737" s="93"/>
      <c r="G737" s="9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</row>
    <row r="738">
      <c r="A738" s="93"/>
      <c r="B738" s="53"/>
      <c r="C738" s="93"/>
      <c r="D738" s="93"/>
      <c r="E738" s="93"/>
      <c r="F738" s="93"/>
      <c r="G738" s="9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</row>
    <row r="739">
      <c r="A739" s="93"/>
      <c r="B739" s="53"/>
      <c r="C739" s="93"/>
      <c r="D739" s="93"/>
      <c r="E739" s="93"/>
      <c r="F739" s="93"/>
      <c r="G739" s="9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</row>
    <row r="740">
      <c r="A740" s="93"/>
      <c r="B740" s="53"/>
      <c r="C740" s="93"/>
      <c r="D740" s="93"/>
      <c r="E740" s="93"/>
      <c r="F740" s="93"/>
      <c r="G740" s="9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</row>
    <row r="741">
      <c r="A741" s="93"/>
      <c r="B741" s="53"/>
      <c r="C741" s="93"/>
      <c r="D741" s="93"/>
      <c r="E741" s="93"/>
      <c r="F741" s="93"/>
      <c r="G741" s="9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</row>
    <row r="742">
      <c r="A742" s="93"/>
      <c r="B742" s="53"/>
      <c r="C742" s="93"/>
      <c r="D742" s="93"/>
      <c r="E742" s="93"/>
      <c r="F742" s="93"/>
      <c r="G742" s="9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</row>
    <row r="743">
      <c r="A743" s="93"/>
      <c r="B743" s="53"/>
      <c r="C743" s="93"/>
      <c r="D743" s="93"/>
      <c r="E743" s="93"/>
      <c r="F743" s="93"/>
      <c r="G743" s="9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</row>
    <row r="744">
      <c r="A744" s="93"/>
      <c r="B744" s="53"/>
      <c r="C744" s="93"/>
      <c r="D744" s="93"/>
      <c r="E744" s="93"/>
      <c r="F744" s="93"/>
      <c r="G744" s="9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</row>
    <row r="745">
      <c r="A745" s="93"/>
      <c r="B745" s="53"/>
      <c r="C745" s="93"/>
      <c r="D745" s="93"/>
      <c r="E745" s="93"/>
      <c r="F745" s="93"/>
      <c r="G745" s="9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</row>
    <row r="746">
      <c r="A746" s="93"/>
      <c r="B746" s="53"/>
      <c r="C746" s="93"/>
      <c r="D746" s="93"/>
      <c r="E746" s="93"/>
      <c r="F746" s="93"/>
      <c r="G746" s="9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</row>
    <row r="747">
      <c r="A747" s="93"/>
      <c r="B747" s="53"/>
      <c r="C747" s="93"/>
      <c r="D747" s="93"/>
      <c r="E747" s="93"/>
      <c r="F747" s="93"/>
      <c r="G747" s="9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</row>
    <row r="748">
      <c r="A748" s="93"/>
      <c r="B748" s="53"/>
      <c r="C748" s="93"/>
      <c r="D748" s="93"/>
      <c r="E748" s="93"/>
      <c r="F748" s="93"/>
      <c r="G748" s="9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</row>
    <row r="749">
      <c r="A749" s="93"/>
      <c r="B749" s="53"/>
      <c r="C749" s="93"/>
      <c r="D749" s="93"/>
      <c r="E749" s="93"/>
      <c r="F749" s="93"/>
      <c r="G749" s="9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</row>
    <row r="750">
      <c r="A750" s="93"/>
      <c r="B750" s="53"/>
      <c r="C750" s="93"/>
      <c r="D750" s="93"/>
      <c r="E750" s="93"/>
      <c r="F750" s="93"/>
      <c r="G750" s="9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</row>
    <row r="751">
      <c r="A751" s="93"/>
      <c r="B751" s="53"/>
      <c r="C751" s="93"/>
      <c r="D751" s="93"/>
      <c r="E751" s="93"/>
      <c r="F751" s="93"/>
      <c r="G751" s="9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</row>
    <row r="752">
      <c r="A752" s="93"/>
      <c r="B752" s="53"/>
      <c r="C752" s="93"/>
      <c r="D752" s="93"/>
      <c r="E752" s="93"/>
      <c r="F752" s="93"/>
      <c r="G752" s="9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</row>
    <row r="753">
      <c r="A753" s="93"/>
      <c r="B753" s="53"/>
      <c r="C753" s="93"/>
      <c r="D753" s="93"/>
      <c r="E753" s="93"/>
      <c r="F753" s="93"/>
      <c r="G753" s="9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</row>
    <row r="754">
      <c r="A754" s="93"/>
      <c r="B754" s="53"/>
      <c r="C754" s="93"/>
      <c r="D754" s="93"/>
      <c r="E754" s="93"/>
      <c r="F754" s="93"/>
      <c r="G754" s="9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</row>
    <row r="755">
      <c r="A755" s="93"/>
      <c r="B755" s="53"/>
      <c r="C755" s="93"/>
      <c r="D755" s="93"/>
      <c r="E755" s="93"/>
      <c r="F755" s="93"/>
      <c r="G755" s="9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</row>
    <row r="756">
      <c r="A756" s="93"/>
      <c r="B756" s="53"/>
      <c r="C756" s="93"/>
      <c r="D756" s="93"/>
      <c r="E756" s="93"/>
      <c r="F756" s="93"/>
      <c r="G756" s="9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</row>
    <row r="757">
      <c r="A757" s="93"/>
      <c r="B757" s="53"/>
      <c r="C757" s="93"/>
      <c r="D757" s="93"/>
      <c r="E757" s="93"/>
      <c r="F757" s="93"/>
      <c r="G757" s="9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</row>
    <row r="758">
      <c r="A758" s="93"/>
      <c r="B758" s="53"/>
      <c r="C758" s="93"/>
      <c r="D758" s="93"/>
      <c r="E758" s="93"/>
      <c r="F758" s="93"/>
      <c r="G758" s="9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</row>
    <row r="759">
      <c r="A759" s="93"/>
      <c r="B759" s="53"/>
      <c r="C759" s="93"/>
      <c r="D759" s="93"/>
      <c r="E759" s="93"/>
      <c r="F759" s="93"/>
      <c r="G759" s="9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</row>
    <row r="760">
      <c r="A760" s="93"/>
      <c r="B760" s="53"/>
      <c r="C760" s="93"/>
      <c r="D760" s="93"/>
      <c r="E760" s="93"/>
      <c r="F760" s="93"/>
      <c r="G760" s="9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</row>
    <row r="761">
      <c r="A761" s="93"/>
      <c r="B761" s="53"/>
      <c r="C761" s="93"/>
      <c r="D761" s="93"/>
      <c r="E761" s="93"/>
      <c r="F761" s="93"/>
      <c r="G761" s="9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</row>
    <row r="762">
      <c r="A762" s="93"/>
      <c r="B762" s="53"/>
      <c r="C762" s="93"/>
      <c r="D762" s="93"/>
      <c r="E762" s="93"/>
      <c r="F762" s="93"/>
      <c r="G762" s="9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</row>
    <row r="763">
      <c r="A763" s="93"/>
      <c r="B763" s="53"/>
      <c r="C763" s="93"/>
      <c r="D763" s="93"/>
      <c r="E763" s="93"/>
      <c r="F763" s="93"/>
      <c r="G763" s="9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</row>
    <row r="764">
      <c r="A764" s="93"/>
      <c r="B764" s="53"/>
      <c r="C764" s="93"/>
      <c r="D764" s="93"/>
      <c r="E764" s="93"/>
      <c r="F764" s="93"/>
      <c r="G764" s="9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</row>
    <row r="765">
      <c r="A765" s="93"/>
      <c r="B765" s="53"/>
      <c r="C765" s="93"/>
      <c r="D765" s="93"/>
      <c r="E765" s="93"/>
      <c r="F765" s="93"/>
      <c r="G765" s="9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</row>
    <row r="766">
      <c r="A766" s="93"/>
      <c r="B766" s="53"/>
      <c r="C766" s="93"/>
      <c r="D766" s="93"/>
      <c r="E766" s="93"/>
      <c r="F766" s="93"/>
      <c r="G766" s="9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</row>
    <row r="767">
      <c r="A767" s="93"/>
      <c r="B767" s="53"/>
      <c r="C767" s="93"/>
      <c r="D767" s="93"/>
      <c r="E767" s="93"/>
      <c r="F767" s="93"/>
      <c r="G767" s="9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</row>
    <row r="768">
      <c r="A768" s="93"/>
      <c r="B768" s="53"/>
      <c r="C768" s="93"/>
      <c r="D768" s="93"/>
      <c r="E768" s="93"/>
      <c r="F768" s="93"/>
      <c r="G768" s="9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</row>
    <row r="769">
      <c r="A769" s="93"/>
      <c r="B769" s="53"/>
      <c r="C769" s="93"/>
      <c r="D769" s="93"/>
      <c r="E769" s="93"/>
      <c r="F769" s="93"/>
      <c r="G769" s="9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</row>
    <row r="770">
      <c r="A770" s="93"/>
      <c r="B770" s="53"/>
      <c r="C770" s="93"/>
      <c r="D770" s="93"/>
      <c r="E770" s="93"/>
      <c r="F770" s="93"/>
      <c r="G770" s="9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</row>
    <row r="771">
      <c r="A771" s="93"/>
      <c r="B771" s="53"/>
      <c r="C771" s="93"/>
      <c r="D771" s="93"/>
      <c r="E771" s="93"/>
      <c r="F771" s="93"/>
      <c r="G771" s="9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</row>
    <row r="772">
      <c r="A772" s="93"/>
      <c r="B772" s="53"/>
      <c r="C772" s="93"/>
      <c r="D772" s="93"/>
      <c r="E772" s="93"/>
      <c r="F772" s="93"/>
      <c r="G772" s="9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</row>
    <row r="773">
      <c r="A773" s="93"/>
      <c r="B773" s="53"/>
      <c r="C773" s="93"/>
      <c r="D773" s="93"/>
      <c r="E773" s="93"/>
      <c r="F773" s="93"/>
      <c r="G773" s="9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</row>
    <row r="774">
      <c r="A774" s="93"/>
      <c r="B774" s="53"/>
      <c r="C774" s="93"/>
      <c r="D774" s="93"/>
      <c r="E774" s="93"/>
      <c r="F774" s="93"/>
      <c r="G774" s="9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</row>
    <row r="775">
      <c r="A775" s="93"/>
      <c r="B775" s="53"/>
      <c r="C775" s="93"/>
      <c r="D775" s="93"/>
      <c r="E775" s="93"/>
      <c r="F775" s="93"/>
      <c r="G775" s="9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</row>
    <row r="776">
      <c r="A776" s="93"/>
      <c r="B776" s="53"/>
      <c r="C776" s="93"/>
      <c r="D776" s="93"/>
      <c r="E776" s="93"/>
      <c r="F776" s="93"/>
      <c r="G776" s="9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</row>
    <row r="777">
      <c r="A777" s="93"/>
      <c r="B777" s="53"/>
      <c r="C777" s="93"/>
      <c r="D777" s="93"/>
      <c r="E777" s="93"/>
      <c r="F777" s="93"/>
      <c r="G777" s="9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</row>
    <row r="778">
      <c r="A778" s="93"/>
      <c r="B778" s="53"/>
      <c r="C778" s="93"/>
      <c r="D778" s="93"/>
      <c r="E778" s="93"/>
      <c r="F778" s="93"/>
      <c r="G778" s="9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</row>
    <row r="779">
      <c r="A779" s="93"/>
      <c r="B779" s="53"/>
      <c r="C779" s="93"/>
      <c r="D779" s="93"/>
      <c r="E779" s="93"/>
      <c r="F779" s="93"/>
      <c r="G779" s="9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</row>
    <row r="780">
      <c r="A780" s="93"/>
      <c r="B780" s="53"/>
      <c r="C780" s="93"/>
      <c r="D780" s="93"/>
      <c r="E780" s="93"/>
      <c r="F780" s="93"/>
      <c r="G780" s="9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</row>
    <row r="781">
      <c r="A781" s="93"/>
      <c r="B781" s="53"/>
      <c r="C781" s="93"/>
      <c r="D781" s="93"/>
      <c r="E781" s="93"/>
      <c r="F781" s="93"/>
      <c r="G781" s="9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</row>
    <row r="782">
      <c r="A782" s="93"/>
      <c r="B782" s="53"/>
      <c r="C782" s="93"/>
      <c r="D782" s="93"/>
      <c r="E782" s="93"/>
      <c r="F782" s="93"/>
      <c r="G782" s="9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</row>
    <row r="783">
      <c r="A783" s="93"/>
      <c r="B783" s="53"/>
      <c r="C783" s="93"/>
      <c r="D783" s="93"/>
      <c r="E783" s="93"/>
      <c r="F783" s="93"/>
      <c r="G783" s="9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</row>
    <row r="784">
      <c r="A784" s="93"/>
      <c r="B784" s="53"/>
      <c r="C784" s="93"/>
      <c r="D784" s="93"/>
      <c r="E784" s="93"/>
      <c r="F784" s="93"/>
      <c r="G784" s="9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</row>
    <row r="785">
      <c r="A785" s="93"/>
      <c r="B785" s="53"/>
      <c r="C785" s="93"/>
      <c r="D785" s="93"/>
      <c r="E785" s="93"/>
      <c r="F785" s="93"/>
      <c r="G785" s="9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</row>
    <row r="786">
      <c r="A786" s="93"/>
      <c r="B786" s="53"/>
      <c r="C786" s="93"/>
      <c r="D786" s="93"/>
      <c r="E786" s="93"/>
      <c r="F786" s="93"/>
      <c r="G786" s="9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</row>
    <row r="787">
      <c r="A787" s="93"/>
      <c r="B787" s="53"/>
      <c r="C787" s="93"/>
      <c r="D787" s="93"/>
      <c r="E787" s="93"/>
      <c r="F787" s="93"/>
      <c r="G787" s="9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</row>
    <row r="788">
      <c r="A788" s="93"/>
      <c r="B788" s="53"/>
      <c r="C788" s="93"/>
      <c r="D788" s="93"/>
      <c r="E788" s="93"/>
      <c r="F788" s="93"/>
      <c r="G788" s="9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</row>
    <row r="789">
      <c r="A789" s="93"/>
      <c r="B789" s="53"/>
      <c r="C789" s="93"/>
      <c r="D789" s="93"/>
      <c r="E789" s="93"/>
      <c r="F789" s="93"/>
      <c r="G789" s="9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</row>
    <row r="790">
      <c r="A790" s="93"/>
      <c r="B790" s="53"/>
      <c r="C790" s="93"/>
      <c r="D790" s="93"/>
      <c r="E790" s="93"/>
      <c r="F790" s="93"/>
      <c r="G790" s="9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</row>
    <row r="791">
      <c r="A791" s="93"/>
      <c r="B791" s="53"/>
      <c r="C791" s="93"/>
      <c r="D791" s="93"/>
      <c r="E791" s="93"/>
      <c r="F791" s="93"/>
      <c r="G791" s="9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</row>
    <row r="792">
      <c r="A792" s="93"/>
      <c r="B792" s="53"/>
      <c r="C792" s="93"/>
      <c r="D792" s="93"/>
      <c r="E792" s="93"/>
      <c r="F792" s="93"/>
      <c r="G792" s="9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</row>
    <row r="793">
      <c r="A793" s="93"/>
      <c r="B793" s="53"/>
      <c r="C793" s="93"/>
      <c r="D793" s="93"/>
      <c r="E793" s="93"/>
      <c r="F793" s="93"/>
      <c r="G793" s="9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</row>
    <row r="794">
      <c r="A794" s="93"/>
      <c r="B794" s="53"/>
      <c r="C794" s="93"/>
      <c r="D794" s="93"/>
      <c r="E794" s="93"/>
      <c r="F794" s="93"/>
      <c r="G794" s="9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</row>
    <row r="795">
      <c r="A795" s="93"/>
      <c r="B795" s="53"/>
      <c r="C795" s="93"/>
      <c r="D795" s="93"/>
      <c r="E795" s="93"/>
      <c r="F795" s="93"/>
      <c r="G795" s="9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</row>
    <row r="796">
      <c r="A796" s="93"/>
      <c r="B796" s="53"/>
      <c r="C796" s="93"/>
      <c r="D796" s="93"/>
      <c r="E796" s="93"/>
      <c r="F796" s="93"/>
      <c r="G796" s="9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</row>
    <row r="797">
      <c r="A797" s="93"/>
      <c r="B797" s="53"/>
      <c r="C797" s="93"/>
      <c r="D797" s="93"/>
      <c r="E797" s="93"/>
      <c r="F797" s="93"/>
      <c r="G797" s="9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</row>
    <row r="798">
      <c r="A798" s="93"/>
      <c r="B798" s="53"/>
      <c r="C798" s="93"/>
      <c r="D798" s="93"/>
      <c r="E798" s="93"/>
      <c r="F798" s="93"/>
      <c r="G798" s="9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</row>
    <row r="799">
      <c r="A799" s="93"/>
      <c r="B799" s="53"/>
      <c r="C799" s="93"/>
      <c r="D799" s="93"/>
      <c r="E799" s="93"/>
      <c r="F799" s="93"/>
      <c r="G799" s="9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</row>
    <row r="800">
      <c r="A800" s="93"/>
      <c r="B800" s="53"/>
      <c r="C800" s="93"/>
      <c r="D800" s="93"/>
      <c r="E800" s="93"/>
      <c r="F800" s="93"/>
      <c r="G800" s="9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</row>
    <row r="801">
      <c r="A801" s="93"/>
      <c r="B801" s="53"/>
      <c r="C801" s="93"/>
      <c r="D801" s="93"/>
      <c r="E801" s="93"/>
      <c r="F801" s="93"/>
      <c r="G801" s="9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</row>
    <row r="802">
      <c r="A802" s="93"/>
      <c r="B802" s="53"/>
      <c r="C802" s="93"/>
      <c r="D802" s="93"/>
      <c r="E802" s="93"/>
      <c r="F802" s="93"/>
      <c r="G802" s="9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</row>
    <row r="803">
      <c r="A803" s="93"/>
      <c r="B803" s="53"/>
      <c r="C803" s="93"/>
      <c r="D803" s="93"/>
      <c r="E803" s="93"/>
      <c r="F803" s="93"/>
      <c r="G803" s="9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</row>
    <row r="804">
      <c r="A804" s="93"/>
      <c r="B804" s="53"/>
      <c r="C804" s="93"/>
      <c r="D804" s="93"/>
      <c r="E804" s="93"/>
      <c r="F804" s="93"/>
      <c r="G804" s="9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</row>
    <row r="805">
      <c r="A805" s="93"/>
      <c r="B805" s="53"/>
      <c r="C805" s="93"/>
      <c r="D805" s="93"/>
      <c r="E805" s="93"/>
      <c r="F805" s="93"/>
      <c r="G805" s="9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</row>
    <row r="806">
      <c r="A806" s="93"/>
      <c r="B806" s="53"/>
      <c r="C806" s="93"/>
      <c r="D806" s="93"/>
      <c r="E806" s="93"/>
      <c r="F806" s="93"/>
      <c r="G806" s="9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</row>
    <row r="807">
      <c r="A807" s="93"/>
      <c r="B807" s="53"/>
      <c r="C807" s="93"/>
      <c r="D807" s="93"/>
      <c r="E807" s="93"/>
      <c r="F807" s="93"/>
      <c r="G807" s="9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</row>
    <row r="808">
      <c r="A808" s="93"/>
      <c r="B808" s="53"/>
      <c r="C808" s="93"/>
      <c r="D808" s="93"/>
      <c r="E808" s="93"/>
      <c r="F808" s="93"/>
      <c r="G808" s="9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</row>
    <row r="809">
      <c r="A809" s="93"/>
      <c r="B809" s="53"/>
      <c r="C809" s="93"/>
      <c r="D809" s="93"/>
      <c r="E809" s="93"/>
      <c r="F809" s="93"/>
      <c r="G809" s="9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</row>
    <row r="810">
      <c r="A810" s="93"/>
      <c r="B810" s="53"/>
      <c r="C810" s="93"/>
      <c r="D810" s="93"/>
      <c r="E810" s="93"/>
      <c r="F810" s="93"/>
      <c r="G810" s="9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</row>
    <row r="811">
      <c r="A811" s="93"/>
      <c r="B811" s="53"/>
      <c r="C811" s="93"/>
      <c r="D811" s="93"/>
      <c r="E811" s="93"/>
      <c r="F811" s="93"/>
      <c r="G811" s="9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</row>
    <row r="812">
      <c r="A812" s="93"/>
      <c r="B812" s="53"/>
      <c r="C812" s="93"/>
      <c r="D812" s="93"/>
      <c r="E812" s="93"/>
      <c r="F812" s="93"/>
      <c r="G812" s="9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</row>
    <row r="813">
      <c r="A813" s="93"/>
      <c r="B813" s="53"/>
      <c r="C813" s="93"/>
      <c r="D813" s="93"/>
      <c r="E813" s="93"/>
      <c r="F813" s="93"/>
      <c r="G813" s="9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</row>
    <row r="814">
      <c r="A814" s="93"/>
      <c r="B814" s="53"/>
      <c r="C814" s="93"/>
      <c r="D814" s="93"/>
      <c r="E814" s="93"/>
      <c r="F814" s="93"/>
      <c r="G814" s="9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</row>
    <row r="815">
      <c r="A815" s="93"/>
      <c r="B815" s="53"/>
      <c r="C815" s="93"/>
      <c r="D815" s="93"/>
      <c r="E815" s="93"/>
      <c r="F815" s="93"/>
      <c r="G815" s="9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</row>
    <row r="816">
      <c r="A816" s="93"/>
      <c r="B816" s="53"/>
      <c r="C816" s="93"/>
      <c r="D816" s="93"/>
      <c r="E816" s="93"/>
      <c r="F816" s="93"/>
      <c r="G816" s="9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</row>
    <row r="817">
      <c r="A817" s="93"/>
      <c r="B817" s="53"/>
      <c r="C817" s="93"/>
      <c r="D817" s="93"/>
      <c r="E817" s="93"/>
      <c r="F817" s="93"/>
      <c r="G817" s="9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</row>
    <row r="818">
      <c r="A818" s="93"/>
      <c r="B818" s="53"/>
      <c r="C818" s="93"/>
      <c r="D818" s="93"/>
      <c r="E818" s="93"/>
      <c r="F818" s="93"/>
      <c r="G818" s="9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</row>
    <row r="819">
      <c r="A819" s="93"/>
      <c r="B819" s="53"/>
      <c r="C819" s="93"/>
      <c r="D819" s="93"/>
      <c r="E819" s="93"/>
      <c r="F819" s="93"/>
      <c r="G819" s="9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</row>
    <row r="820">
      <c r="A820" s="93"/>
      <c r="B820" s="53"/>
      <c r="C820" s="93"/>
      <c r="D820" s="93"/>
      <c r="E820" s="93"/>
      <c r="F820" s="93"/>
      <c r="G820" s="9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</row>
    <row r="821">
      <c r="A821" s="93"/>
      <c r="B821" s="53"/>
      <c r="C821" s="93"/>
      <c r="D821" s="93"/>
      <c r="E821" s="93"/>
      <c r="F821" s="93"/>
      <c r="G821" s="9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</row>
    <row r="822">
      <c r="A822" s="93"/>
      <c r="B822" s="53"/>
      <c r="C822" s="93"/>
      <c r="D822" s="93"/>
      <c r="E822" s="93"/>
      <c r="F822" s="93"/>
      <c r="G822" s="9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</row>
    <row r="823">
      <c r="A823" s="93"/>
      <c r="B823" s="53"/>
      <c r="C823" s="93"/>
      <c r="D823" s="93"/>
      <c r="E823" s="93"/>
      <c r="F823" s="93"/>
      <c r="G823" s="9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</row>
    <row r="824">
      <c r="A824" s="93"/>
      <c r="B824" s="53"/>
      <c r="C824" s="93"/>
      <c r="D824" s="93"/>
      <c r="E824" s="93"/>
      <c r="F824" s="93"/>
      <c r="G824" s="9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</row>
    <row r="825">
      <c r="A825" s="93"/>
      <c r="B825" s="53"/>
      <c r="C825" s="93"/>
      <c r="D825" s="93"/>
      <c r="E825" s="93"/>
      <c r="F825" s="93"/>
      <c r="G825" s="9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</row>
    <row r="826">
      <c r="A826" s="93"/>
      <c r="B826" s="53"/>
      <c r="C826" s="93"/>
      <c r="D826" s="93"/>
      <c r="E826" s="93"/>
      <c r="F826" s="93"/>
      <c r="G826" s="9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</row>
    <row r="827">
      <c r="A827" s="93"/>
      <c r="B827" s="53"/>
      <c r="C827" s="93"/>
      <c r="D827" s="93"/>
      <c r="E827" s="93"/>
      <c r="F827" s="93"/>
      <c r="G827" s="9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</row>
    <row r="828">
      <c r="A828" s="93"/>
      <c r="B828" s="53"/>
      <c r="C828" s="93"/>
      <c r="D828" s="93"/>
      <c r="E828" s="93"/>
      <c r="F828" s="93"/>
      <c r="G828" s="9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</row>
    <row r="829">
      <c r="A829" s="93"/>
      <c r="B829" s="53"/>
      <c r="C829" s="93"/>
      <c r="D829" s="93"/>
      <c r="E829" s="93"/>
      <c r="F829" s="93"/>
      <c r="G829" s="9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</row>
    <row r="830">
      <c r="A830" s="93"/>
      <c r="B830" s="53"/>
      <c r="C830" s="93"/>
      <c r="D830" s="93"/>
      <c r="E830" s="93"/>
      <c r="F830" s="93"/>
      <c r="G830" s="9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</row>
    <row r="831">
      <c r="A831" s="93"/>
      <c r="B831" s="53"/>
      <c r="C831" s="93"/>
      <c r="D831" s="93"/>
      <c r="E831" s="93"/>
      <c r="F831" s="93"/>
      <c r="G831" s="9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</row>
    <row r="832">
      <c r="A832" s="93"/>
      <c r="B832" s="53"/>
      <c r="C832" s="93"/>
      <c r="D832" s="93"/>
      <c r="E832" s="93"/>
      <c r="F832" s="93"/>
      <c r="G832" s="9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</row>
    <row r="833">
      <c r="A833" s="93"/>
      <c r="B833" s="53"/>
      <c r="C833" s="93"/>
      <c r="D833" s="93"/>
      <c r="E833" s="93"/>
      <c r="F833" s="93"/>
      <c r="G833" s="9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</row>
    <row r="834">
      <c r="A834" s="93"/>
      <c r="B834" s="53"/>
      <c r="C834" s="93"/>
      <c r="D834" s="93"/>
      <c r="E834" s="93"/>
      <c r="F834" s="93"/>
      <c r="G834" s="9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</row>
    <row r="835">
      <c r="A835" s="93"/>
      <c r="B835" s="53"/>
      <c r="C835" s="93"/>
      <c r="D835" s="93"/>
      <c r="E835" s="93"/>
      <c r="F835" s="93"/>
      <c r="G835" s="9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</row>
    <row r="836">
      <c r="A836" s="93"/>
      <c r="B836" s="53"/>
      <c r="C836" s="93"/>
      <c r="D836" s="93"/>
      <c r="E836" s="93"/>
      <c r="F836" s="93"/>
      <c r="G836" s="9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</row>
    <row r="837">
      <c r="A837" s="93"/>
      <c r="B837" s="53"/>
      <c r="C837" s="93"/>
      <c r="D837" s="93"/>
      <c r="E837" s="93"/>
      <c r="F837" s="93"/>
      <c r="G837" s="9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</row>
    <row r="838">
      <c r="A838" s="93"/>
      <c r="B838" s="53"/>
      <c r="C838" s="93"/>
      <c r="D838" s="93"/>
      <c r="E838" s="93"/>
      <c r="F838" s="93"/>
      <c r="G838" s="9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</row>
    <row r="839">
      <c r="A839" s="93"/>
      <c r="B839" s="53"/>
      <c r="C839" s="93"/>
      <c r="D839" s="93"/>
      <c r="E839" s="93"/>
      <c r="F839" s="93"/>
      <c r="G839" s="9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</row>
    <row r="840">
      <c r="A840" s="93"/>
      <c r="B840" s="53"/>
      <c r="C840" s="93"/>
      <c r="D840" s="93"/>
      <c r="E840" s="93"/>
      <c r="F840" s="93"/>
      <c r="G840" s="9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</row>
    <row r="841">
      <c r="A841" s="93"/>
      <c r="B841" s="53"/>
      <c r="C841" s="93"/>
      <c r="D841" s="93"/>
      <c r="E841" s="93"/>
      <c r="F841" s="93"/>
      <c r="G841" s="9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</row>
    <row r="842">
      <c r="A842" s="93"/>
      <c r="B842" s="53"/>
      <c r="C842" s="93"/>
      <c r="D842" s="93"/>
      <c r="E842" s="93"/>
      <c r="F842" s="93"/>
      <c r="G842" s="9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</row>
    <row r="843">
      <c r="A843" s="93"/>
      <c r="B843" s="53"/>
      <c r="C843" s="93"/>
      <c r="D843" s="93"/>
      <c r="E843" s="93"/>
      <c r="F843" s="93"/>
      <c r="G843" s="9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</row>
    <row r="844">
      <c r="A844" s="93"/>
      <c r="B844" s="53"/>
      <c r="C844" s="93"/>
      <c r="D844" s="93"/>
      <c r="E844" s="93"/>
      <c r="F844" s="93"/>
      <c r="G844" s="9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</row>
    <row r="845">
      <c r="A845" s="93"/>
      <c r="B845" s="53"/>
      <c r="C845" s="93"/>
      <c r="D845" s="93"/>
      <c r="E845" s="93"/>
      <c r="F845" s="93"/>
      <c r="G845" s="9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</row>
    <row r="846">
      <c r="A846" s="93"/>
      <c r="B846" s="53"/>
      <c r="C846" s="93"/>
      <c r="D846" s="93"/>
      <c r="E846" s="93"/>
      <c r="F846" s="93"/>
      <c r="G846" s="9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</row>
    <row r="847">
      <c r="A847" s="93"/>
      <c r="B847" s="53"/>
      <c r="C847" s="93"/>
      <c r="D847" s="93"/>
      <c r="E847" s="93"/>
      <c r="F847" s="93"/>
      <c r="G847" s="9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</row>
    <row r="848">
      <c r="A848" s="93"/>
      <c r="B848" s="53"/>
      <c r="C848" s="93"/>
      <c r="D848" s="93"/>
      <c r="E848" s="93"/>
      <c r="F848" s="93"/>
      <c r="G848" s="9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</row>
    <row r="849">
      <c r="A849" s="93"/>
      <c r="B849" s="53"/>
      <c r="C849" s="93"/>
      <c r="D849" s="93"/>
      <c r="E849" s="93"/>
      <c r="F849" s="93"/>
      <c r="G849" s="9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</row>
    <row r="850">
      <c r="A850" s="93"/>
      <c r="B850" s="53"/>
      <c r="C850" s="93"/>
      <c r="D850" s="93"/>
      <c r="E850" s="93"/>
      <c r="F850" s="93"/>
      <c r="G850" s="9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</row>
    <row r="851">
      <c r="A851" s="93"/>
      <c r="B851" s="53"/>
      <c r="C851" s="93"/>
      <c r="D851" s="93"/>
      <c r="E851" s="93"/>
      <c r="F851" s="93"/>
      <c r="G851" s="9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</row>
    <row r="852">
      <c r="A852" s="93"/>
      <c r="B852" s="53"/>
      <c r="C852" s="93"/>
      <c r="D852" s="93"/>
      <c r="E852" s="93"/>
      <c r="F852" s="93"/>
      <c r="G852" s="9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</row>
    <row r="853">
      <c r="A853" s="93"/>
      <c r="B853" s="53"/>
      <c r="C853" s="93"/>
      <c r="D853" s="93"/>
      <c r="E853" s="93"/>
      <c r="F853" s="93"/>
      <c r="G853" s="9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</row>
    <row r="854">
      <c r="A854" s="93"/>
      <c r="B854" s="53"/>
      <c r="C854" s="93"/>
      <c r="D854" s="93"/>
      <c r="E854" s="93"/>
      <c r="F854" s="93"/>
      <c r="G854" s="9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</row>
    <row r="855">
      <c r="A855" s="93"/>
      <c r="B855" s="53"/>
      <c r="C855" s="93"/>
      <c r="D855" s="93"/>
      <c r="E855" s="93"/>
      <c r="F855" s="93"/>
      <c r="G855" s="9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</row>
    <row r="856">
      <c r="A856" s="93"/>
      <c r="B856" s="53"/>
      <c r="C856" s="93"/>
      <c r="D856" s="93"/>
      <c r="E856" s="93"/>
      <c r="F856" s="93"/>
      <c r="G856" s="9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</row>
    <row r="857">
      <c r="A857" s="93"/>
      <c r="B857" s="53"/>
      <c r="C857" s="93"/>
      <c r="D857" s="93"/>
      <c r="E857" s="93"/>
      <c r="F857" s="93"/>
      <c r="G857" s="9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</row>
    <row r="858">
      <c r="A858" s="93"/>
      <c r="B858" s="53"/>
      <c r="C858" s="93"/>
      <c r="D858" s="93"/>
      <c r="E858" s="93"/>
      <c r="F858" s="93"/>
      <c r="G858" s="9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</row>
    <row r="859">
      <c r="A859" s="93"/>
      <c r="B859" s="53"/>
      <c r="C859" s="93"/>
      <c r="D859" s="93"/>
      <c r="E859" s="93"/>
      <c r="F859" s="93"/>
      <c r="G859" s="9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</row>
    <row r="860">
      <c r="A860" s="93"/>
      <c r="B860" s="53"/>
      <c r="C860" s="93"/>
      <c r="D860" s="93"/>
      <c r="E860" s="93"/>
      <c r="F860" s="93"/>
      <c r="G860" s="9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</row>
    <row r="861">
      <c r="A861" s="93"/>
      <c r="B861" s="53"/>
      <c r="C861" s="93"/>
      <c r="D861" s="93"/>
      <c r="E861" s="93"/>
      <c r="F861" s="93"/>
      <c r="G861" s="9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</row>
    <row r="862">
      <c r="A862" s="93"/>
      <c r="B862" s="53"/>
      <c r="C862" s="93"/>
      <c r="D862" s="93"/>
      <c r="E862" s="93"/>
      <c r="F862" s="93"/>
      <c r="G862" s="9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</row>
    <row r="863">
      <c r="A863" s="93"/>
      <c r="B863" s="53"/>
      <c r="C863" s="93"/>
      <c r="D863" s="93"/>
      <c r="E863" s="93"/>
      <c r="F863" s="93"/>
      <c r="G863" s="9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</row>
    <row r="864">
      <c r="A864" s="93"/>
      <c r="B864" s="53"/>
      <c r="C864" s="93"/>
      <c r="D864" s="93"/>
      <c r="E864" s="93"/>
      <c r="F864" s="93"/>
      <c r="G864" s="9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</row>
    <row r="865">
      <c r="A865" s="93"/>
      <c r="B865" s="53"/>
      <c r="C865" s="93"/>
      <c r="D865" s="93"/>
      <c r="E865" s="93"/>
      <c r="F865" s="93"/>
      <c r="G865" s="9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</row>
    <row r="866">
      <c r="A866" s="93"/>
      <c r="B866" s="53"/>
      <c r="C866" s="93"/>
      <c r="D866" s="93"/>
      <c r="E866" s="93"/>
      <c r="F866" s="93"/>
      <c r="G866" s="9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</row>
    <row r="867">
      <c r="A867" s="93"/>
      <c r="B867" s="53"/>
      <c r="C867" s="93"/>
      <c r="D867" s="93"/>
      <c r="E867" s="93"/>
      <c r="F867" s="93"/>
      <c r="G867" s="9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</row>
    <row r="868">
      <c r="A868" s="93"/>
      <c r="B868" s="53"/>
      <c r="C868" s="93"/>
      <c r="D868" s="93"/>
      <c r="E868" s="93"/>
      <c r="F868" s="93"/>
      <c r="G868" s="9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</row>
    <row r="869">
      <c r="A869" s="93"/>
      <c r="B869" s="53"/>
      <c r="C869" s="93"/>
      <c r="D869" s="93"/>
      <c r="E869" s="93"/>
      <c r="F869" s="93"/>
      <c r="G869" s="9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</row>
    <row r="870">
      <c r="A870" s="93"/>
      <c r="B870" s="53"/>
      <c r="C870" s="93"/>
      <c r="D870" s="93"/>
      <c r="E870" s="93"/>
      <c r="F870" s="93"/>
      <c r="G870" s="9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</row>
    <row r="871">
      <c r="A871" s="93"/>
      <c r="B871" s="53"/>
      <c r="C871" s="93"/>
      <c r="D871" s="93"/>
      <c r="E871" s="93"/>
      <c r="F871" s="93"/>
      <c r="G871" s="9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</row>
    <row r="872">
      <c r="A872" s="93"/>
      <c r="B872" s="53"/>
      <c r="C872" s="93"/>
      <c r="D872" s="93"/>
      <c r="E872" s="93"/>
      <c r="F872" s="93"/>
      <c r="G872" s="9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</row>
    <row r="873">
      <c r="A873" s="93"/>
      <c r="B873" s="53"/>
      <c r="C873" s="93"/>
      <c r="D873" s="93"/>
      <c r="E873" s="93"/>
      <c r="F873" s="93"/>
      <c r="G873" s="9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</row>
    <row r="874">
      <c r="A874" s="93"/>
      <c r="B874" s="53"/>
      <c r="C874" s="93"/>
      <c r="D874" s="93"/>
      <c r="E874" s="93"/>
      <c r="F874" s="93"/>
      <c r="G874" s="9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</row>
    <row r="875">
      <c r="A875" s="93"/>
      <c r="B875" s="53"/>
      <c r="C875" s="93"/>
      <c r="D875" s="93"/>
      <c r="E875" s="93"/>
      <c r="F875" s="93"/>
      <c r="G875" s="9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</row>
    <row r="876">
      <c r="A876" s="93"/>
      <c r="B876" s="53"/>
      <c r="C876" s="93"/>
      <c r="D876" s="93"/>
      <c r="E876" s="93"/>
      <c r="F876" s="93"/>
      <c r="G876" s="9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</row>
    <row r="877">
      <c r="A877" s="93"/>
      <c r="B877" s="53"/>
      <c r="C877" s="93"/>
      <c r="D877" s="93"/>
      <c r="E877" s="93"/>
      <c r="F877" s="93"/>
      <c r="G877" s="9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</row>
    <row r="878">
      <c r="A878" s="93"/>
      <c r="B878" s="53"/>
      <c r="C878" s="93"/>
      <c r="D878" s="93"/>
      <c r="E878" s="93"/>
      <c r="F878" s="93"/>
      <c r="G878" s="9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</row>
    <row r="879">
      <c r="A879" s="93"/>
      <c r="B879" s="53"/>
      <c r="C879" s="93"/>
      <c r="D879" s="93"/>
      <c r="E879" s="93"/>
      <c r="F879" s="93"/>
      <c r="G879" s="9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</row>
    <row r="880">
      <c r="A880" s="93"/>
      <c r="B880" s="53"/>
      <c r="C880" s="93"/>
      <c r="D880" s="93"/>
      <c r="E880" s="93"/>
      <c r="F880" s="93"/>
      <c r="G880" s="9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</row>
    <row r="881">
      <c r="A881" s="93"/>
      <c r="B881" s="53"/>
      <c r="C881" s="93"/>
      <c r="D881" s="93"/>
      <c r="E881" s="93"/>
      <c r="F881" s="93"/>
      <c r="G881" s="9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</row>
    <row r="882">
      <c r="A882" s="93"/>
      <c r="B882" s="53"/>
      <c r="C882" s="93"/>
      <c r="D882" s="93"/>
      <c r="E882" s="93"/>
      <c r="F882" s="93"/>
      <c r="G882" s="9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</row>
    <row r="883">
      <c r="A883" s="93"/>
      <c r="B883" s="53"/>
      <c r="C883" s="93"/>
      <c r="D883" s="93"/>
      <c r="E883" s="93"/>
      <c r="F883" s="93"/>
      <c r="G883" s="9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</row>
    <row r="884">
      <c r="A884" s="93"/>
      <c r="B884" s="53"/>
      <c r="C884" s="93"/>
      <c r="D884" s="93"/>
      <c r="E884" s="93"/>
      <c r="F884" s="93"/>
      <c r="G884" s="9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</row>
    <row r="885">
      <c r="A885" s="93"/>
      <c r="B885" s="53"/>
      <c r="C885" s="93"/>
      <c r="D885" s="93"/>
      <c r="E885" s="93"/>
      <c r="F885" s="93"/>
      <c r="G885" s="9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</row>
    <row r="886">
      <c r="A886" s="93"/>
      <c r="B886" s="53"/>
      <c r="C886" s="93"/>
      <c r="D886" s="93"/>
      <c r="E886" s="93"/>
      <c r="F886" s="93"/>
      <c r="G886" s="9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</row>
    <row r="887">
      <c r="A887" s="93"/>
      <c r="B887" s="53"/>
      <c r="C887" s="93"/>
      <c r="D887" s="93"/>
      <c r="E887" s="93"/>
      <c r="F887" s="93"/>
      <c r="G887" s="9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</row>
    <row r="888">
      <c r="A888" s="93"/>
      <c r="B888" s="53"/>
      <c r="C888" s="93"/>
      <c r="D888" s="93"/>
      <c r="E888" s="93"/>
      <c r="F888" s="93"/>
      <c r="G888" s="9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</row>
    <row r="889">
      <c r="A889" s="93"/>
      <c r="B889" s="53"/>
      <c r="C889" s="93"/>
      <c r="D889" s="93"/>
      <c r="E889" s="93"/>
      <c r="F889" s="93"/>
      <c r="G889" s="9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</row>
    <row r="890">
      <c r="A890" s="93"/>
      <c r="B890" s="53"/>
      <c r="C890" s="93"/>
      <c r="D890" s="93"/>
      <c r="E890" s="93"/>
      <c r="F890" s="93"/>
      <c r="G890" s="9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</row>
    <row r="891">
      <c r="A891" s="93"/>
      <c r="B891" s="53"/>
      <c r="C891" s="93"/>
      <c r="D891" s="93"/>
      <c r="E891" s="93"/>
      <c r="F891" s="93"/>
      <c r="G891" s="9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</row>
    <row r="892">
      <c r="A892" s="93"/>
      <c r="B892" s="53"/>
      <c r="C892" s="93"/>
      <c r="D892" s="93"/>
      <c r="E892" s="93"/>
      <c r="F892" s="93"/>
      <c r="G892" s="9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</row>
    <row r="893">
      <c r="A893" s="93"/>
      <c r="B893" s="53"/>
      <c r="C893" s="93"/>
      <c r="D893" s="93"/>
      <c r="E893" s="93"/>
      <c r="F893" s="93"/>
      <c r="G893" s="9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</row>
    <row r="894">
      <c r="A894" s="93"/>
      <c r="B894" s="53"/>
      <c r="C894" s="93"/>
      <c r="D894" s="93"/>
      <c r="E894" s="93"/>
      <c r="F894" s="93"/>
      <c r="G894" s="9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</row>
    <row r="895">
      <c r="A895" s="93"/>
      <c r="B895" s="53"/>
      <c r="C895" s="93"/>
      <c r="D895" s="93"/>
      <c r="E895" s="93"/>
      <c r="F895" s="93"/>
      <c r="G895" s="9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</row>
    <row r="896">
      <c r="A896" s="93"/>
      <c r="B896" s="53"/>
      <c r="C896" s="93"/>
      <c r="D896" s="93"/>
      <c r="E896" s="93"/>
      <c r="F896" s="93"/>
      <c r="G896" s="9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</row>
    <row r="897">
      <c r="A897" s="93"/>
      <c r="B897" s="53"/>
      <c r="C897" s="93"/>
      <c r="D897" s="93"/>
      <c r="E897" s="93"/>
      <c r="F897" s="93"/>
      <c r="G897" s="9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</row>
    <row r="898">
      <c r="A898" s="93"/>
      <c r="B898" s="53"/>
      <c r="C898" s="93"/>
      <c r="D898" s="93"/>
      <c r="E898" s="93"/>
      <c r="F898" s="93"/>
      <c r="G898" s="9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</row>
    <row r="899">
      <c r="A899" s="93"/>
      <c r="B899" s="53"/>
      <c r="C899" s="93"/>
      <c r="D899" s="93"/>
      <c r="E899" s="93"/>
      <c r="F899" s="93"/>
      <c r="G899" s="9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</row>
    <row r="900">
      <c r="A900" s="93"/>
      <c r="B900" s="53"/>
      <c r="C900" s="93"/>
      <c r="D900" s="93"/>
      <c r="E900" s="93"/>
      <c r="F900" s="93"/>
      <c r="G900" s="9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</row>
    <row r="901">
      <c r="A901" s="93"/>
      <c r="B901" s="53"/>
      <c r="C901" s="93"/>
      <c r="D901" s="93"/>
      <c r="E901" s="93"/>
      <c r="F901" s="93"/>
      <c r="G901" s="9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</row>
    <row r="902">
      <c r="A902" s="93"/>
      <c r="B902" s="53"/>
      <c r="C902" s="93"/>
      <c r="D902" s="93"/>
      <c r="E902" s="93"/>
      <c r="F902" s="93"/>
      <c r="G902" s="9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</row>
    <row r="903">
      <c r="A903" s="93"/>
      <c r="B903" s="53"/>
      <c r="C903" s="93"/>
      <c r="D903" s="93"/>
      <c r="E903" s="93"/>
      <c r="F903" s="93"/>
      <c r="G903" s="9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</row>
    <row r="904">
      <c r="A904" s="93"/>
      <c r="B904" s="53"/>
      <c r="C904" s="93"/>
      <c r="D904" s="93"/>
      <c r="E904" s="93"/>
      <c r="F904" s="93"/>
      <c r="G904" s="9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</row>
    <row r="905">
      <c r="A905" s="93"/>
      <c r="B905" s="53"/>
      <c r="C905" s="93"/>
      <c r="D905" s="93"/>
      <c r="E905" s="93"/>
      <c r="F905" s="93"/>
      <c r="G905" s="9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</row>
    <row r="906">
      <c r="A906" s="93"/>
      <c r="B906" s="53"/>
      <c r="C906" s="93"/>
      <c r="D906" s="93"/>
      <c r="E906" s="93"/>
      <c r="F906" s="93"/>
      <c r="G906" s="9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</row>
    <row r="907">
      <c r="A907" s="93"/>
      <c r="B907" s="53"/>
      <c r="C907" s="93"/>
      <c r="D907" s="93"/>
      <c r="E907" s="93"/>
      <c r="F907" s="93"/>
      <c r="G907" s="9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</row>
    <row r="908">
      <c r="A908" s="93"/>
      <c r="B908" s="53"/>
      <c r="C908" s="93"/>
      <c r="D908" s="93"/>
      <c r="E908" s="93"/>
      <c r="F908" s="93"/>
      <c r="G908" s="9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</row>
    <row r="909">
      <c r="A909" s="93"/>
      <c r="B909" s="53"/>
      <c r="C909" s="93"/>
      <c r="D909" s="93"/>
      <c r="E909" s="93"/>
      <c r="F909" s="93"/>
      <c r="G909" s="9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</row>
    <row r="910">
      <c r="A910" s="93"/>
      <c r="B910" s="53"/>
      <c r="C910" s="93"/>
      <c r="D910" s="93"/>
      <c r="E910" s="93"/>
      <c r="F910" s="93"/>
      <c r="G910" s="9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</row>
    <row r="911">
      <c r="A911" s="93"/>
      <c r="B911" s="53"/>
      <c r="C911" s="93"/>
      <c r="D911" s="93"/>
      <c r="E911" s="93"/>
      <c r="F911" s="93"/>
      <c r="G911" s="9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</row>
    <row r="912">
      <c r="A912" s="93"/>
      <c r="B912" s="53"/>
      <c r="C912" s="93"/>
      <c r="D912" s="93"/>
      <c r="E912" s="93"/>
      <c r="F912" s="93"/>
      <c r="G912" s="9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</row>
    <row r="913">
      <c r="A913" s="93"/>
      <c r="B913" s="53"/>
      <c r="C913" s="93"/>
      <c r="D913" s="93"/>
      <c r="E913" s="93"/>
      <c r="F913" s="93"/>
      <c r="G913" s="9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</row>
    <row r="914">
      <c r="A914" s="93"/>
      <c r="B914" s="53"/>
      <c r="C914" s="93"/>
      <c r="D914" s="93"/>
      <c r="E914" s="93"/>
      <c r="F914" s="93"/>
      <c r="G914" s="9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</row>
    <row r="915">
      <c r="A915" s="93"/>
      <c r="B915" s="53"/>
      <c r="C915" s="93"/>
      <c r="D915" s="93"/>
      <c r="E915" s="93"/>
      <c r="F915" s="93"/>
      <c r="G915" s="9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</row>
    <row r="916">
      <c r="A916" s="93"/>
      <c r="B916" s="53"/>
      <c r="C916" s="93"/>
      <c r="D916" s="93"/>
      <c r="E916" s="93"/>
      <c r="F916" s="93"/>
      <c r="G916" s="9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</row>
    <row r="917">
      <c r="A917" s="93"/>
      <c r="B917" s="53"/>
      <c r="C917" s="93"/>
      <c r="D917" s="93"/>
      <c r="E917" s="93"/>
      <c r="F917" s="93"/>
      <c r="G917" s="9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</row>
    <row r="918">
      <c r="A918" s="93"/>
      <c r="B918" s="53"/>
      <c r="C918" s="93"/>
      <c r="D918" s="93"/>
      <c r="E918" s="93"/>
      <c r="F918" s="93"/>
      <c r="G918" s="9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</row>
    <row r="919">
      <c r="A919" s="93"/>
      <c r="B919" s="53"/>
      <c r="C919" s="93"/>
      <c r="D919" s="93"/>
      <c r="E919" s="93"/>
      <c r="F919" s="93"/>
      <c r="G919" s="9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</row>
    <row r="920">
      <c r="A920" s="93"/>
      <c r="B920" s="53"/>
      <c r="C920" s="93"/>
      <c r="D920" s="93"/>
      <c r="E920" s="93"/>
      <c r="F920" s="93"/>
      <c r="G920" s="9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</row>
    <row r="921">
      <c r="A921" s="93"/>
      <c r="B921" s="53"/>
      <c r="C921" s="93"/>
      <c r="D921" s="93"/>
      <c r="E921" s="93"/>
      <c r="F921" s="93"/>
      <c r="G921" s="9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</row>
    <row r="922">
      <c r="A922" s="93"/>
      <c r="B922" s="53"/>
      <c r="C922" s="93"/>
      <c r="D922" s="93"/>
      <c r="E922" s="93"/>
      <c r="F922" s="93"/>
      <c r="G922" s="9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</row>
    <row r="923">
      <c r="A923" s="93"/>
      <c r="B923" s="53"/>
      <c r="C923" s="93"/>
      <c r="D923" s="93"/>
      <c r="E923" s="93"/>
      <c r="F923" s="93"/>
      <c r="G923" s="9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</row>
    <row r="924">
      <c r="A924" s="93"/>
      <c r="B924" s="53"/>
      <c r="C924" s="93"/>
      <c r="D924" s="93"/>
      <c r="E924" s="93"/>
      <c r="F924" s="93"/>
      <c r="G924" s="9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</row>
    <row r="925">
      <c r="A925" s="93"/>
      <c r="B925" s="53"/>
      <c r="C925" s="93"/>
      <c r="D925" s="93"/>
      <c r="E925" s="93"/>
      <c r="F925" s="93"/>
      <c r="G925" s="9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</row>
    <row r="926">
      <c r="A926" s="93"/>
      <c r="B926" s="53"/>
      <c r="C926" s="93"/>
      <c r="D926" s="93"/>
      <c r="E926" s="93"/>
      <c r="F926" s="93"/>
      <c r="G926" s="9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</row>
    <row r="927">
      <c r="A927" s="93"/>
      <c r="B927" s="53"/>
      <c r="C927" s="93"/>
      <c r="D927" s="93"/>
      <c r="E927" s="93"/>
      <c r="F927" s="93"/>
      <c r="G927" s="9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</row>
    <row r="928">
      <c r="A928" s="93"/>
      <c r="B928" s="53"/>
      <c r="C928" s="93"/>
      <c r="D928" s="93"/>
      <c r="E928" s="93"/>
      <c r="F928" s="93"/>
      <c r="G928" s="9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</row>
    <row r="929">
      <c r="A929" s="93"/>
      <c r="B929" s="53"/>
      <c r="C929" s="93"/>
      <c r="D929" s="93"/>
      <c r="E929" s="93"/>
      <c r="F929" s="93"/>
      <c r="G929" s="9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</row>
    <row r="930">
      <c r="A930" s="93"/>
      <c r="B930" s="53"/>
      <c r="C930" s="93"/>
      <c r="D930" s="93"/>
      <c r="E930" s="93"/>
      <c r="F930" s="93"/>
      <c r="G930" s="9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</row>
    <row r="931">
      <c r="A931" s="93"/>
      <c r="B931" s="53"/>
      <c r="C931" s="93"/>
      <c r="D931" s="93"/>
      <c r="E931" s="93"/>
      <c r="F931" s="93"/>
      <c r="G931" s="9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</row>
    <row r="932">
      <c r="A932" s="93"/>
      <c r="B932" s="53"/>
      <c r="C932" s="93"/>
      <c r="D932" s="93"/>
      <c r="E932" s="93"/>
      <c r="F932" s="93"/>
      <c r="G932" s="9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</row>
    <row r="933">
      <c r="A933" s="93"/>
      <c r="B933" s="53"/>
      <c r="C933" s="93"/>
      <c r="D933" s="93"/>
      <c r="E933" s="93"/>
      <c r="F933" s="93"/>
      <c r="G933" s="9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</row>
    <row r="934">
      <c r="A934" s="93"/>
      <c r="B934" s="53"/>
      <c r="C934" s="93"/>
      <c r="D934" s="93"/>
      <c r="E934" s="93"/>
      <c r="F934" s="93"/>
      <c r="G934" s="9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</row>
    <row r="935">
      <c r="A935" s="93"/>
      <c r="B935" s="53"/>
      <c r="C935" s="93"/>
      <c r="D935" s="93"/>
      <c r="E935" s="93"/>
      <c r="F935" s="93"/>
      <c r="G935" s="9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</row>
    <row r="936">
      <c r="A936" s="93"/>
      <c r="B936" s="53"/>
      <c r="C936" s="93"/>
      <c r="D936" s="93"/>
      <c r="E936" s="93"/>
      <c r="F936" s="93"/>
      <c r="G936" s="9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</row>
    <row r="937">
      <c r="A937" s="93"/>
      <c r="B937" s="53"/>
      <c r="C937" s="93"/>
      <c r="D937" s="93"/>
      <c r="E937" s="93"/>
      <c r="F937" s="93"/>
      <c r="G937" s="9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</row>
    <row r="938">
      <c r="A938" s="93"/>
      <c r="B938" s="53"/>
      <c r="C938" s="93"/>
      <c r="D938" s="93"/>
      <c r="E938" s="93"/>
      <c r="F938" s="93"/>
      <c r="G938" s="9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</row>
    <row r="939">
      <c r="A939" s="93"/>
      <c r="B939" s="53"/>
      <c r="C939" s="93"/>
      <c r="D939" s="93"/>
      <c r="E939" s="93"/>
      <c r="F939" s="93"/>
      <c r="G939" s="9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</row>
    <row r="940">
      <c r="A940" s="93"/>
      <c r="B940" s="53"/>
      <c r="C940" s="93"/>
      <c r="D940" s="93"/>
      <c r="E940" s="93"/>
      <c r="F940" s="93"/>
      <c r="G940" s="9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</row>
    <row r="941">
      <c r="A941" s="93"/>
      <c r="B941" s="53"/>
      <c r="C941" s="93"/>
      <c r="D941" s="93"/>
      <c r="E941" s="93"/>
      <c r="F941" s="93"/>
      <c r="G941" s="9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</row>
    <row r="942">
      <c r="A942" s="93"/>
      <c r="B942" s="53"/>
      <c r="C942" s="93"/>
      <c r="D942" s="93"/>
      <c r="E942" s="93"/>
      <c r="F942" s="93"/>
      <c r="G942" s="9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</row>
    <row r="943">
      <c r="A943" s="93"/>
      <c r="B943" s="53"/>
      <c r="C943" s="93"/>
      <c r="D943" s="93"/>
      <c r="E943" s="93"/>
      <c r="F943" s="93"/>
      <c r="G943" s="9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</row>
    <row r="944">
      <c r="A944" s="93"/>
      <c r="B944" s="53"/>
      <c r="C944" s="93"/>
      <c r="D944" s="93"/>
      <c r="E944" s="93"/>
      <c r="F944" s="93"/>
      <c r="G944" s="9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</row>
    <row r="945">
      <c r="A945" s="93"/>
      <c r="B945" s="53"/>
      <c r="C945" s="93"/>
      <c r="D945" s="93"/>
      <c r="E945" s="93"/>
      <c r="F945" s="93"/>
      <c r="G945" s="9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</row>
    <row r="946">
      <c r="A946" s="93"/>
      <c r="B946" s="53"/>
      <c r="C946" s="93"/>
      <c r="D946" s="93"/>
      <c r="E946" s="93"/>
      <c r="F946" s="93"/>
      <c r="G946" s="9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</row>
    <row r="947">
      <c r="A947" s="93"/>
      <c r="B947" s="53"/>
      <c r="C947" s="93"/>
      <c r="D947" s="93"/>
      <c r="E947" s="93"/>
      <c r="F947" s="93"/>
      <c r="G947" s="9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</row>
    <row r="948">
      <c r="A948" s="93"/>
      <c r="B948" s="53"/>
      <c r="C948" s="93"/>
      <c r="D948" s="93"/>
      <c r="E948" s="93"/>
      <c r="F948" s="93"/>
      <c r="G948" s="9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</row>
    <row r="949">
      <c r="A949" s="93"/>
      <c r="B949" s="53"/>
      <c r="C949" s="93"/>
      <c r="D949" s="93"/>
      <c r="E949" s="93"/>
      <c r="F949" s="93"/>
      <c r="G949" s="9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</row>
    <row r="950">
      <c r="A950" s="93"/>
      <c r="B950" s="53"/>
      <c r="C950" s="93"/>
      <c r="D950" s="93"/>
      <c r="E950" s="93"/>
      <c r="F950" s="93"/>
      <c r="G950" s="9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</row>
    <row r="951">
      <c r="A951" s="93"/>
      <c r="B951" s="53"/>
      <c r="C951" s="93"/>
      <c r="D951" s="93"/>
      <c r="E951" s="93"/>
      <c r="F951" s="93"/>
      <c r="G951" s="9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</row>
    <row r="952">
      <c r="A952" s="93"/>
      <c r="B952" s="53"/>
      <c r="C952" s="93"/>
      <c r="D952" s="93"/>
      <c r="E952" s="93"/>
      <c r="F952" s="93"/>
      <c r="G952" s="9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</row>
    <row r="953">
      <c r="A953" s="93"/>
      <c r="B953" s="53"/>
      <c r="C953" s="93"/>
      <c r="D953" s="93"/>
      <c r="E953" s="93"/>
      <c r="F953" s="93"/>
      <c r="G953" s="9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</row>
    <row r="954">
      <c r="A954" s="93"/>
      <c r="B954" s="53"/>
      <c r="C954" s="93"/>
      <c r="D954" s="93"/>
      <c r="E954" s="93"/>
      <c r="F954" s="93"/>
      <c r="G954" s="9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</row>
    <row r="955">
      <c r="A955" s="93"/>
      <c r="B955" s="53"/>
      <c r="C955" s="93"/>
      <c r="D955" s="93"/>
      <c r="E955" s="93"/>
      <c r="F955" s="93"/>
      <c r="G955" s="9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</row>
    <row r="956">
      <c r="A956" s="93"/>
      <c r="B956" s="53"/>
      <c r="C956" s="93"/>
      <c r="D956" s="93"/>
      <c r="E956" s="93"/>
      <c r="F956" s="93"/>
      <c r="G956" s="9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</row>
    <row r="957">
      <c r="A957" s="93"/>
      <c r="B957" s="53"/>
      <c r="C957" s="93"/>
      <c r="D957" s="93"/>
      <c r="E957" s="93"/>
      <c r="F957" s="93"/>
      <c r="G957" s="9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</row>
    <row r="958">
      <c r="A958" s="93"/>
      <c r="B958" s="53"/>
      <c r="C958" s="93"/>
      <c r="D958" s="93"/>
      <c r="E958" s="93"/>
      <c r="F958" s="93"/>
      <c r="G958" s="9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</row>
    <row r="959">
      <c r="A959" s="93"/>
      <c r="B959" s="53"/>
      <c r="C959" s="93"/>
      <c r="D959" s="93"/>
      <c r="E959" s="93"/>
      <c r="F959" s="93"/>
      <c r="G959" s="9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</row>
    <row r="960">
      <c r="A960" s="93"/>
      <c r="B960" s="53"/>
      <c r="C960" s="93"/>
      <c r="D960" s="93"/>
      <c r="E960" s="93"/>
      <c r="F960" s="93"/>
      <c r="G960" s="9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</row>
    <row r="961">
      <c r="A961" s="93"/>
      <c r="B961" s="53"/>
      <c r="C961" s="93"/>
      <c r="D961" s="93"/>
      <c r="E961" s="93"/>
      <c r="F961" s="93"/>
      <c r="G961" s="9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</row>
    <row r="962">
      <c r="A962" s="93"/>
      <c r="B962" s="53"/>
      <c r="C962" s="93"/>
      <c r="D962" s="93"/>
      <c r="E962" s="93"/>
      <c r="F962" s="93"/>
      <c r="G962" s="9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</row>
    <row r="963">
      <c r="A963" s="93"/>
      <c r="B963" s="53"/>
      <c r="C963" s="93"/>
      <c r="D963" s="93"/>
      <c r="E963" s="93"/>
      <c r="F963" s="93"/>
      <c r="G963" s="9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</row>
    <row r="964">
      <c r="A964" s="93"/>
      <c r="B964" s="53"/>
      <c r="C964" s="93"/>
      <c r="D964" s="93"/>
      <c r="E964" s="93"/>
      <c r="F964" s="93"/>
      <c r="G964" s="9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</row>
    <row r="965">
      <c r="A965" s="93"/>
      <c r="B965" s="53"/>
      <c r="C965" s="93"/>
      <c r="D965" s="93"/>
      <c r="E965" s="93"/>
      <c r="F965" s="93"/>
      <c r="G965" s="9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</row>
    <row r="966">
      <c r="A966" s="93"/>
      <c r="B966" s="53"/>
      <c r="C966" s="93"/>
      <c r="D966" s="93"/>
      <c r="E966" s="93"/>
      <c r="F966" s="93"/>
      <c r="G966" s="9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</row>
    <row r="967">
      <c r="A967" s="93"/>
      <c r="B967" s="53"/>
      <c r="C967" s="93"/>
      <c r="D967" s="93"/>
      <c r="E967" s="93"/>
      <c r="F967" s="93"/>
      <c r="G967" s="9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</row>
    <row r="968">
      <c r="A968" s="93"/>
      <c r="B968" s="53"/>
      <c r="C968" s="93"/>
      <c r="D968" s="93"/>
      <c r="E968" s="93"/>
      <c r="F968" s="93"/>
      <c r="G968" s="9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</row>
    <row r="969">
      <c r="A969" s="93"/>
      <c r="B969" s="53"/>
      <c r="C969" s="93"/>
      <c r="D969" s="93"/>
      <c r="E969" s="93"/>
      <c r="F969" s="93"/>
      <c r="G969" s="9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</row>
    <row r="970">
      <c r="A970" s="93"/>
      <c r="B970" s="53"/>
      <c r="C970" s="93"/>
      <c r="D970" s="93"/>
      <c r="E970" s="93"/>
      <c r="F970" s="93"/>
      <c r="G970" s="9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</row>
    <row r="971">
      <c r="A971" s="93"/>
      <c r="B971" s="53"/>
      <c r="C971" s="93"/>
      <c r="D971" s="93"/>
      <c r="E971" s="93"/>
      <c r="F971" s="93"/>
      <c r="G971" s="9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</row>
    <row r="972">
      <c r="A972" s="93"/>
      <c r="B972" s="53"/>
      <c r="C972" s="93"/>
      <c r="D972" s="93"/>
      <c r="E972" s="93"/>
      <c r="F972" s="93"/>
      <c r="G972" s="9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</row>
    <row r="973">
      <c r="A973" s="93"/>
      <c r="B973" s="53"/>
      <c r="C973" s="93"/>
      <c r="D973" s="93"/>
      <c r="E973" s="93"/>
      <c r="F973" s="93"/>
      <c r="G973" s="9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</row>
    <row r="974">
      <c r="A974" s="93"/>
      <c r="B974" s="53"/>
      <c r="C974" s="93"/>
      <c r="D974" s="93"/>
      <c r="E974" s="93"/>
      <c r="F974" s="93"/>
      <c r="G974" s="9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</row>
    <row r="975">
      <c r="A975" s="93"/>
      <c r="B975" s="53"/>
      <c r="C975" s="93"/>
      <c r="D975" s="93"/>
      <c r="E975" s="93"/>
      <c r="F975" s="93"/>
      <c r="G975" s="9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</row>
    <row r="976">
      <c r="A976" s="93"/>
      <c r="B976" s="53"/>
      <c r="C976" s="93"/>
      <c r="D976" s="93"/>
      <c r="E976" s="93"/>
      <c r="F976" s="93"/>
      <c r="G976" s="9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</row>
    <row r="977">
      <c r="A977" s="93"/>
      <c r="B977" s="53"/>
      <c r="C977" s="93"/>
      <c r="D977" s="93"/>
      <c r="E977" s="93"/>
      <c r="F977" s="93"/>
      <c r="G977" s="9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</row>
    <row r="978">
      <c r="A978" s="93"/>
      <c r="B978" s="53"/>
      <c r="C978" s="93"/>
      <c r="D978" s="93"/>
      <c r="E978" s="93"/>
      <c r="F978" s="93"/>
      <c r="G978" s="9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</row>
    <row r="979">
      <c r="A979" s="93"/>
      <c r="B979" s="53"/>
      <c r="C979" s="93"/>
      <c r="D979" s="93"/>
      <c r="E979" s="93"/>
      <c r="F979" s="93"/>
      <c r="G979" s="9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</row>
    <row r="980">
      <c r="A980" s="93"/>
      <c r="B980" s="53"/>
      <c r="C980" s="93"/>
      <c r="D980" s="93"/>
      <c r="E980" s="93"/>
      <c r="F980" s="93"/>
      <c r="G980" s="9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</row>
    <row r="981">
      <c r="A981" s="93"/>
      <c r="B981" s="53"/>
      <c r="C981" s="93"/>
      <c r="D981" s="93"/>
      <c r="E981" s="93"/>
      <c r="F981" s="93"/>
      <c r="G981" s="9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</row>
    <row r="982">
      <c r="A982" s="93"/>
      <c r="B982" s="53"/>
      <c r="C982" s="93"/>
      <c r="D982" s="93"/>
      <c r="E982" s="93"/>
      <c r="F982" s="93"/>
      <c r="G982" s="9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</row>
    <row r="983">
      <c r="A983" s="93"/>
      <c r="B983" s="53"/>
      <c r="C983" s="93"/>
      <c r="D983" s="93"/>
      <c r="E983" s="93"/>
      <c r="F983" s="93"/>
      <c r="G983" s="9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</row>
    <row r="984">
      <c r="A984" s="93"/>
      <c r="B984" s="53"/>
      <c r="C984" s="93"/>
      <c r="D984" s="93"/>
      <c r="E984" s="93"/>
      <c r="F984" s="93"/>
      <c r="G984" s="9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</row>
    <row r="985">
      <c r="A985" s="93"/>
      <c r="B985" s="53"/>
      <c r="C985" s="93"/>
      <c r="D985" s="93"/>
      <c r="E985" s="93"/>
      <c r="F985" s="93"/>
      <c r="G985" s="9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</row>
    <row r="986">
      <c r="A986" s="93"/>
      <c r="B986" s="53"/>
      <c r="C986" s="93"/>
      <c r="D986" s="93"/>
      <c r="E986" s="93"/>
      <c r="F986" s="93"/>
      <c r="G986" s="9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</row>
    <row r="987">
      <c r="A987" s="93"/>
      <c r="B987" s="53"/>
      <c r="C987" s="93"/>
      <c r="D987" s="93"/>
      <c r="E987" s="93"/>
      <c r="F987" s="93"/>
      <c r="G987" s="9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</row>
    <row r="988">
      <c r="A988" s="93"/>
      <c r="B988" s="53"/>
      <c r="C988" s="93"/>
      <c r="D988" s="93"/>
      <c r="E988" s="93"/>
      <c r="F988" s="93"/>
      <c r="G988" s="9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</row>
    <row r="989">
      <c r="A989" s="93"/>
      <c r="B989" s="53"/>
      <c r="C989" s="93"/>
      <c r="D989" s="93"/>
      <c r="E989" s="93"/>
      <c r="F989" s="93"/>
      <c r="G989" s="9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</row>
    <row r="990">
      <c r="A990" s="93"/>
      <c r="B990" s="53"/>
      <c r="C990" s="93"/>
      <c r="D990" s="93"/>
      <c r="E990" s="93"/>
      <c r="F990" s="93"/>
      <c r="G990" s="9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</row>
    <row r="991">
      <c r="A991" s="93"/>
      <c r="B991" s="53"/>
      <c r="C991" s="93"/>
      <c r="D991" s="93"/>
      <c r="E991" s="93"/>
      <c r="F991" s="93"/>
      <c r="G991" s="9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</row>
    <row r="992">
      <c r="A992" s="93"/>
      <c r="B992" s="53"/>
      <c r="C992" s="93"/>
      <c r="D992" s="93"/>
      <c r="E992" s="93"/>
      <c r="F992" s="93"/>
      <c r="G992" s="9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</row>
    <row r="993">
      <c r="A993" s="93"/>
      <c r="B993" s="53"/>
      <c r="C993" s="93"/>
      <c r="D993" s="93"/>
      <c r="E993" s="93"/>
      <c r="F993" s="93"/>
      <c r="G993" s="9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</row>
    <row r="994">
      <c r="A994" s="93"/>
      <c r="B994" s="53"/>
      <c r="C994" s="93"/>
      <c r="D994" s="93"/>
      <c r="E994" s="93"/>
      <c r="F994" s="93"/>
      <c r="G994" s="9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</row>
    <row r="995">
      <c r="A995" s="93"/>
      <c r="B995" s="53"/>
      <c r="C995" s="93"/>
      <c r="D995" s="93"/>
      <c r="E995" s="93"/>
      <c r="F995" s="93"/>
      <c r="G995" s="9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</row>
    <row r="996">
      <c r="A996" s="93"/>
      <c r="B996" s="53"/>
      <c r="C996" s="93"/>
      <c r="D996" s="93"/>
      <c r="E996" s="93"/>
      <c r="F996" s="93"/>
      <c r="G996" s="9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</row>
    <row r="997">
      <c r="A997" s="93"/>
      <c r="B997" s="53"/>
      <c r="C997" s="93"/>
      <c r="D997" s="93"/>
      <c r="E997" s="93"/>
      <c r="F997" s="93"/>
      <c r="G997" s="9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</row>
    <row r="998">
      <c r="A998" s="93"/>
      <c r="B998" s="53"/>
      <c r="C998" s="93"/>
      <c r="D998" s="93"/>
      <c r="E998" s="93"/>
      <c r="F998" s="93"/>
      <c r="G998" s="9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</row>
  </sheetData>
  <mergeCells count="12">
    <mergeCell ref="A48:B48"/>
    <mergeCell ref="A56:B56"/>
    <mergeCell ref="A65:B65"/>
    <mergeCell ref="A73:B73"/>
    <mergeCell ref="A80:B80"/>
    <mergeCell ref="A1:F1"/>
    <mergeCell ref="A9:B9"/>
    <mergeCell ref="A17:B17"/>
    <mergeCell ref="A23:B23"/>
    <mergeCell ref="A30:B30"/>
    <mergeCell ref="A35:B35"/>
    <mergeCell ref="A42:B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4.29"/>
    <col customWidth="1" min="3" max="3" width="17.14"/>
    <col customWidth="1" min="4" max="4" width="20.57"/>
    <col customWidth="1" min="5" max="5" width="27.71"/>
    <col customWidth="1" min="6" max="6" width="16.0"/>
    <col customWidth="1" min="7" max="7" width="11.43"/>
    <col customWidth="1" min="8" max="10" width="13.71"/>
    <col customWidth="1" min="11" max="11" width="34.29"/>
    <col customWidth="1" min="12" max="12" width="22.86"/>
    <col customWidth="1" min="13" max="26" width="9.86"/>
  </cols>
  <sheetData>
    <row r="1" ht="30.0" customHeight="1">
      <c r="A1" s="123" t="s">
        <v>366</v>
      </c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ht="24.75" customHeight="1">
      <c r="A3" s="124" t="s">
        <v>367</v>
      </c>
    </row>
    <row r="4">
      <c r="A4" s="125" t="s">
        <v>368</v>
      </c>
    </row>
    <row r="5">
      <c r="A5" s="126" t="s">
        <v>369</v>
      </c>
    </row>
    <row r="6">
      <c r="A6" s="48"/>
      <c r="B6" s="127" t="s">
        <v>370</v>
      </c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>
      <c r="A7" s="48"/>
      <c r="B7" s="127" t="s">
        <v>371</v>
      </c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>
      <c r="A8" s="48"/>
      <c r="B8" s="127" t="s">
        <v>372</v>
      </c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>
      <c r="A9" s="48"/>
      <c r="B9" s="127" t="s">
        <v>373</v>
      </c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>
      <c r="A10" s="48"/>
      <c r="B10" s="127" t="s">
        <v>374</v>
      </c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>
      <c r="A11" s="48"/>
      <c r="B11" s="127" t="s">
        <v>375</v>
      </c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</row>
    <row r="13" ht="24.75" customHeight="1">
      <c r="A13" s="129" t="s">
        <v>376</v>
      </c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130" t="s">
        <v>377</v>
      </c>
      <c r="B14" s="130" t="s">
        <v>378</v>
      </c>
      <c r="C14" s="130" t="s">
        <v>32</v>
      </c>
      <c r="D14" s="130" t="s">
        <v>379</v>
      </c>
      <c r="E14" s="130" t="s">
        <v>380</v>
      </c>
      <c r="F14" s="130" t="s">
        <v>154</v>
      </c>
      <c r="G14" s="130" t="s">
        <v>381</v>
      </c>
      <c r="H14" s="130" t="s">
        <v>382</v>
      </c>
      <c r="I14" s="130" t="s">
        <v>383</v>
      </c>
      <c r="J14" s="130" t="s">
        <v>384</v>
      </c>
      <c r="K14" s="130" t="s">
        <v>385</v>
      </c>
      <c r="L14" s="130" t="s">
        <v>386</v>
      </c>
      <c r="M14" s="130" t="s">
        <v>387</v>
      </c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>
      <c r="A15" s="128" t="s">
        <v>388</v>
      </c>
      <c r="B15" s="132" t="s">
        <v>389</v>
      </c>
      <c r="C15" s="128" t="s">
        <v>390</v>
      </c>
      <c r="D15" s="128" t="s">
        <v>391</v>
      </c>
      <c r="E15" s="128" t="s">
        <v>392</v>
      </c>
      <c r="F15" s="128" t="s">
        <v>393</v>
      </c>
      <c r="G15" s="128" t="s">
        <v>394</v>
      </c>
      <c r="H15" s="128" t="s">
        <v>395</v>
      </c>
      <c r="I15" s="48"/>
      <c r="J15" s="128" t="s">
        <v>396</v>
      </c>
      <c r="K15" s="48"/>
      <c r="L15" s="4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>
      <c r="A16" s="128" t="s">
        <v>397</v>
      </c>
      <c r="B16" s="132" t="s">
        <v>398</v>
      </c>
      <c r="C16" s="128" t="s">
        <v>399</v>
      </c>
      <c r="D16" s="128" t="s">
        <v>400</v>
      </c>
      <c r="E16" s="128" t="s">
        <v>401</v>
      </c>
      <c r="F16" s="128" t="s">
        <v>393</v>
      </c>
      <c r="G16" s="128" t="s">
        <v>394</v>
      </c>
      <c r="H16" s="128" t="s">
        <v>395</v>
      </c>
      <c r="I16" s="48"/>
      <c r="J16" s="128" t="s">
        <v>396</v>
      </c>
      <c r="K16" s="48"/>
      <c r="L16" s="4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>
      <c r="A17" s="128" t="s">
        <v>402</v>
      </c>
      <c r="B17" s="132" t="s">
        <v>403</v>
      </c>
      <c r="C17" s="128" t="s">
        <v>399</v>
      </c>
      <c r="D17" s="128" t="s">
        <v>391</v>
      </c>
      <c r="E17" s="128" t="s">
        <v>392</v>
      </c>
      <c r="F17" s="128" t="s">
        <v>393</v>
      </c>
      <c r="G17" s="128" t="s">
        <v>394</v>
      </c>
      <c r="H17" s="128" t="s">
        <v>395</v>
      </c>
      <c r="I17" s="48"/>
      <c r="J17" s="128" t="s">
        <v>404</v>
      </c>
      <c r="K17" s="48"/>
      <c r="L17" s="4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>
      <c r="A18" s="128" t="s">
        <v>405</v>
      </c>
      <c r="B18" s="132" t="s">
        <v>406</v>
      </c>
      <c r="C18" s="128" t="s">
        <v>390</v>
      </c>
      <c r="D18" s="128" t="s">
        <v>391</v>
      </c>
      <c r="E18" s="128" t="s">
        <v>392</v>
      </c>
      <c r="F18" s="128" t="s">
        <v>393</v>
      </c>
      <c r="G18" s="128" t="s">
        <v>394</v>
      </c>
      <c r="H18" s="128" t="s">
        <v>395</v>
      </c>
      <c r="I18" s="48"/>
      <c r="J18" s="128" t="s">
        <v>396</v>
      </c>
      <c r="K18" s="48"/>
      <c r="L18" s="4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>
      <c r="A19" s="128" t="s">
        <v>407</v>
      </c>
      <c r="B19" s="132" t="s">
        <v>408</v>
      </c>
      <c r="C19" s="133" t="s">
        <v>399</v>
      </c>
      <c r="D19" s="128" t="s">
        <v>409</v>
      </c>
      <c r="E19" s="128" t="s">
        <v>401</v>
      </c>
      <c r="F19" s="128" t="s">
        <v>393</v>
      </c>
      <c r="G19" s="128" t="s">
        <v>394</v>
      </c>
      <c r="H19" s="128" t="s">
        <v>395</v>
      </c>
      <c r="I19" s="48"/>
      <c r="J19" s="128" t="s">
        <v>396</v>
      </c>
      <c r="K19" s="48"/>
      <c r="L19" s="4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 ht="15.75" customHeight="1">
      <c r="A20" s="128" t="s">
        <v>410</v>
      </c>
      <c r="B20" s="132" t="s">
        <v>411</v>
      </c>
      <c r="C20" s="128" t="s">
        <v>399</v>
      </c>
      <c r="D20" s="128" t="s">
        <v>412</v>
      </c>
      <c r="E20" s="128" t="s">
        <v>172</v>
      </c>
      <c r="F20" s="128" t="s">
        <v>413</v>
      </c>
      <c r="G20" s="128" t="s">
        <v>394</v>
      </c>
      <c r="H20" s="128" t="s">
        <v>395</v>
      </c>
      <c r="I20" s="48"/>
      <c r="J20" s="128" t="s">
        <v>396</v>
      </c>
      <c r="K20" s="48"/>
      <c r="L20" s="4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ht="15.75" customHeight="1">
      <c r="A21" s="128" t="s">
        <v>414</v>
      </c>
      <c r="B21" s="132" t="s">
        <v>415</v>
      </c>
      <c r="C21" s="128" t="s">
        <v>399</v>
      </c>
      <c r="D21" s="128" t="s">
        <v>412</v>
      </c>
      <c r="E21" s="128" t="s">
        <v>172</v>
      </c>
      <c r="F21" s="128" t="s">
        <v>413</v>
      </c>
      <c r="G21" s="128" t="s">
        <v>394</v>
      </c>
      <c r="H21" s="128" t="s">
        <v>395</v>
      </c>
      <c r="I21" s="48"/>
      <c r="J21" s="128" t="s">
        <v>396</v>
      </c>
      <c r="K21" s="48"/>
      <c r="L21" s="4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ht="15.75" customHeight="1">
      <c r="A22" s="128" t="s">
        <v>416</v>
      </c>
      <c r="B22" s="132" t="s">
        <v>417</v>
      </c>
      <c r="C22" s="128" t="s">
        <v>399</v>
      </c>
      <c r="D22" s="128" t="s">
        <v>409</v>
      </c>
      <c r="E22" s="128" t="s">
        <v>401</v>
      </c>
      <c r="F22" s="128" t="s">
        <v>393</v>
      </c>
      <c r="G22" s="128" t="s">
        <v>394</v>
      </c>
      <c r="H22" s="128" t="s">
        <v>395</v>
      </c>
      <c r="I22" s="48"/>
      <c r="J22" s="128" t="s">
        <v>396</v>
      </c>
      <c r="K22" s="48"/>
      <c r="L22" s="4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 ht="15.75" customHeight="1">
      <c r="A23" s="128" t="s">
        <v>418</v>
      </c>
      <c r="B23" s="132" t="s">
        <v>419</v>
      </c>
      <c r="C23" s="128" t="s">
        <v>399</v>
      </c>
      <c r="D23" s="128" t="s">
        <v>420</v>
      </c>
      <c r="E23" s="128" t="s">
        <v>421</v>
      </c>
      <c r="F23" s="128" t="s">
        <v>422</v>
      </c>
      <c r="G23" s="128" t="s">
        <v>394</v>
      </c>
      <c r="H23" s="128" t="s">
        <v>395</v>
      </c>
      <c r="I23" s="48"/>
      <c r="J23" s="128" t="s">
        <v>396</v>
      </c>
      <c r="K23" s="48"/>
      <c r="L23" s="4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</row>
    <row r="26" ht="15.75" customHeight="1">
      <c r="A26" s="134" t="s">
        <v>423</v>
      </c>
      <c r="E26" s="44"/>
      <c r="F26" s="44"/>
      <c r="G26" s="44"/>
      <c r="H26" s="44"/>
      <c r="I26" s="44"/>
      <c r="J26" s="44"/>
      <c r="K26" s="44"/>
      <c r="L26" s="44"/>
    </row>
    <row r="27" ht="15.75" customHeight="1">
      <c r="A27" s="135" t="s">
        <v>424</v>
      </c>
      <c r="B27" s="136">
        <f>COUNTA(A15:A23)</f>
        <v>9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</row>
    <row r="28" ht="15.75" customHeight="1">
      <c r="A28" s="135" t="s">
        <v>425</v>
      </c>
      <c r="B28" s="136">
        <f>COUNTIF(F15:F23,"✅ Validated")</f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</row>
    <row r="29" ht="15.75" customHeight="1">
      <c r="A29" s="135" t="s">
        <v>426</v>
      </c>
      <c r="B29" s="136">
        <f>COUNTIF(F15:F23,"🔄 In Progress")</f>
        <v>0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</row>
    <row r="30" ht="15.75" customHeight="1">
      <c r="A30" s="135" t="s">
        <v>427</v>
      </c>
      <c r="B30" s="136">
        <f>COUNTIF(F15:F23,"❌ Rejected")</f>
        <v>0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</row>
    <row r="31" ht="15.75" customHeight="1">
      <c r="A31" s="135" t="s">
        <v>428</v>
      </c>
      <c r="B31" s="136">
        <f>COUNTIF(F15:F23,"📋 Planned")</f>
        <v>0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</row>
    <row r="43" ht="15.75" customHeight="1">
      <c r="A43" s="44"/>
      <c r="B43" s="44"/>
      <c r="C43" s="44"/>
      <c r="D43" s="44"/>
      <c r="E43" s="137" t="s">
        <v>429</v>
      </c>
      <c r="F43" s="44"/>
      <c r="G43" s="44"/>
      <c r="H43" s="44"/>
      <c r="I43" s="44"/>
      <c r="J43" s="44"/>
      <c r="K43" s="44"/>
      <c r="L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</row>
  </sheetData>
  <mergeCells count="12">
    <mergeCell ref="B9:L9"/>
    <mergeCell ref="B10:L10"/>
    <mergeCell ref="B11:L11"/>
    <mergeCell ref="A13:L13"/>
    <mergeCell ref="A26:D26"/>
    <mergeCell ref="A1:L1"/>
    <mergeCell ref="A3:L3"/>
    <mergeCell ref="A4:L4"/>
    <mergeCell ref="A5:L5"/>
    <mergeCell ref="B6:L6"/>
    <mergeCell ref="B7:L7"/>
    <mergeCell ref="B8:L8"/>
  </mergeCells>
  <dataValidations>
    <dataValidation type="list" allowBlank="1" showErrorMessage="1" sqref="F15:F23">
      <formula1>"⚪ Средний,🔴 Критический,🟡 Высокий"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34.29"/>
    <col customWidth="1" min="3" max="3" width="17.14"/>
    <col customWidth="1" min="4" max="5" width="20.57"/>
    <col customWidth="1" min="6" max="6" width="16.0"/>
    <col customWidth="1" min="7" max="7" width="11.43"/>
    <col customWidth="1" min="8" max="10" width="13.71"/>
    <col customWidth="1" min="11" max="11" width="34.29"/>
    <col customWidth="1" min="12" max="12" width="22.86"/>
    <col customWidth="1" min="13" max="26" width="9.86"/>
  </cols>
  <sheetData>
    <row r="1" ht="30.0" customHeight="1">
      <c r="A1" s="123" t="s">
        <v>430</v>
      </c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ht="24.75" customHeight="1">
      <c r="A3" s="124" t="s">
        <v>431</v>
      </c>
    </row>
    <row r="4">
      <c r="A4" s="125" t="s">
        <v>432</v>
      </c>
    </row>
    <row r="5">
      <c r="A5" s="126" t="s">
        <v>433</v>
      </c>
    </row>
    <row r="6">
      <c r="A6" s="138"/>
      <c r="B6" s="139" t="s">
        <v>434</v>
      </c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>
      <c r="A7" s="138"/>
      <c r="B7" s="139" t="s">
        <v>435</v>
      </c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>
      <c r="A8" s="138"/>
      <c r="B8" s="141" t="s">
        <v>436</v>
      </c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>
      <c r="A9" s="138"/>
      <c r="B9" s="139" t="s">
        <v>437</v>
      </c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>
      <c r="A10" s="138"/>
      <c r="B10" s="139" t="s">
        <v>438</v>
      </c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3">
      <c r="A13" s="125" t="s">
        <v>439</v>
      </c>
    </row>
    <row r="14">
      <c r="A14" s="138"/>
      <c r="B14" s="139" t="s">
        <v>440</v>
      </c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>
      <c r="A15" s="138"/>
      <c r="B15" s="141" t="s">
        <v>441</v>
      </c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>
      <c r="A16" s="138"/>
      <c r="B16" s="141" t="s">
        <v>442</v>
      </c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>
      <c r="A17" s="138"/>
      <c r="B17" s="142" t="s">
        <v>443</v>
      </c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>
      <c r="A18" s="138"/>
      <c r="B18" s="143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>
      <c r="A19" s="138"/>
      <c r="B19" s="143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ht="24.75" customHeight="1">
      <c r="A21" s="144" t="s">
        <v>376</v>
      </c>
    </row>
    <row r="22" ht="15.75" customHeight="1">
      <c r="A22" s="145" t="s">
        <v>377</v>
      </c>
      <c r="B22" s="145" t="s">
        <v>378</v>
      </c>
      <c r="C22" s="145" t="s">
        <v>32</v>
      </c>
      <c r="D22" s="145" t="s">
        <v>379</v>
      </c>
      <c r="E22" s="145" t="s">
        <v>380</v>
      </c>
      <c r="F22" s="145" t="s">
        <v>154</v>
      </c>
      <c r="G22" s="145" t="s">
        <v>381</v>
      </c>
      <c r="H22" s="145" t="s">
        <v>382</v>
      </c>
      <c r="I22" s="145" t="s">
        <v>383</v>
      </c>
      <c r="J22" s="145" t="s">
        <v>384</v>
      </c>
      <c r="K22" s="145" t="s">
        <v>385</v>
      </c>
      <c r="L22" s="145" t="s">
        <v>386</v>
      </c>
      <c r="M22" s="145" t="s">
        <v>387</v>
      </c>
    </row>
    <row r="23" ht="15.75" customHeight="1">
      <c r="A23" s="140" t="s">
        <v>388</v>
      </c>
      <c r="B23" s="146" t="s">
        <v>444</v>
      </c>
      <c r="C23" s="140" t="s">
        <v>390</v>
      </c>
      <c r="D23" s="140" t="s">
        <v>445</v>
      </c>
      <c r="E23" s="140" t="s">
        <v>168</v>
      </c>
      <c r="F23" s="140" t="s">
        <v>413</v>
      </c>
      <c r="G23" s="147" t="s">
        <v>426</v>
      </c>
      <c r="H23" s="140" t="s">
        <v>395</v>
      </c>
      <c r="I23" s="138"/>
      <c r="J23" s="140" t="s">
        <v>446</v>
      </c>
      <c r="K23" s="138"/>
      <c r="L23" s="138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ht="15.75" customHeight="1">
      <c r="A24" s="140" t="s">
        <v>397</v>
      </c>
      <c r="B24" s="146" t="s">
        <v>447</v>
      </c>
      <c r="C24" s="140" t="s">
        <v>390</v>
      </c>
      <c r="D24" s="140" t="s">
        <v>448</v>
      </c>
      <c r="E24" s="140" t="s">
        <v>449</v>
      </c>
      <c r="F24" s="140" t="s">
        <v>422</v>
      </c>
      <c r="G24" s="140" t="s">
        <v>394</v>
      </c>
      <c r="H24" s="140" t="s">
        <v>395</v>
      </c>
      <c r="I24" s="138"/>
      <c r="J24" s="140" t="s">
        <v>396</v>
      </c>
      <c r="K24" s="138"/>
      <c r="L24" s="138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ht="15.75" customHeight="1">
      <c r="A25" s="140" t="s">
        <v>402</v>
      </c>
      <c r="B25" s="146"/>
      <c r="C25" s="140" t="s">
        <v>390</v>
      </c>
      <c r="D25" s="140" t="s">
        <v>121</v>
      </c>
      <c r="E25" s="140" t="s">
        <v>449</v>
      </c>
      <c r="F25" s="140" t="s">
        <v>422</v>
      </c>
      <c r="G25" s="147" t="s">
        <v>427</v>
      </c>
      <c r="H25" s="140" t="s">
        <v>395</v>
      </c>
      <c r="I25" s="138"/>
      <c r="J25" s="140" t="s">
        <v>396</v>
      </c>
      <c r="K25" s="138"/>
      <c r="L25" s="138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ht="15.75" customHeight="1">
      <c r="A26" s="140" t="s">
        <v>405</v>
      </c>
      <c r="B26" s="146"/>
      <c r="C26" s="140" t="s">
        <v>450</v>
      </c>
      <c r="D26" s="140" t="s">
        <v>65</v>
      </c>
      <c r="E26" s="140" t="s">
        <v>168</v>
      </c>
      <c r="F26" s="140" t="s">
        <v>413</v>
      </c>
      <c r="G26" s="147" t="s">
        <v>427</v>
      </c>
      <c r="H26" s="140" t="s">
        <v>395</v>
      </c>
      <c r="I26" s="138"/>
      <c r="J26" s="140" t="s">
        <v>396</v>
      </c>
      <c r="K26" s="138"/>
      <c r="L26" s="138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15.75" customHeight="1">
      <c r="A27" s="140" t="s">
        <v>407</v>
      </c>
      <c r="B27" s="146"/>
      <c r="C27" s="140" t="s">
        <v>390</v>
      </c>
      <c r="D27" s="140" t="s">
        <v>121</v>
      </c>
      <c r="E27" s="140" t="s">
        <v>449</v>
      </c>
      <c r="F27" s="140" t="s">
        <v>422</v>
      </c>
      <c r="G27" s="147" t="s">
        <v>427</v>
      </c>
      <c r="H27" s="140" t="s">
        <v>395</v>
      </c>
      <c r="I27" s="138"/>
      <c r="J27" s="140" t="s">
        <v>396</v>
      </c>
      <c r="K27" s="138"/>
      <c r="L27" s="138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15.75" customHeight="1">
      <c r="A28" s="140" t="s">
        <v>451</v>
      </c>
      <c r="B28" s="146"/>
      <c r="C28" s="140" t="s">
        <v>450</v>
      </c>
      <c r="D28" s="140" t="s">
        <v>452</v>
      </c>
      <c r="E28" s="140" t="s">
        <v>168</v>
      </c>
      <c r="F28" s="140" t="s">
        <v>413</v>
      </c>
      <c r="G28" s="147" t="s">
        <v>427</v>
      </c>
      <c r="H28" s="140" t="s">
        <v>395</v>
      </c>
      <c r="I28" s="138"/>
      <c r="J28" s="140" t="s">
        <v>396</v>
      </c>
      <c r="K28" s="138"/>
      <c r="L28" s="138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15.75" customHeight="1">
      <c r="A29" s="140" t="s">
        <v>410</v>
      </c>
      <c r="B29" s="146"/>
      <c r="C29" s="140" t="s">
        <v>450</v>
      </c>
      <c r="D29" s="140" t="s">
        <v>452</v>
      </c>
      <c r="E29" s="140" t="s">
        <v>168</v>
      </c>
      <c r="F29" s="140" t="s">
        <v>413</v>
      </c>
      <c r="G29" s="147" t="s">
        <v>427</v>
      </c>
      <c r="H29" s="140" t="s">
        <v>395</v>
      </c>
      <c r="I29" s="138"/>
      <c r="J29" s="140" t="s">
        <v>396</v>
      </c>
      <c r="K29" s="138"/>
      <c r="L29" s="138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15.75" customHeight="1">
      <c r="A30" s="140" t="s">
        <v>414</v>
      </c>
      <c r="B30" s="146"/>
      <c r="C30" s="140"/>
      <c r="D30" s="140"/>
      <c r="E30" s="140"/>
      <c r="F30" s="140"/>
      <c r="G30" s="147" t="s">
        <v>427</v>
      </c>
      <c r="H30" s="140"/>
      <c r="I30" s="138"/>
      <c r="J30" s="140" t="s">
        <v>396</v>
      </c>
      <c r="K30" s="138"/>
      <c r="L30" s="138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ht="15.75" customHeight="1">
      <c r="A31" s="140" t="s">
        <v>416</v>
      </c>
      <c r="B31" s="148" t="s">
        <v>453</v>
      </c>
      <c r="C31" s="140" t="s">
        <v>454</v>
      </c>
      <c r="D31" s="140" t="s">
        <v>448</v>
      </c>
      <c r="E31" s="140" t="s">
        <v>449</v>
      </c>
      <c r="F31" s="140" t="s">
        <v>422</v>
      </c>
      <c r="G31" s="140" t="s">
        <v>394</v>
      </c>
      <c r="H31" s="140" t="s">
        <v>395</v>
      </c>
      <c r="I31" s="138"/>
      <c r="J31" s="140" t="s">
        <v>396</v>
      </c>
      <c r="K31" s="138"/>
      <c r="L31" s="138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ht="15.75" customHeight="1">
      <c r="A32" s="140" t="s">
        <v>418</v>
      </c>
      <c r="B32" s="146"/>
      <c r="C32" s="140" t="s">
        <v>390</v>
      </c>
      <c r="D32" s="140" t="s">
        <v>445</v>
      </c>
      <c r="E32" s="140" t="s">
        <v>168</v>
      </c>
      <c r="F32" s="140" t="s">
        <v>413</v>
      </c>
      <c r="G32" s="147" t="s">
        <v>427</v>
      </c>
      <c r="H32" s="140" t="s">
        <v>395</v>
      </c>
      <c r="I32" s="138"/>
      <c r="J32" s="140" t="s">
        <v>396</v>
      </c>
      <c r="K32" s="138"/>
      <c r="L32" s="138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ht="15.75" customHeight="1">
      <c r="A33" s="140" t="s">
        <v>455</v>
      </c>
      <c r="B33" s="146"/>
      <c r="C33" s="140" t="s">
        <v>450</v>
      </c>
      <c r="D33" s="140" t="s">
        <v>452</v>
      </c>
      <c r="E33" s="140" t="s">
        <v>168</v>
      </c>
      <c r="F33" s="140" t="s">
        <v>413</v>
      </c>
      <c r="G33" s="147" t="s">
        <v>427</v>
      </c>
      <c r="H33" s="140" t="s">
        <v>395</v>
      </c>
      <c r="I33" s="138"/>
      <c r="J33" s="140" t="s">
        <v>396</v>
      </c>
      <c r="K33" s="138"/>
      <c r="L33" s="138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ht="15.75" customHeight="1">
      <c r="A34" s="140" t="s">
        <v>456</v>
      </c>
      <c r="B34" s="146" t="s">
        <v>457</v>
      </c>
      <c r="C34" s="140" t="s">
        <v>450</v>
      </c>
      <c r="D34" s="140" t="s">
        <v>458</v>
      </c>
      <c r="E34" s="140" t="s">
        <v>168</v>
      </c>
      <c r="F34" s="140" t="s">
        <v>413</v>
      </c>
      <c r="G34" s="147" t="s">
        <v>426</v>
      </c>
      <c r="H34" s="140" t="s">
        <v>395</v>
      </c>
      <c r="I34" s="138"/>
      <c r="J34" s="140" t="s">
        <v>396</v>
      </c>
      <c r="K34" s="138"/>
      <c r="L34" s="138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ht="15.75" customHeight="1">
      <c r="A36" s="149" t="s">
        <v>423</v>
      </c>
      <c r="E36" s="150"/>
      <c r="F36" s="150"/>
      <c r="G36" s="150"/>
      <c r="H36" s="150"/>
      <c r="I36" s="150"/>
      <c r="J36" s="150"/>
      <c r="K36" s="150"/>
      <c r="L36" s="150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 ht="15.75" customHeight="1">
      <c r="A37" s="147" t="s">
        <v>424</v>
      </c>
      <c r="B37" s="152">
        <f>COUNTA(A23:A34)</f>
        <v>12</v>
      </c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ht="15.75" customHeight="1">
      <c r="A38" s="147" t="s">
        <v>425</v>
      </c>
      <c r="B38" s="152">
        <f>COUNTIF(G23:G34,"✅ Validated:")</f>
        <v>0</v>
      </c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 ht="15.75" customHeight="1">
      <c r="A39" s="147" t="s">
        <v>426</v>
      </c>
      <c r="B39" s="152">
        <f>COUNTIF(G23:G34,"🔄 In Progress:")</f>
        <v>2</v>
      </c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ht="15.75" customHeight="1">
      <c r="A40" s="147" t="s">
        <v>427</v>
      </c>
      <c r="B40" s="152">
        <f>COUNTIF(G23:G34,"❌ Rejected:")</f>
        <v>8</v>
      </c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ht="15.75" customHeight="1">
      <c r="A41" s="147" t="s">
        <v>428</v>
      </c>
      <c r="B41" s="152">
        <f>COUNTIF(G23:G34,"📋 Planned")</f>
        <v>2</v>
      </c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</row>
  </sheetData>
  <mergeCells count="18">
    <mergeCell ref="A1:L1"/>
    <mergeCell ref="A3:L3"/>
    <mergeCell ref="A4:L4"/>
    <mergeCell ref="A5:L5"/>
    <mergeCell ref="B6:L6"/>
    <mergeCell ref="B7:L7"/>
    <mergeCell ref="B8:L8"/>
    <mergeCell ref="B18:L18"/>
    <mergeCell ref="B19:L19"/>
    <mergeCell ref="A21:L21"/>
    <mergeCell ref="A36:D36"/>
    <mergeCell ref="B9:L9"/>
    <mergeCell ref="B10:L10"/>
    <mergeCell ref="A13:L13"/>
    <mergeCell ref="B14:L14"/>
    <mergeCell ref="B15:L15"/>
    <mergeCell ref="B16:L16"/>
    <mergeCell ref="B17:L17"/>
  </mergeCells>
  <dataValidations>
    <dataValidation type="list" allowBlank="1" showErrorMessage="1" sqref="F23:F34">
      <formula1>"⚪ Средний,🟡 Высокий"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4.29"/>
    <col customWidth="1" min="3" max="3" width="17.14"/>
    <col customWidth="1" min="4" max="4" width="20.57"/>
    <col customWidth="1" min="5" max="5" width="13.71"/>
    <col customWidth="1" min="6" max="6" width="16.0"/>
    <col customWidth="1" min="7" max="7" width="11.43"/>
    <col customWidth="1" min="8" max="10" width="13.71"/>
    <col customWidth="1" min="11" max="11" width="34.29"/>
    <col customWidth="1" min="12" max="12" width="22.86"/>
    <col customWidth="1" min="13" max="26" width="9.86"/>
  </cols>
  <sheetData>
    <row r="1" ht="30.0" customHeight="1">
      <c r="A1" s="123" t="s">
        <v>459</v>
      </c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ht="24.75" customHeight="1">
      <c r="A3" s="124" t="s">
        <v>460</v>
      </c>
    </row>
    <row r="4">
      <c r="A4" s="125" t="s">
        <v>461</v>
      </c>
    </row>
    <row r="5">
      <c r="A5" s="126" t="s">
        <v>462</v>
      </c>
    </row>
    <row r="6">
      <c r="A6" s="48"/>
      <c r="B6" s="127" t="s">
        <v>463</v>
      </c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>
      <c r="A7" s="48"/>
      <c r="B7" s="127" t="s">
        <v>464</v>
      </c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>
      <c r="A8" s="48"/>
      <c r="B8" s="127" t="s">
        <v>465</v>
      </c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>
      <c r="A9" s="48"/>
      <c r="B9" s="127" t="s">
        <v>466</v>
      </c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>
      <c r="A11" s="125" t="s">
        <v>467</v>
      </c>
    </row>
    <row r="12">
      <c r="A12" s="126" t="s">
        <v>468</v>
      </c>
    </row>
    <row r="13">
      <c r="A13" s="48"/>
      <c r="B13" s="127" t="s">
        <v>469</v>
      </c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>
      <c r="A14" s="48"/>
      <c r="B14" s="127" t="s">
        <v>470</v>
      </c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>
      <c r="A15" s="48"/>
      <c r="B15" s="127" t="s">
        <v>471</v>
      </c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</row>
    <row r="17">
      <c r="A17" s="153" t="s">
        <v>472</v>
      </c>
    </row>
    <row r="18">
      <c r="A18" s="126" t="s">
        <v>473</v>
      </c>
    </row>
    <row r="19">
      <c r="A19" s="48"/>
      <c r="B19" s="127" t="s">
        <v>474</v>
      </c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>
      <c r="A20" s="48"/>
      <c r="B20" s="127" t="s">
        <v>475</v>
      </c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</row>
    <row r="22" ht="24.75" customHeight="1">
      <c r="A22" s="144" t="s">
        <v>376</v>
      </c>
    </row>
    <row r="23" ht="15.75" customHeight="1">
      <c r="A23" s="145" t="s">
        <v>377</v>
      </c>
      <c r="B23" s="145" t="s">
        <v>378</v>
      </c>
      <c r="C23" s="145" t="s">
        <v>32</v>
      </c>
      <c r="D23" s="145" t="s">
        <v>379</v>
      </c>
      <c r="E23" s="145" t="s">
        <v>380</v>
      </c>
      <c r="F23" s="145" t="s">
        <v>154</v>
      </c>
      <c r="G23" s="145" t="s">
        <v>381</v>
      </c>
      <c r="H23" s="145" t="s">
        <v>382</v>
      </c>
      <c r="I23" s="145" t="s">
        <v>383</v>
      </c>
      <c r="J23" s="145" t="s">
        <v>384</v>
      </c>
      <c r="K23" s="145" t="s">
        <v>385</v>
      </c>
      <c r="L23" s="145" t="s">
        <v>386</v>
      </c>
      <c r="M23" s="145" t="s">
        <v>387</v>
      </c>
    </row>
    <row r="24" ht="15.75" customHeight="1">
      <c r="A24" s="140" t="s">
        <v>388</v>
      </c>
      <c r="B24" s="146" t="s">
        <v>476</v>
      </c>
      <c r="C24" s="140" t="s">
        <v>454</v>
      </c>
      <c r="D24" s="154" t="s">
        <v>477</v>
      </c>
      <c r="E24" s="154" t="s">
        <v>478</v>
      </c>
      <c r="F24" s="140" t="s">
        <v>422</v>
      </c>
      <c r="G24" s="140" t="s">
        <v>394</v>
      </c>
      <c r="H24" s="140" t="s">
        <v>395</v>
      </c>
      <c r="I24" s="138"/>
      <c r="J24" s="140" t="s">
        <v>396</v>
      </c>
      <c r="K24" s="138"/>
      <c r="L24" s="138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ht="15.75" customHeight="1">
      <c r="A25" s="140" t="s">
        <v>397</v>
      </c>
      <c r="B25" s="146" t="s">
        <v>479</v>
      </c>
      <c r="C25" s="140" t="s">
        <v>390</v>
      </c>
      <c r="D25" s="154" t="s">
        <v>102</v>
      </c>
      <c r="E25" s="154" t="s">
        <v>478</v>
      </c>
      <c r="F25" s="140" t="s">
        <v>422</v>
      </c>
      <c r="G25" s="140" t="s">
        <v>394</v>
      </c>
      <c r="H25" s="140" t="s">
        <v>395</v>
      </c>
      <c r="I25" s="138"/>
      <c r="J25" s="140" t="s">
        <v>396</v>
      </c>
      <c r="K25" s="138"/>
      <c r="L25" s="138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ht="15.75" customHeight="1">
      <c r="A26" s="140" t="s">
        <v>402</v>
      </c>
      <c r="B26" s="146" t="s">
        <v>480</v>
      </c>
      <c r="C26" s="140" t="s">
        <v>454</v>
      </c>
      <c r="D26" s="154" t="s">
        <v>481</v>
      </c>
      <c r="E26" s="154" t="s">
        <v>482</v>
      </c>
      <c r="F26" s="140" t="s">
        <v>422</v>
      </c>
      <c r="G26" s="140" t="s">
        <v>394</v>
      </c>
      <c r="H26" s="140" t="s">
        <v>395</v>
      </c>
      <c r="I26" s="138"/>
      <c r="J26" s="140" t="s">
        <v>396</v>
      </c>
      <c r="K26" s="138"/>
      <c r="L26" s="138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15.75" customHeight="1">
      <c r="A27" s="140" t="s">
        <v>405</v>
      </c>
      <c r="B27" s="146" t="s">
        <v>483</v>
      </c>
      <c r="C27" s="140" t="s">
        <v>454</v>
      </c>
      <c r="D27" s="154" t="s">
        <v>484</v>
      </c>
      <c r="E27" s="154" t="s">
        <v>482</v>
      </c>
      <c r="F27" s="140" t="s">
        <v>422</v>
      </c>
      <c r="G27" s="140" t="s">
        <v>394</v>
      </c>
      <c r="H27" s="140" t="s">
        <v>395</v>
      </c>
      <c r="I27" s="138"/>
      <c r="J27" s="140" t="s">
        <v>396</v>
      </c>
      <c r="K27" s="138"/>
      <c r="L27" s="138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15.75" customHeight="1">
      <c r="A28" s="140" t="s">
        <v>407</v>
      </c>
      <c r="B28" s="146" t="s">
        <v>485</v>
      </c>
      <c r="C28" s="140" t="s">
        <v>454</v>
      </c>
      <c r="D28" s="154" t="s">
        <v>486</v>
      </c>
      <c r="E28" s="154" t="s">
        <v>478</v>
      </c>
      <c r="F28" s="140" t="s">
        <v>422</v>
      </c>
      <c r="G28" s="140" t="s">
        <v>394</v>
      </c>
      <c r="H28" s="140" t="s">
        <v>395</v>
      </c>
      <c r="I28" s="138"/>
      <c r="J28" s="140" t="s">
        <v>396</v>
      </c>
      <c r="K28" s="138"/>
      <c r="L28" s="138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15.75" customHeight="1">
      <c r="A29" s="140" t="s">
        <v>451</v>
      </c>
      <c r="B29" s="146" t="s">
        <v>487</v>
      </c>
      <c r="C29" s="140" t="s">
        <v>454</v>
      </c>
      <c r="D29" s="154" t="s">
        <v>477</v>
      </c>
      <c r="E29" s="154" t="s">
        <v>478</v>
      </c>
      <c r="F29" s="140" t="s">
        <v>422</v>
      </c>
      <c r="G29" s="140" t="s">
        <v>394</v>
      </c>
      <c r="H29" s="140" t="s">
        <v>395</v>
      </c>
      <c r="I29" s="138"/>
      <c r="J29" s="140" t="s">
        <v>396</v>
      </c>
      <c r="K29" s="138"/>
      <c r="L29" s="138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15.75" customHeight="1">
      <c r="A30" s="140" t="s">
        <v>410</v>
      </c>
      <c r="B30" s="146" t="s">
        <v>488</v>
      </c>
      <c r="C30" s="140" t="s">
        <v>454</v>
      </c>
      <c r="D30" s="154" t="s">
        <v>477</v>
      </c>
      <c r="E30" s="154" t="s">
        <v>478</v>
      </c>
      <c r="F30" s="140" t="s">
        <v>422</v>
      </c>
      <c r="G30" s="140" t="s">
        <v>394</v>
      </c>
      <c r="H30" s="140" t="s">
        <v>395</v>
      </c>
      <c r="I30" s="138"/>
      <c r="J30" s="140" t="s">
        <v>396</v>
      </c>
      <c r="K30" s="138"/>
      <c r="L30" s="138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</row>
    <row r="32" ht="15.75" customHeight="1">
      <c r="A32" s="134" t="s">
        <v>423</v>
      </c>
      <c r="E32" s="44"/>
      <c r="F32" s="44"/>
      <c r="G32" s="44"/>
      <c r="H32" s="44"/>
      <c r="I32" s="44"/>
      <c r="J32" s="44"/>
      <c r="K32" s="44"/>
      <c r="L32" s="44"/>
    </row>
    <row r="33" ht="15.75" customHeight="1">
      <c r="A33" s="155" t="s">
        <v>424</v>
      </c>
      <c r="B33" s="136">
        <f>COUNTA(A24:A30)</f>
        <v>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</row>
    <row r="34" ht="15.75" customHeight="1">
      <c r="A34" s="155" t="s">
        <v>425</v>
      </c>
      <c r="B34" s="136">
        <f>COUNTIF(F24:F30,"✅ Validated")</f>
        <v>0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</row>
    <row r="35" ht="15.75" customHeight="1">
      <c r="A35" s="155" t="s">
        <v>426</v>
      </c>
      <c r="B35" s="136">
        <f>COUNTIF(F24:F30,"🔄 In Progress")</f>
        <v>0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</row>
    <row r="36" ht="15.75" customHeight="1">
      <c r="A36" s="155" t="s">
        <v>427</v>
      </c>
      <c r="B36" s="136">
        <f>COUNTIF(F24:F30,"❌ Rejected")</f>
        <v>0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</row>
    <row r="37" ht="15.75" customHeight="1">
      <c r="A37" s="155" t="s">
        <v>428</v>
      </c>
      <c r="B37" s="136">
        <f>COUNTIF(F24:F30,"📋 Planned")</f>
        <v>0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</row>
    <row r="41" ht="15.75" customHeight="1">
      <c r="A41" s="44"/>
      <c r="B41" s="156" t="s">
        <v>489</v>
      </c>
      <c r="C41" s="44"/>
      <c r="D41" s="137" t="s">
        <v>490</v>
      </c>
      <c r="E41" s="137" t="s">
        <v>491</v>
      </c>
      <c r="F41" s="44"/>
      <c r="G41" s="44"/>
      <c r="H41" s="44"/>
      <c r="I41" s="44"/>
      <c r="J41" s="44"/>
      <c r="K41" s="44"/>
      <c r="L41" s="44"/>
    </row>
    <row r="42" ht="15.75" customHeight="1">
      <c r="A42" s="44"/>
      <c r="B42" s="137" t="s">
        <v>492</v>
      </c>
      <c r="C42" s="44"/>
      <c r="D42" s="137" t="s">
        <v>490</v>
      </c>
      <c r="E42" s="137" t="s">
        <v>493</v>
      </c>
      <c r="F42" s="44"/>
      <c r="G42" s="44"/>
      <c r="H42" s="44"/>
      <c r="I42" s="44"/>
      <c r="J42" s="44"/>
      <c r="K42" s="44"/>
      <c r="L42" s="44"/>
    </row>
    <row r="43" ht="15.75" customHeight="1">
      <c r="A43" s="44"/>
      <c r="B43" s="137" t="s">
        <v>494</v>
      </c>
      <c r="C43" s="44"/>
      <c r="D43" s="137" t="s">
        <v>490</v>
      </c>
      <c r="E43" s="137" t="s">
        <v>495</v>
      </c>
      <c r="F43" s="44"/>
      <c r="G43" s="44"/>
      <c r="H43" s="44"/>
      <c r="I43" s="44"/>
      <c r="J43" s="44"/>
      <c r="K43" s="44"/>
      <c r="L43" s="44"/>
    </row>
    <row r="44" ht="15.75" customHeight="1">
      <c r="A44" s="44"/>
      <c r="B44" s="156" t="s">
        <v>496</v>
      </c>
      <c r="C44" s="44"/>
      <c r="D44" s="137" t="s">
        <v>490</v>
      </c>
      <c r="E44" s="137" t="s">
        <v>497</v>
      </c>
      <c r="F44" s="44"/>
      <c r="G44" s="44"/>
      <c r="H44" s="44"/>
      <c r="I44" s="44"/>
      <c r="J44" s="44"/>
      <c r="K44" s="44"/>
      <c r="L44" s="44"/>
    </row>
    <row r="45" ht="15.75" customHeight="1">
      <c r="A45" s="44"/>
      <c r="B45" s="156" t="s">
        <v>498</v>
      </c>
      <c r="C45" s="44"/>
      <c r="D45" s="137" t="s">
        <v>499</v>
      </c>
      <c r="E45" s="137" t="s">
        <v>500</v>
      </c>
      <c r="F45" s="44"/>
      <c r="G45" s="44"/>
      <c r="H45" s="44"/>
      <c r="I45" s="44"/>
      <c r="J45" s="44"/>
      <c r="K45" s="44"/>
      <c r="L45" s="44"/>
    </row>
    <row r="46" ht="15.75" customHeight="1">
      <c r="A46" s="44"/>
      <c r="B46" s="156" t="s">
        <v>501</v>
      </c>
      <c r="C46" s="44"/>
      <c r="D46" s="44"/>
      <c r="E46" s="137" t="s">
        <v>502</v>
      </c>
      <c r="F46" s="44"/>
      <c r="G46" s="44"/>
      <c r="H46" s="44"/>
      <c r="I46" s="44"/>
      <c r="J46" s="44"/>
      <c r="K46" s="44"/>
      <c r="L46" s="44"/>
    </row>
    <row r="47" ht="15.75" customHeight="1">
      <c r="A47" s="44"/>
      <c r="B47" s="137" t="s">
        <v>503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</row>
    <row r="48" ht="15.75" customHeight="1">
      <c r="A48" s="44"/>
      <c r="B48" s="137" t="s">
        <v>504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</row>
  </sheetData>
  <mergeCells count="19">
    <mergeCell ref="A1:L1"/>
    <mergeCell ref="A3:L3"/>
    <mergeCell ref="A4:L4"/>
    <mergeCell ref="A5:L5"/>
    <mergeCell ref="B6:L6"/>
    <mergeCell ref="B7:L7"/>
    <mergeCell ref="B8:L8"/>
    <mergeCell ref="A18:L18"/>
    <mergeCell ref="B19:L19"/>
    <mergeCell ref="B20:L20"/>
    <mergeCell ref="A22:L22"/>
    <mergeCell ref="A32:D32"/>
    <mergeCell ref="B9:L9"/>
    <mergeCell ref="A11:L11"/>
    <mergeCell ref="A12:L12"/>
    <mergeCell ref="B13:L13"/>
    <mergeCell ref="B14:L14"/>
    <mergeCell ref="B15:L15"/>
    <mergeCell ref="A17:L17"/>
  </mergeCells>
  <dataValidations>
    <dataValidation type="list" allowBlank="1" showErrorMessage="1" sqref="F24:F30">
      <formula1>"⚪ Средний,⚪ Критический,⚪ Высокий"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29"/>
    <col customWidth="1" min="3" max="3" width="33.71"/>
    <col customWidth="1" min="4" max="4" width="28.71"/>
    <col customWidth="1" min="5" max="5" width="24.86"/>
    <col customWidth="1" min="6" max="6" width="31.29"/>
    <col customWidth="1" min="8" max="8" width="39.14"/>
  </cols>
  <sheetData>
    <row r="1" ht="30.0" customHeight="1">
      <c r="A1" s="157" t="s">
        <v>505</v>
      </c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</row>
    <row r="2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</row>
    <row r="3" ht="24.75" customHeight="1">
      <c r="A3" s="160" t="s">
        <v>506</v>
      </c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</row>
    <row r="4">
      <c r="A4" s="161" t="s">
        <v>507</v>
      </c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</row>
    <row r="5">
      <c r="A5" s="162"/>
      <c r="B5" s="139" t="s">
        <v>508</v>
      </c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</row>
    <row r="6">
      <c r="A6" s="162"/>
      <c r="B6" s="139" t="s">
        <v>509</v>
      </c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</row>
    <row r="7">
      <c r="A7" s="162"/>
      <c r="B7" s="139" t="s">
        <v>510</v>
      </c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</row>
    <row r="8">
      <c r="A8" s="162"/>
      <c r="B8" s="139" t="s">
        <v>511</v>
      </c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</row>
    <row r="9">
      <c r="A9" s="162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</row>
    <row r="10" ht="24.75" customHeight="1">
      <c r="A10" s="163" t="s">
        <v>376</v>
      </c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</row>
    <row r="11" ht="15.75" customHeight="1">
      <c r="A11" s="145" t="s">
        <v>377</v>
      </c>
      <c r="B11" s="145" t="s">
        <v>378</v>
      </c>
      <c r="C11" s="145" t="s">
        <v>32</v>
      </c>
      <c r="D11" s="145" t="s">
        <v>379</v>
      </c>
      <c r="E11" s="145" t="s">
        <v>380</v>
      </c>
      <c r="F11" s="145" t="s">
        <v>154</v>
      </c>
      <c r="G11" s="145" t="s">
        <v>381</v>
      </c>
      <c r="H11" s="145" t="s">
        <v>382</v>
      </c>
      <c r="I11" s="145" t="s">
        <v>383</v>
      </c>
      <c r="J11" s="145" t="s">
        <v>384</v>
      </c>
      <c r="K11" s="145" t="s">
        <v>385</v>
      </c>
      <c r="L11" s="145" t="s">
        <v>386</v>
      </c>
      <c r="M11" s="145" t="s">
        <v>387</v>
      </c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</row>
    <row r="12" ht="15.75" customHeight="1">
      <c r="A12" s="154" t="s">
        <v>388</v>
      </c>
      <c r="B12" s="146" t="s">
        <v>512</v>
      </c>
      <c r="C12" s="154" t="s">
        <v>513</v>
      </c>
      <c r="D12" s="154" t="s">
        <v>514</v>
      </c>
      <c r="E12" s="154" t="s">
        <v>165</v>
      </c>
      <c r="F12" s="154" t="s">
        <v>393</v>
      </c>
      <c r="G12" s="154" t="s">
        <v>394</v>
      </c>
      <c r="H12" s="154">
        <v>0.0</v>
      </c>
      <c r="I12" s="162"/>
      <c r="J12" s="154"/>
      <c r="K12" s="162"/>
      <c r="L12" s="162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</row>
    <row r="13" ht="15.75" customHeight="1">
      <c r="A13" s="154" t="s">
        <v>407</v>
      </c>
      <c r="B13" s="146" t="s">
        <v>515</v>
      </c>
      <c r="C13" s="154" t="s">
        <v>390</v>
      </c>
      <c r="D13" s="154" t="s">
        <v>391</v>
      </c>
      <c r="E13" s="154" t="s">
        <v>174</v>
      </c>
      <c r="F13" s="154" t="s">
        <v>413</v>
      </c>
      <c r="G13" s="154" t="s">
        <v>394</v>
      </c>
      <c r="H13" s="154">
        <v>0.0</v>
      </c>
      <c r="I13" s="162"/>
      <c r="J13" s="154"/>
      <c r="K13" s="162"/>
      <c r="L13" s="162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</row>
    <row r="14" ht="15.75" customHeight="1">
      <c r="A14" s="154" t="s">
        <v>451</v>
      </c>
      <c r="B14" s="146" t="s">
        <v>516</v>
      </c>
      <c r="C14" s="154" t="s">
        <v>399</v>
      </c>
      <c r="D14" s="154" t="s">
        <v>391</v>
      </c>
      <c r="E14" s="154" t="s">
        <v>174</v>
      </c>
      <c r="F14" s="154" t="s">
        <v>413</v>
      </c>
      <c r="G14" s="154" t="s">
        <v>394</v>
      </c>
      <c r="H14" s="154">
        <v>0.0</v>
      </c>
      <c r="I14" s="162"/>
      <c r="J14" s="154"/>
      <c r="K14" s="162"/>
      <c r="L14" s="162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</row>
    <row r="15" ht="15.75" customHeight="1">
      <c r="A15" s="154" t="s">
        <v>410</v>
      </c>
      <c r="B15" s="146" t="s">
        <v>517</v>
      </c>
      <c r="C15" s="154" t="s">
        <v>399</v>
      </c>
      <c r="D15" s="154" t="s">
        <v>391</v>
      </c>
      <c r="E15" s="154" t="s">
        <v>159</v>
      </c>
      <c r="F15" s="154" t="s">
        <v>393</v>
      </c>
      <c r="G15" s="154" t="s">
        <v>394</v>
      </c>
      <c r="H15" s="154">
        <v>0.0</v>
      </c>
      <c r="I15" s="162"/>
      <c r="J15" s="154"/>
      <c r="K15" s="162"/>
      <c r="L15" s="162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</row>
    <row r="16" ht="15.75" customHeight="1">
      <c r="A16" s="154" t="s">
        <v>414</v>
      </c>
      <c r="B16" s="146" t="s">
        <v>512</v>
      </c>
      <c r="C16" s="154" t="s">
        <v>513</v>
      </c>
      <c r="D16" s="154" t="s">
        <v>514</v>
      </c>
      <c r="E16" s="154" t="s">
        <v>165</v>
      </c>
      <c r="F16" s="154" t="s">
        <v>393</v>
      </c>
      <c r="G16" s="154" t="s">
        <v>394</v>
      </c>
      <c r="H16" s="154">
        <v>0.0</v>
      </c>
      <c r="I16" s="162"/>
      <c r="J16" s="154"/>
      <c r="K16" s="162"/>
      <c r="L16" s="162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</row>
    <row r="17" ht="15.75" customHeight="1">
      <c r="A17" s="154" t="s">
        <v>416</v>
      </c>
      <c r="B17" s="146" t="s">
        <v>518</v>
      </c>
      <c r="C17" s="154" t="s">
        <v>513</v>
      </c>
      <c r="D17" s="154" t="s">
        <v>514</v>
      </c>
      <c r="E17" s="154" t="s">
        <v>182</v>
      </c>
      <c r="F17" s="154" t="s">
        <v>393</v>
      </c>
      <c r="G17" s="154" t="s">
        <v>394</v>
      </c>
      <c r="H17" s="154">
        <v>0.0</v>
      </c>
      <c r="I17" s="162"/>
      <c r="J17" s="154"/>
      <c r="K17" s="162"/>
      <c r="L17" s="162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</row>
    <row r="18" ht="15.75" customHeight="1">
      <c r="A18" s="154" t="s">
        <v>418</v>
      </c>
      <c r="B18" s="146" t="s">
        <v>519</v>
      </c>
      <c r="C18" s="154" t="s">
        <v>450</v>
      </c>
      <c r="D18" s="154" t="s">
        <v>514</v>
      </c>
      <c r="E18" s="154" t="s">
        <v>182</v>
      </c>
      <c r="F18" s="154" t="s">
        <v>393</v>
      </c>
      <c r="G18" s="154" t="s">
        <v>394</v>
      </c>
      <c r="H18" s="154">
        <v>0.0</v>
      </c>
      <c r="I18" s="162"/>
      <c r="J18" s="154"/>
      <c r="K18" s="162"/>
      <c r="L18" s="162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</row>
    <row r="19" ht="15.75" customHeight="1">
      <c r="A19" s="154" t="s">
        <v>455</v>
      </c>
      <c r="B19" s="146" t="s">
        <v>520</v>
      </c>
      <c r="C19" s="154" t="s">
        <v>399</v>
      </c>
      <c r="D19" s="154" t="s">
        <v>391</v>
      </c>
      <c r="E19" s="154" t="s">
        <v>174</v>
      </c>
      <c r="F19" s="154" t="s">
        <v>413</v>
      </c>
      <c r="G19" s="154" t="s">
        <v>394</v>
      </c>
      <c r="H19" s="154">
        <v>0.0</v>
      </c>
      <c r="I19" s="162"/>
      <c r="J19" s="154"/>
      <c r="K19" s="162"/>
      <c r="L19" s="162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</row>
    <row r="20" ht="15.75" customHeight="1">
      <c r="A20" s="154" t="s">
        <v>456</v>
      </c>
      <c r="B20" s="146" t="s">
        <v>521</v>
      </c>
      <c r="C20" s="154" t="s">
        <v>399</v>
      </c>
      <c r="D20" s="154" t="s">
        <v>391</v>
      </c>
      <c r="E20" s="154" t="s">
        <v>165</v>
      </c>
      <c r="F20" s="154" t="s">
        <v>393</v>
      </c>
      <c r="G20" s="154" t="s">
        <v>394</v>
      </c>
      <c r="H20" s="154">
        <v>0.0</v>
      </c>
      <c r="I20" s="162"/>
      <c r="J20" s="154"/>
      <c r="K20" s="162"/>
      <c r="L20" s="162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</row>
    <row r="21">
      <c r="A21" s="158"/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</row>
    <row r="22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</row>
    <row r="23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</row>
    <row r="24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</row>
    <row r="25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</row>
    <row r="26">
      <c r="A26" s="68" t="s">
        <v>303</v>
      </c>
      <c r="B26" s="69"/>
      <c r="C26" s="70" t="s">
        <v>221</v>
      </c>
      <c r="D26" s="71" t="s">
        <v>222</v>
      </c>
      <c r="E26" s="71" t="s">
        <v>223</v>
      </c>
      <c r="F26" s="72" t="s">
        <v>23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</row>
    <row r="27">
      <c r="A27" s="73">
        <v>1.0</v>
      </c>
      <c r="B27" s="74" t="s">
        <v>304</v>
      </c>
      <c r="C27" s="105"/>
      <c r="D27" s="111" t="s">
        <v>306</v>
      </c>
      <c r="E27" s="74"/>
      <c r="F27" s="78" t="s">
        <v>308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</row>
    <row r="28">
      <c r="A28" s="73">
        <v>2.0</v>
      </c>
      <c r="B28" s="122" t="s">
        <v>309</v>
      </c>
      <c r="C28" s="105"/>
      <c r="D28" s="80" t="s">
        <v>311</v>
      </c>
      <c r="E28" s="93"/>
      <c r="F28" s="78" t="s">
        <v>308</v>
      </c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</row>
    <row r="29">
      <c r="A29" s="73">
        <v>3.0</v>
      </c>
      <c r="B29" s="164" t="s">
        <v>312</v>
      </c>
      <c r="C29" s="105"/>
      <c r="D29" s="80" t="s">
        <v>314</v>
      </c>
      <c r="E29" s="93"/>
      <c r="F29" s="78" t="s">
        <v>308</v>
      </c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</row>
    <row r="30">
      <c r="A30" s="73">
        <v>4.0</v>
      </c>
      <c r="B30" s="115" t="s">
        <v>317</v>
      </c>
      <c r="C30" s="107"/>
      <c r="D30" s="79" t="s">
        <v>319</v>
      </c>
      <c r="E30" s="58"/>
      <c r="F30" s="78" t="s">
        <v>308</v>
      </c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</row>
    <row r="31">
      <c r="A31" s="117">
        <v>5.0</v>
      </c>
      <c r="B31" s="98" t="s">
        <v>320</v>
      </c>
      <c r="C31" s="97" t="s">
        <v>522</v>
      </c>
      <c r="D31" s="97" t="s">
        <v>322</v>
      </c>
      <c r="E31" s="79"/>
      <c r="F31" s="78" t="s">
        <v>308</v>
      </c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</row>
    <row r="32">
      <c r="A32" s="82">
        <v>6.0</v>
      </c>
      <c r="B32" s="165" t="s">
        <v>323</v>
      </c>
      <c r="C32" s="84" t="s">
        <v>284</v>
      </c>
      <c r="D32" s="84" t="s">
        <v>285</v>
      </c>
      <c r="E32" s="84"/>
      <c r="F32" s="84" t="s">
        <v>308</v>
      </c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</row>
    <row r="33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</row>
    <row r="3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</row>
    <row r="36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</row>
    <row r="37">
      <c r="A37" s="166" t="s">
        <v>523</v>
      </c>
      <c r="B37" s="166" t="s">
        <v>524</v>
      </c>
      <c r="C37" s="166" t="s">
        <v>525</v>
      </c>
      <c r="D37" s="166" t="s">
        <v>383</v>
      </c>
      <c r="E37" s="166" t="s">
        <v>526</v>
      </c>
      <c r="F37" s="166" t="s">
        <v>527</v>
      </c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</row>
    <row r="38">
      <c r="A38" s="167" t="s">
        <v>528</v>
      </c>
      <c r="B38" s="167" t="s">
        <v>529</v>
      </c>
      <c r="C38" s="167" t="s">
        <v>530</v>
      </c>
      <c r="D38" s="167" t="s">
        <v>531</v>
      </c>
      <c r="E38" s="167" t="s">
        <v>532</v>
      </c>
      <c r="F38" s="168"/>
      <c r="G38" s="158"/>
      <c r="H38" s="169" t="s">
        <v>533</v>
      </c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</row>
    <row r="39">
      <c r="A39" s="170" t="s">
        <v>490</v>
      </c>
      <c r="B39" s="170" t="s">
        <v>534</v>
      </c>
      <c r="C39" s="170" t="s">
        <v>535</v>
      </c>
      <c r="D39" s="171"/>
      <c r="E39" s="170" t="s">
        <v>536</v>
      </c>
      <c r="F39" s="170" t="s">
        <v>537</v>
      </c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</row>
    <row r="40">
      <c r="A40" s="170" t="s">
        <v>538</v>
      </c>
      <c r="B40" s="170" t="s">
        <v>539</v>
      </c>
      <c r="C40" s="170" t="s">
        <v>540</v>
      </c>
      <c r="D40" s="171"/>
      <c r="E40" s="170" t="s">
        <v>536</v>
      </c>
      <c r="F40" s="170" t="s">
        <v>541</v>
      </c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</row>
    <row r="41">
      <c r="A41" s="172" t="s">
        <v>538</v>
      </c>
      <c r="B41" s="172" t="s">
        <v>542</v>
      </c>
      <c r="C41" s="172" t="s">
        <v>543</v>
      </c>
      <c r="D41" s="173"/>
      <c r="E41" s="172" t="s">
        <v>536</v>
      </c>
      <c r="F41" s="172" t="s">
        <v>544</v>
      </c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</row>
    <row r="42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</row>
    <row r="43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</row>
    <row r="44">
      <c r="A44" s="158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</row>
    <row r="45">
      <c r="A45" s="158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</row>
    <row r="46">
      <c r="A46" s="158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</row>
    <row r="47">
      <c r="A47" s="158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</row>
    <row r="48">
      <c r="A48" s="158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</row>
    <row r="49">
      <c r="A49" s="158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</row>
    <row r="50">
      <c r="A50" s="158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</row>
    <row r="51">
      <c r="A51" s="158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</row>
    <row r="52">
      <c r="A52" s="158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58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</row>
    <row r="54">
      <c r="A54" s="158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</row>
    <row r="55">
      <c r="A55" s="158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</row>
    <row r="56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</row>
    <row r="57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</row>
    <row r="58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</row>
    <row r="59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</row>
    <row r="60">
      <c r="A60" s="158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</row>
    <row r="6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</row>
    <row r="62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</row>
    <row r="63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</row>
    <row r="64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</row>
    <row r="65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</row>
    <row r="66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</row>
    <row r="67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</row>
    <row r="68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</row>
    <row r="69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</row>
    <row r="70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</row>
    <row r="73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</row>
    <row r="74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</row>
    <row r="75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</row>
    <row r="76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</row>
    <row r="77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</row>
    <row r="78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</row>
    <row r="79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</row>
    <row r="80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</row>
    <row r="8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</row>
    <row r="82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</row>
    <row r="83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</row>
    <row r="84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</row>
    <row r="85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</row>
    <row r="86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</row>
    <row r="87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</row>
    <row r="88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</row>
    <row r="89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</row>
    <row r="90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</row>
    <row r="91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</row>
    <row r="92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</row>
    <row r="93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</row>
    <row r="94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</row>
    <row r="95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</row>
    <row r="101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</row>
    <row r="102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</row>
    <row r="103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</row>
    <row r="104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</row>
    <row r="105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</row>
    <row r="106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</row>
    <row r="107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</row>
    <row r="108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</row>
    <row r="109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</row>
    <row r="110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</row>
    <row r="111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</row>
    <row r="112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</row>
    <row r="113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</row>
    <row r="114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</row>
    <row r="115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</row>
    <row r="116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</row>
    <row r="117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</row>
    <row r="118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</row>
    <row r="119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</row>
    <row r="120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</row>
    <row r="121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</row>
    <row r="122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</row>
    <row r="123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</row>
    <row r="124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</row>
    <row r="125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</row>
    <row r="126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</row>
    <row r="127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</row>
    <row r="129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</row>
    <row r="130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</row>
    <row r="131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</row>
    <row r="132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</row>
    <row r="133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</row>
    <row r="134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</row>
    <row r="135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</row>
    <row r="136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</row>
    <row r="137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</row>
    <row r="138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</row>
    <row r="139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</row>
    <row r="140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</row>
    <row r="14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</row>
    <row r="142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</row>
    <row r="143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</row>
    <row r="144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</row>
    <row r="145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</row>
    <row r="146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</row>
    <row r="147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</row>
    <row r="148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</row>
    <row r="149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</row>
    <row r="150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</row>
    <row r="151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</row>
    <row r="152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</row>
    <row r="153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</row>
    <row r="154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</row>
    <row r="155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</row>
    <row r="156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</row>
    <row r="157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</row>
    <row r="158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</row>
    <row r="159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</row>
    <row r="160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</row>
    <row r="161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</row>
    <row r="162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</row>
    <row r="163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</row>
    <row r="164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</row>
    <row r="165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</row>
    <row r="166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</row>
    <row r="167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</row>
    <row r="168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</row>
    <row r="169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</row>
    <row r="170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</row>
    <row r="171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</row>
    <row r="172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</row>
    <row r="173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</row>
    <row r="174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</row>
    <row r="175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</row>
    <row r="176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</row>
    <row r="177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</row>
    <row r="178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</row>
    <row r="179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</row>
    <row r="180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</row>
    <row r="181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</row>
    <row r="182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</row>
    <row r="183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</row>
    <row r="184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</row>
    <row r="185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</row>
    <row r="186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</row>
    <row r="187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</row>
    <row r="188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</row>
    <row r="189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</row>
    <row r="190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</row>
    <row r="191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</row>
    <row r="192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</row>
    <row r="193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</row>
    <row r="194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</row>
    <row r="195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</row>
    <row r="196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</row>
    <row r="197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</row>
    <row r="198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</row>
    <row r="199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</row>
    <row r="200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</row>
    <row r="201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</row>
    <row r="202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</row>
    <row r="203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</row>
    <row r="204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</row>
    <row r="205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</row>
    <row r="206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</row>
    <row r="207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</row>
    <row r="208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</row>
    <row r="209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</row>
    <row r="210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</row>
    <row r="21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</row>
    <row r="212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</row>
    <row r="213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</row>
    <row r="214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</row>
    <row r="215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</row>
    <row r="216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</row>
    <row r="217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</row>
    <row r="218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</row>
    <row r="219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</row>
    <row r="220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</row>
    <row r="221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</row>
    <row r="222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</row>
    <row r="223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</row>
    <row r="224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</row>
    <row r="225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</row>
    <row r="226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</row>
    <row r="227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</row>
    <row r="228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</row>
    <row r="229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</row>
    <row r="230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</row>
    <row r="231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</row>
    <row r="232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</row>
    <row r="233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</row>
    <row r="234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</row>
    <row r="235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</row>
    <row r="236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</row>
    <row r="237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</row>
    <row r="238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</row>
    <row r="239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</row>
    <row r="240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</row>
    <row r="241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</row>
    <row r="242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</row>
    <row r="243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</row>
    <row r="244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</row>
    <row r="245">
      <c r="A245" s="158"/>
      <c r="B245" s="158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</row>
    <row r="246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</row>
    <row r="247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</row>
    <row r="248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</row>
    <row r="249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</row>
    <row r="250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</row>
    <row r="251">
      <c r="A251" s="158"/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</row>
    <row r="252">
      <c r="A252" s="158"/>
      <c r="B252" s="158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</row>
    <row r="253">
      <c r="A253" s="158"/>
      <c r="B253" s="158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</row>
    <row r="254">
      <c r="A254" s="158"/>
      <c r="B254" s="158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</row>
    <row r="255">
      <c r="A255" s="158"/>
      <c r="B255" s="158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</row>
    <row r="256">
      <c r="A256" s="158"/>
      <c r="B256" s="158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</row>
    <row r="257">
      <c r="A257" s="158"/>
      <c r="B257" s="158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</row>
    <row r="258">
      <c r="A258" s="158"/>
      <c r="B258" s="158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</row>
    <row r="259">
      <c r="A259" s="158"/>
      <c r="B259" s="158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</row>
    <row r="260">
      <c r="A260" s="158"/>
      <c r="B260" s="158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</row>
    <row r="261">
      <c r="A261" s="158"/>
      <c r="B261" s="158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</row>
    <row r="262">
      <c r="A262" s="158"/>
      <c r="B262" s="158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</row>
    <row r="263">
      <c r="A263" s="158"/>
      <c r="B263" s="158"/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</row>
    <row r="264">
      <c r="A264" s="158"/>
      <c r="B264" s="158"/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</row>
    <row r="265">
      <c r="A265" s="158"/>
      <c r="B265" s="158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</row>
    <row r="266">
      <c r="A266" s="158"/>
      <c r="B266" s="158"/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</row>
    <row r="267">
      <c r="A267" s="158"/>
      <c r="B267" s="158"/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</row>
    <row r="268">
      <c r="A268" s="158"/>
      <c r="B268" s="158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</row>
    <row r="269">
      <c r="A269" s="158"/>
      <c r="B269" s="158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</row>
    <row r="270">
      <c r="A270" s="158"/>
      <c r="B270" s="158"/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</row>
    <row r="271">
      <c r="A271" s="158"/>
      <c r="B271" s="158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</row>
    <row r="272">
      <c r="A272" s="158"/>
      <c r="B272" s="158"/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</row>
    <row r="273">
      <c r="A273" s="158"/>
      <c r="B273" s="158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</row>
    <row r="274">
      <c r="A274" s="158"/>
      <c r="B274" s="158"/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</row>
    <row r="275">
      <c r="A275" s="158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</row>
    <row r="276">
      <c r="A276" s="158"/>
      <c r="B276" s="158"/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</row>
    <row r="277">
      <c r="A277" s="158"/>
      <c r="B277" s="158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</row>
    <row r="278">
      <c r="A278" s="158"/>
      <c r="B278" s="158"/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</row>
    <row r="279">
      <c r="A279" s="158"/>
      <c r="B279" s="158"/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</row>
    <row r="280">
      <c r="A280" s="158"/>
      <c r="B280" s="158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</row>
    <row r="281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</row>
    <row r="282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</row>
    <row r="283">
      <c r="A283" s="158"/>
      <c r="B283" s="158"/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</row>
    <row r="284">
      <c r="A284" s="158"/>
      <c r="B284" s="158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</row>
    <row r="285">
      <c r="A285" s="158"/>
      <c r="B285" s="158"/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</row>
    <row r="286">
      <c r="A286" s="158"/>
      <c r="B286" s="158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</row>
    <row r="287">
      <c r="A287" s="158"/>
      <c r="B287" s="158"/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</row>
    <row r="288">
      <c r="A288" s="158"/>
      <c r="B288" s="158"/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</row>
    <row r="289">
      <c r="A289" s="158"/>
      <c r="B289" s="158"/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</row>
    <row r="290">
      <c r="A290" s="158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</row>
    <row r="291">
      <c r="A291" s="158"/>
      <c r="B291" s="158"/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</row>
    <row r="292">
      <c r="A292" s="158"/>
      <c r="B292" s="158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</row>
    <row r="293">
      <c r="A293" s="158"/>
      <c r="B293" s="158"/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</row>
    <row r="294">
      <c r="A294" s="158"/>
      <c r="B294" s="158"/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</row>
    <row r="295">
      <c r="A295" s="158"/>
      <c r="B295" s="158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</row>
    <row r="296">
      <c r="A296" s="158"/>
      <c r="B296" s="158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</row>
    <row r="297">
      <c r="A297" s="158"/>
      <c r="B297" s="158"/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</row>
    <row r="298">
      <c r="A298" s="158"/>
      <c r="B298" s="158"/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</row>
    <row r="299">
      <c r="A299" s="158"/>
      <c r="B299" s="158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</row>
    <row r="300">
      <c r="A300" s="158"/>
      <c r="B300" s="158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</row>
    <row r="301">
      <c r="A301" s="158"/>
      <c r="B301" s="158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</row>
    <row r="302">
      <c r="A302" s="158"/>
      <c r="B302" s="158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</row>
    <row r="303">
      <c r="A303" s="158"/>
      <c r="B303" s="158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</row>
    <row r="304">
      <c r="A304" s="158"/>
      <c r="B304" s="158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</row>
    <row r="305">
      <c r="A305" s="158"/>
      <c r="B305" s="158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</row>
    <row r="306">
      <c r="A306" s="158"/>
      <c r="B306" s="158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</row>
    <row r="307">
      <c r="A307" s="158"/>
      <c r="B307" s="158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</row>
    <row r="308">
      <c r="A308" s="158"/>
      <c r="B308" s="158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</row>
    <row r="309">
      <c r="A309" s="158"/>
      <c r="B309" s="158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</row>
    <row r="310">
      <c r="A310" s="158"/>
      <c r="B310" s="158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</row>
    <row r="311">
      <c r="A311" s="158"/>
      <c r="B311" s="158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</row>
    <row r="312">
      <c r="A312" s="158"/>
      <c r="B312" s="158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</row>
    <row r="313">
      <c r="A313" s="158"/>
      <c r="B313" s="158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</row>
    <row r="314">
      <c r="A314" s="158"/>
      <c r="B314" s="158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</row>
    <row r="315">
      <c r="A315" s="158"/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</row>
    <row r="316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</row>
    <row r="317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</row>
    <row r="318">
      <c r="A318" s="158"/>
      <c r="B318" s="158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</row>
    <row r="319">
      <c r="A319" s="158"/>
      <c r="B319" s="158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</row>
    <row r="320">
      <c r="A320" s="158"/>
      <c r="B320" s="158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</row>
    <row r="321">
      <c r="A321" s="158"/>
      <c r="B321" s="158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</row>
    <row r="322">
      <c r="A322" s="158"/>
      <c r="B322" s="158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</row>
    <row r="323">
      <c r="A323" s="158"/>
      <c r="B323" s="158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</row>
    <row r="324">
      <c r="A324" s="158"/>
      <c r="B324" s="158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</row>
    <row r="325">
      <c r="A325" s="158"/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</row>
    <row r="326">
      <c r="A326" s="158"/>
      <c r="B326" s="158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</row>
    <row r="327">
      <c r="A327" s="158"/>
      <c r="B327" s="158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</row>
    <row r="328">
      <c r="A328" s="158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</row>
    <row r="329">
      <c r="A329" s="158"/>
      <c r="B329" s="158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</row>
    <row r="330">
      <c r="A330" s="158"/>
      <c r="B330" s="158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</row>
    <row r="331">
      <c r="A331" s="158"/>
      <c r="B331" s="158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</row>
    <row r="332">
      <c r="A332" s="158"/>
      <c r="B332" s="158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</row>
    <row r="333">
      <c r="A333" s="158"/>
      <c r="B333" s="158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</row>
    <row r="334">
      <c r="A334" s="158"/>
      <c r="B334" s="158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</row>
    <row r="335">
      <c r="A335" s="158"/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</row>
    <row r="336">
      <c r="A336" s="158"/>
      <c r="B336" s="158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</row>
    <row r="337">
      <c r="A337" s="158"/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</row>
    <row r="338">
      <c r="A338" s="158"/>
      <c r="B338" s="158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</row>
    <row r="339">
      <c r="A339" s="158"/>
      <c r="B339" s="158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</row>
    <row r="340">
      <c r="A340" s="158"/>
      <c r="B340" s="158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</row>
    <row r="341">
      <c r="A341" s="158"/>
      <c r="B341" s="158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</row>
    <row r="342">
      <c r="A342" s="158"/>
      <c r="B342" s="158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</row>
    <row r="343">
      <c r="A343" s="158"/>
      <c r="B343" s="158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</row>
    <row r="344">
      <c r="A344" s="158"/>
      <c r="B344" s="158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</row>
    <row r="345">
      <c r="A345" s="158"/>
      <c r="B345" s="158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</row>
    <row r="346">
      <c r="A346" s="158"/>
      <c r="B346" s="158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</row>
    <row r="347">
      <c r="A347" s="158"/>
      <c r="B347" s="158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</row>
    <row r="348">
      <c r="A348" s="158"/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</row>
    <row r="349">
      <c r="A349" s="158"/>
      <c r="B349" s="158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</row>
    <row r="350">
      <c r="A350" s="158"/>
      <c r="B350" s="158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</row>
    <row r="351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</row>
    <row r="352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</row>
    <row r="353">
      <c r="A353" s="158"/>
      <c r="B353" s="158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</row>
    <row r="354">
      <c r="A354" s="158"/>
      <c r="B354" s="158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</row>
    <row r="355">
      <c r="A355" s="158"/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</row>
    <row r="356">
      <c r="A356" s="158"/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</row>
    <row r="357">
      <c r="A357" s="158"/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</row>
    <row r="358">
      <c r="A358" s="158"/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</row>
    <row r="359">
      <c r="A359" s="158"/>
      <c r="B359" s="158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</row>
    <row r="360">
      <c r="A360" s="158"/>
      <c r="B360" s="158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</row>
    <row r="361">
      <c r="A361" s="158"/>
      <c r="B361" s="158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</row>
    <row r="362">
      <c r="A362" s="158"/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</row>
    <row r="363">
      <c r="A363" s="158"/>
      <c r="B363" s="158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</row>
    <row r="364">
      <c r="A364" s="158"/>
      <c r="B364" s="158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</row>
    <row r="365">
      <c r="A365" s="158"/>
      <c r="B365" s="158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</row>
    <row r="366">
      <c r="A366" s="158"/>
      <c r="B366" s="158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</row>
    <row r="367">
      <c r="A367" s="158"/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</row>
    <row r="368">
      <c r="A368" s="158"/>
      <c r="B368" s="158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</row>
    <row r="369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</row>
    <row r="370">
      <c r="A370" s="158"/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</row>
    <row r="371">
      <c r="A371" s="158"/>
      <c r="B371" s="158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</row>
    <row r="372">
      <c r="A372" s="158"/>
      <c r="B372" s="158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</row>
    <row r="373">
      <c r="A373" s="158"/>
      <c r="B373" s="158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</row>
    <row r="374">
      <c r="A374" s="158"/>
      <c r="B374" s="158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</row>
    <row r="375">
      <c r="A375" s="158"/>
      <c r="B375" s="158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</row>
    <row r="376">
      <c r="A376" s="158"/>
      <c r="B376" s="158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</row>
    <row r="377">
      <c r="A377" s="158"/>
      <c r="B377" s="158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</row>
    <row r="378">
      <c r="A378" s="158"/>
      <c r="B378" s="158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</row>
    <row r="379">
      <c r="A379" s="158"/>
      <c r="B379" s="158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</row>
    <row r="380">
      <c r="A380" s="158"/>
      <c r="B380" s="158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</row>
    <row r="381">
      <c r="A381" s="158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</row>
    <row r="382">
      <c r="A382" s="158"/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</row>
    <row r="383">
      <c r="A383" s="158"/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</row>
    <row r="384">
      <c r="A384" s="158"/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</row>
    <row r="385">
      <c r="A385" s="158"/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</row>
    <row r="386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</row>
    <row r="387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</row>
    <row r="388">
      <c r="A388" s="158"/>
      <c r="B388" s="158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</row>
    <row r="389">
      <c r="A389" s="158"/>
      <c r="B389" s="158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</row>
    <row r="390">
      <c r="A390" s="158"/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</row>
    <row r="391">
      <c r="A391" s="158"/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</row>
    <row r="392">
      <c r="A392" s="158"/>
      <c r="B392" s="158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</row>
    <row r="393">
      <c r="A393" s="158"/>
      <c r="B393" s="158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</row>
    <row r="394">
      <c r="A394" s="158"/>
      <c r="B394" s="158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</row>
    <row r="395">
      <c r="A395" s="158"/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</row>
    <row r="396">
      <c r="A396" s="158"/>
      <c r="B396" s="158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</row>
    <row r="397">
      <c r="A397" s="158"/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</row>
    <row r="398">
      <c r="A398" s="158"/>
      <c r="B398" s="158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</row>
    <row r="399">
      <c r="A399" s="158"/>
      <c r="B399" s="158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</row>
    <row r="400">
      <c r="A400" s="158"/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</row>
    <row r="401">
      <c r="A401" s="158"/>
      <c r="B401" s="158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</row>
    <row r="402">
      <c r="A402" s="158"/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</row>
    <row r="403">
      <c r="A403" s="158"/>
      <c r="B403" s="158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</row>
    <row r="404">
      <c r="A404" s="158"/>
      <c r="B404" s="158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</row>
    <row r="405">
      <c r="A405" s="158"/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</row>
    <row r="406">
      <c r="A406" s="158"/>
      <c r="B406" s="158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</row>
    <row r="407">
      <c r="A407" s="158"/>
      <c r="B407" s="158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</row>
    <row r="408">
      <c r="A408" s="158"/>
      <c r="B408" s="158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</row>
    <row r="409">
      <c r="A409" s="158"/>
      <c r="B409" s="158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</row>
    <row r="410">
      <c r="A410" s="158"/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</row>
    <row r="411">
      <c r="A411" s="158"/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</row>
    <row r="412">
      <c r="A412" s="158"/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</row>
    <row r="413">
      <c r="A413" s="158"/>
      <c r="B413" s="158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</row>
    <row r="414">
      <c r="A414" s="158"/>
      <c r="B414" s="158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</row>
    <row r="415">
      <c r="A415" s="158"/>
      <c r="B415" s="158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</row>
    <row r="416">
      <c r="A416" s="158"/>
      <c r="B416" s="158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</row>
    <row r="417">
      <c r="A417" s="158"/>
      <c r="B417" s="158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</row>
    <row r="418">
      <c r="A418" s="158"/>
      <c r="B418" s="158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</row>
    <row r="419">
      <c r="A419" s="158"/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</row>
    <row r="420">
      <c r="A420" s="158"/>
      <c r="B420" s="158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</row>
    <row r="421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</row>
    <row r="422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</row>
    <row r="423">
      <c r="A423" s="158"/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</row>
    <row r="424">
      <c r="A424" s="158"/>
      <c r="B424" s="158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</row>
    <row r="425">
      <c r="A425" s="158"/>
      <c r="B425" s="158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</row>
    <row r="426">
      <c r="A426" s="158"/>
      <c r="B426" s="158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</row>
    <row r="427">
      <c r="A427" s="158"/>
      <c r="B427" s="158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</row>
    <row r="428">
      <c r="A428" s="158"/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</row>
    <row r="429">
      <c r="A429" s="158"/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</row>
    <row r="430">
      <c r="A430" s="158"/>
      <c r="B430" s="158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</row>
    <row r="431">
      <c r="A431" s="158"/>
      <c r="B431" s="158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</row>
    <row r="432">
      <c r="A432" s="158"/>
      <c r="B432" s="158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</row>
    <row r="433">
      <c r="A433" s="158"/>
      <c r="B433" s="158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</row>
    <row r="434">
      <c r="A434" s="158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</row>
    <row r="435">
      <c r="A435" s="158"/>
      <c r="B435" s="158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</row>
    <row r="436">
      <c r="A436" s="158"/>
      <c r="B436" s="158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</row>
    <row r="437">
      <c r="A437" s="158"/>
      <c r="B437" s="158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</row>
    <row r="438">
      <c r="A438" s="158"/>
      <c r="B438" s="158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</row>
    <row r="439">
      <c r="A439" s="158"/>
      <c r="B439" s="158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</row>
    <row r="440">
      <c r="A440" s="158"/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</row>
    <row r="441">
      <c r="A441" s="158"/>
      <c r="B441" s="158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</row>
    <row r="442">
      <c r="A442" s="158"/>
      <c r="B442" s="158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</row>
    <row r="443">
      <c r="A443" s="158"/>
      <c r="B443" s="158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</row>
    <row r="444">
      <c r="A444" s="158"/>
      <c r="B444" s="158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</row>
    <row r="445">
      <c r="A445" s="158"/>
      <c r="B445" s="158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</row>
    <row r="446">
      <c r="A446" s="158"/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</row>
    <row r="447">
      <c r="A447" s="158"/>
      <c r="B447" s="158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</row>
    <row r="448">
      <c r="A448" s="158"/>
      <c r="B448" s="158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</row>
    <row r="449">
      <c r="A449" s="158"/>
      <c r="B449" s="158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</row>
    <row r="450">
      <c r="A450" s="158"/>
      <c r="B450" s="158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</row>
    <row r="451">
      <c r="A451" s="158"/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</row>
    <row r="452">
      <c r="A452" s="158"/>
      <c r="B452" s="158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</row>
    <row r="453">
      <c r="A453" s="158"/>
      <c r="B453" s="158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</row>
    <row r="454">
      <c r="A454" s="158"/>
      <c r="B454" s="158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</row>
    <row r="455">
      <c r="A455" s="158"/>
      <c r="B455" s="158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</row>
    <row r="456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</row>
    <row r="457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</row>
    <row r="458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</row>
    <row r="459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</row>
    <row r="460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</row>
    <row r="461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</row>
    <row r="462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</row>
    <row r="463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</row>
    <row r="464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</row>
    <row r="465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</row>
    <row r="466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</row>
    <row r="467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</row>
    <row r="468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</row>
    <row r="469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</row>
    <row r="470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</row>
    <row r="471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</row>
    <row r="472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</row>
    <row r="473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</row>
    <row r="474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</row>
    <row r="475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</row>
    <row r="476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</row>
    <row r="477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</row>
    <row r="478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</row>
    <row r="479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</row>
    <row r="480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</row>
    <row r="481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</row>
    <row r="482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</row>
    <row r="483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</row>
    <row r="484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</row>
    <row r="485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</row>
    <row r="486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</row>
    <row r="487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</row>
    <row r="488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</row>
    <row r="489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</row>
    <row r="490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</row>
    <row r="491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</row>
    <row r="492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</row>
    <row r="493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</row>
    <row r="494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</row>
    <row r="495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</row>
    <row r="496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</row>
    <row r="497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</row>
    <row r="498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</row>
    <row r="499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</row>
    <row r="500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</row>
    <row r="501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</row>
    <row r="502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</row>
    <row r="503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</row>
    <row r="504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</row>
    <row r="505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</row>
    <row r="506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</row>
    <row r="507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</row>
    <row r="508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</row>
    <row r="509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</row>
    <row r="510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</row>
    <row r="511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</row>
    <row r="512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</row>
    <row r="513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</row>
    <row r="514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</row>
    <row r="515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</row>
    <row r="516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</row>
    <row r="517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</row>
    <row r="518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</row>
    <row r="519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</row>
    <row r="520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</row>
    <row r="521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</row>
    <row r="522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</row>
    <row r="523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</row>
    <row r="524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</row>
    <row r="525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</row>
    <row r="526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</row>
    <row r="527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</row>
    <row r="528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</row>
    <row r="529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</row>
    <row r="530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</row>
    <row r="531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</row>
    <row r="532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</row>
    <row r="533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</row>
    <row r="534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</row>
    <row r="535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</row>
    <row r="536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</row>
    <row r="537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</row>
    <row r="538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</row>
    <row r="539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</row>
    <row r="540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</row>
    <row r="541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</row>
    <row r="542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</row>
    <row r="543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</row>
    <row r="544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</row>
    <row r="545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</row>
    <row r="546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</row>
    <row r="547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</row>
    <row r="548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</row>
    <row r="549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</row>
    <row r="550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</row>
    <row r="551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</row>
    <row r="552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</row>
    <row r="553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</row>
    <row r="554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</row>
    <row r="555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</row>
    <row r="556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</row>
    <row r="557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</row>
    <row r="558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</row>
    <row r="559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</row>
    <row r="560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</row>
    <row r="561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</row>
    <row r="562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</row>
    <row r="563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</row>
    <row r="564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</row>
    <row r="565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</row>
    <row r="566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</row>
    <row r="567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</row>
    <row r="568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</row>
    <row r="569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</row>
    <row r="570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</row>
    <row r="571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</row>
    <row r="572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</row>
    <row r="573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</row>
    <row r="574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</row>
    <row r="575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</row>
    <row r="576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</row>
    <row r="577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</row>
    <row r="578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</row>
    <row r="579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</row>
    <row r="580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</row>
    <row r="581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</row>
    <row r="582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</row>
    <row r="583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</row>
    <row r="584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</row>
    <row r="585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</row>
    <row r="586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</row>
    <row r="587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</row>
    <row r="588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</row>
    <row r="589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</row>
    <row r="590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</row>
    <row r="591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</row>
    <row r="592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</row>
    <row r="593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</row>
    <row r="594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</row>
    <row r="595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</row>
    <row r="596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</row>
    <row r="597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</row>
    <row r="598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</row>
    <row r="599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</row>
    <row r="600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</row>
    <row r="601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</row>
    <row r="602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</row>
    <row r="603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</row>
    <row r="604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</row>
    <row r="605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</row>
    <row r="606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</row>
    <row r="607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</row>
    <row r="608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</row>
    <row r="609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</row>
    <row r="610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</row>
    <row r="611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</row>
    <row r="612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</row>
    <row r="613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</row>
    <row r="614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</row>
    <row r="615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</row>
    <row r="616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</row>
    <row r="617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</row>
    <row r="618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</row>
    <row r="619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</row>
    <row r="620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</row>
    <row r="621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</row>
    <row r="622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</row>
    <row r="623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</row>
    <row r="624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</row>
    <row r="625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</row>
    <row r="626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</row>
    <row r="627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</row>
    <row r="628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</row>
    <row r="629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</row>
    <row r="630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</row>
    <row r="631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</row>
    <row r="632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</row>
    <row r="633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</row>
    <row r="634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</row>
    <row r="635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</row>
    <row r="636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</row>
    <row r="637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</row>
    <row r="638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</row>
    <row r="639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</row>
    <row r="640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</row>
    <row r="641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</row>
    <row r="642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</row>
    <row r="643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</row>
    <row r="644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</row>
    <row r="645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</row>
    <row r="646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</row>
    <row r="647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</row>
    <row r="648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</row>
    <row r="649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</row>
    <row r="650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</row>
    <row r="651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</row>
    <row r="652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</row>
    <row r="653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</row>
    <row r="654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</row>
    <row r="655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</row>
    <row r="656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</row>
    <row r="657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</row>
    <row r="658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</row>
    <row r="659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</row>
    <row r="660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</row>
    <row r="661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</row>
    <row r="662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</row>
    <row r="663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</row>
    <row r="664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</row>
    <row r="665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</row>
    <row r="666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</row>
    <row r="667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</row>
    <row r="668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</row>
    <row r="669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</row>
    <row r="670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</row>
    <row r="671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</row>
    <row r="672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</row>
    <row r="673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</row>
    <row r="674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</row>
    <row r="675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</row>
    <row r="676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</row>
    <row r="677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</row>
    <row r="678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</row>
    <row r="679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</row>
    <row r="680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</row>
    <row r="681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</row>
    <row r="682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</row>
    <row r="683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</row>
    <row r="684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</row>
    <row r="685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</row>
    <row r="686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</row>
    <row r="687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</row>
    <row r="688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</row>
    <row r="689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</row>
    <row r="690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</row>
    <row r="691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</row>
    <row r="692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</row>
    <row r="693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</row>
    <row r="694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</row>
    <row r="695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</row>
    <row r="696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</row>
    <row r="697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</row>
    <row r="698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</row>
    <row r="699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</row>
    <row r="700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</row>
    <row r="701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</row>
    <row r="702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</row>
    <row r="703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</row>
    <row r="704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</row>
    <row r="705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</row>
    <row r="706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</row>
    <row r="707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</row>
    <row r="708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</row>
    <row r="709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</row>
    <row r="710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</row>
    <row r="711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</row>
    <row r="712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</row>
    <row r="713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</row>
    <row r="714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</row>
    <row r="715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</row>
    <row r="716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</row>
    <row r="717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</row>
    <row r="718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</row>
    <row r="719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</row>
    <row r="720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</row>
    <row r="721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</row>
    <row r="722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</row>
    <row r="723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</row>
    <row r="724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</row>
    <row r="725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</row>
    <row r="726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</row>
    <row r="727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</row>
    <row r="728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</row>
    <row r="729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</row>
    <row r="730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</row>
    <row r="731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</row>
    <row r="732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</row>
    <row r="733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</row>
    <row r="734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</row>
    <row r="735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</row>
    <row r="736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</row>
    <row r="737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</row>
    <row r="738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</row>
    <row r="739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</row>
    <row r="740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</row>
    <row r="741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</row>
    <row r="742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</row>
    <row r="743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</row>
    <row r="744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</row>
    <row r="745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</row>
    <row r="746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</row>
    <row r="747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</row>
    <row r="748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</row>
    <row r="749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</row>
    <row r="750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</row>
    <row r="751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</row>
    <row r="752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</row>
    <row r="753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</row>
    <row r="754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</row>
    <row r="755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</row>
    <row r="756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</row>
    <row r="757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</row>
    <row r="758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</row>
    <row r="759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</row>
    <row r="760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</row>
    <row r="761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</row>
    <row r="762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</row>
    <row r="763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</row>
    <row r="764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</row>
    <row r="765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</row>
    <row r="766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</row>
    <row r="767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</row>
    <row r="768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</row>
    <row r="769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</row>
    <row r="770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</row>
    <row r="771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</row>
    <row r="772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</row>
    <row r="773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</row>
    <row r="774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</row>
    <row r="775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</row>
    <row r="776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</row>
    <row r="777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</row>
    <row r="778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</row>
    <row r="779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</row>
    <row r="780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</row>
    <row r="781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</row>
    <row r="782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</row>
    <row r="783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</row>
    <row r="784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</row>
    <row r="785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</row>
    <row r="786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</row>
    <row r="787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</row>
    <row r="788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</row>
    <row r="789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</row>
    <row r="790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</row>
    <row r="791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</row>
    <row r="792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</row>
    <row r="793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</row>
    <row r="794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</row>
    <row r="795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</row>
    <row r="796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</row>
    <row r="797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</row>
    <row r="798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</row>
    <row r="799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</row>
    <row r="800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</row>
    <row r="801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</row>
    <row r="802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</row>
    <row r="803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</row>
    <row r="804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</row>
    <row r="805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</row>
    <row r="806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</row>
    <row r="807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</row>
    <row r="808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</row>
    <row r="809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</row>
    <row r="810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</row>
    <row r="811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</row>
    <row r="812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</row>
    <row r="813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</row>
    <row r="814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</row>
    <row r="815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</row>
    <row r="816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</row>
    <row r="817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</row>
    <row r="818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</row>
    <row r="819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</row>
    <row r="820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</row>
    <row r="821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</row>
    <row r="822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</row>
    <row r="823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</row>
    <row r="824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</row>
    <row r="825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</row>
    <row r="826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</row>
    <row r="827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</row>
    <row r="828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</row>
    <row r="829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</row>
    <row r="830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</row>
    <row r="831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</row>
    <row r="832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</row>
    <row r="833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</row>
    <row r="834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</row>
    <row r="835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</row>
    <row r="836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</row>
    <row r="837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</row>
    <row r="838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</row>
    <row r="839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</row>
    <row r="840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</row>
    <row r="841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</row>
    <row r="842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</row>
    <row r="843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</row>
    <row r="844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</row>
    <row r="845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</row>
    <row r="846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</row>
    <row r="847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</row>
    <row r="848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</row>
    <row r="849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</row>
    <row r="850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</row>
    <row r="851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</row>
    <row r="852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</row>
    <row r="853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</row>
    <row r="854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</row>
    <row r="855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</row>
    <row r="856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</row>
    <row r="857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</row>
    <row r="858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</row>
    <row r="859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</row>
    <row r="860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</row>
    <row r="861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</row>
    <row r="862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</row>
    <row r="863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</row>
    <row r="864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</row>
    <row r="865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</row>
    <row r="866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</row>
    <row r="867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</row>
    <row r="868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</row>
    <row r="869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</row>
    <row r="870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</row>
    <row r="871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</row>
    <row r="872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</row>
    <row r="873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</row>
    <row r="874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</row>
    <row r="875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</row>
    <row r="876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</row>
    <row r="877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</row>
    <row r="878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</row>
    <row r="879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</row>
    <row r="880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</row>
    <row r="881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</row>
    <row r="882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</row>
    <row r="883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</row>
    <row r="884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</row>
    <row r="885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</row>
    <row r="886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</row>
    <row r="887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</row>
    <row r="888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</row>
    <row r="889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</row>
    <row r="890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</row>
    <row r="891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</row>
    <row r="892">
      <c r="A892" s="158"/>
      <c r="B892" s="158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</row>
    <row r="893">
      <c r="A893" s="158"/>
      <c r="B893" s="158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</row>
    <row r="894">
      <c r="A894" s="158"/>
      <c r="B894" s="158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</row>
    <row r="895">
      <c r="A895" s="158"/>
      <c r="B895" s="158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</row>
    <row r="896">
      <c r="A896" s="158"/>
      <c r="B896" s="158"/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</row>
    <row r="897">
      <c r="A897" s="158"/>
      <c r="B897" s="158"/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</row>
    <row r="898">
      <c r="A898" s="158"/>
      <c r="B898" s="158"/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</row>
    <row r="899">
      <c r="A899" s="158"/>
      <c r="B899" s="158"/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</row>
    <row r="900">
      <c r="A900" s="158"/>
      <c r="B900" s="158"/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</row>
    <row r="901">
      <c r="A901" s="158"/>
      <c r="B901" s="158"/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</row>
    <row r="902">
      <c r="A902" s="158"/>
      <c r="B902" s="158"/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</row>
    <row r="903">
      <c r="A903" s="158"/>
      <c r="B903" s="158"/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</row>
    <row r="904">
      <c r="A904" s="158"/>
      <c r="B904" s="158"/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</row>
    <row r="905">
      <c r="A905" s="158"/>
      <c r="B905" s="158"/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</row>
    <row r="906">
      <c r="A906" s="158"/>
      <c r="B906" s="158"/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</row>
    <row r="907">
      <c r="A907" s="158"/>
      <c r="B907" s="158"/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</row>
    <row r="908">
      <c r="A908" s="158"/>
      <c r="B908" s="158"/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</row>
    <row r="909">
      <c r="A909" s="158"/>
      <c r="B909" s="158"/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</row>
    <row r="910">
      <c r="A910" s="158"/>
      <c r="B910" s="158"/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</row>
    <row r="911">
      <c r="A911" s="158"/>
      <c r="B911" s="158"/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</row>
    <row r="912">
      <c r="A912" s="158"/>
      <c r="B912" s="158"/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</row>
    <row r="913">
      <c r="A913" s="158"/>
      <c r="B913" s="158"/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</row>
    <row r="914">
      <c r="A914" s="158"/>
      <c r="B914" s="158"/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</row>
    <row r="915">
      <c r="A915" s="158"/>
      <c r="B915" s="158"/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</row>
    <row r="916">
      <c r="A916" s="158"/>
      <c r="B916" s="158"/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</row>
    <row r="917">
      <c r="A917" s="158"/>
      <c r="B917" s="158"/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</row>
    <row r="918">
      <c r="A918" s="158"/>
      <c r="B918" s="158"/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</row>
    <row r="919">
      <c r="A919" s="158"/>
      <c r="B919" s="158"/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</row>
    <row r="920">
      <c r="A920" s="158"/>
      <c r="B920" s="158"/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</row>
    <row r="921">
      <c r="A921" s="158"/>
      <c r="B921" s="158"/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</row>
    <row r="922">
      <c r="A922" s="158"/>
      <c r="B922" s="158"/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</row>
    <row r="923">
      <c r="A923" s="158"/>
      <c r="B923" s="158"/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</row>
    <row r="924">
      <c r="A924" s="158"/>
      <c r="B924" s="158"/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</row>
    <row r="925">
      <c r="A925" s="158"/>
      <c r="B925" s="158"/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</row>
    <row r="926">
      <c r="A926" s="158"/>
      <c r="B926" s="158"/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</row>
    <row r="927">
      <c r="A927" s="158"/>
      <c r="B927" s="158"/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</row>
    <row r="928">
      <c r="A928" s="158"/>
      <c r="B928" s="158"/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</row>
    <row r="929">
      <c r="A929" s="158"/>
      <c r="B929" s="158"/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</row>
    <row r="930">
      <c r="A930" s="158"/>
      <c r="B930" s="158"/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</row>
    <row r="931">
      <c r="A931" s="158"/>
      <c r="B931" s="158"/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</row>
    <row r="932">
      <c r="A932" s="158"/>
      <c r="B932" s="158"/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</row>
    <row r="933">
      <c r="A933" s="158"/>
      <c r="B933" s="158"/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</row>
    <row r="934">
      <c r="A934" s="158"/>
      <c r="B934" s="158"/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</row>
    <row r="935">
      <c r="A935" s="158"/>
      <c r="B935" s="158"/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</row>
    <row r="936">
      <c r="A936" s="158"/>
      <c r="B936" s="158"/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</row>
    <row r="937">
      <c r="A937" s="158"/>
      <c r="B937" s="158"/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</row>
    <row r="938">
      <c r="A938" s="158"/>
      <c r="B938" s="158"/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</row>
    <row r="939">
      <c r="A939" s="158"/>
      <c r="B939" s="158"/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</row>
    <row r="940">
      <c r="A940" s="158"/>
      <c r="B940" s="158"/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</row>
    <row r="941">
      <c r="A941" s="158"/>
      <c r="B941" s="158"/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</row>
    <row r="942">
      <c r="A942" s="158"/>
      <c r="B942" s="158"/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</row>
    <row r="943">
      <c r="A943" s="158"/>
      <c r="B943" s="158"/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</row>
    <row r="944">
      <c r="A944" s="158"/>
      <c r="B944" s="158"/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</row>
    <row r="945">
      <c r="A945" s="158"/>
      <c r="B945" s="158"/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</row>
    <row r="946">
      <c r="A946" s="158"/>
      <c r="B946" s="158"/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</row>
    <row r="947">
      <c r="A947" s="158"/>
      <c r="B947" s="158"/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</row>
    <row r="948">
      <c r="A948" s="158"/>
      <c r="B948" s="158"/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</row>
    <row r="949">
      <c r="A949" s="158"/>
      <c r="B949" s="158"/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</row>
    <row r="950">
      <c r="A950" s="158"/>
      <c r="B950" s="158"/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</row>
    <row r="951">
      <c r="A951" s="158"/>
      <c r="B951" s="158"/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</row>
    <row r="952">
      <c r="A952" s="158"/>
      <c r="B952" s="158"/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  <c r="AA952" s="158"/>
    </row>
    <row r="953">
      <c r="A953" s="158"/>
      <c r="B953" s="158"/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  <c r="AA953" s="158"/>
    </row>
    <row r="954">
      <c r="A954" s="158"/>
      <c r="B954" s="158"/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  <c r="AA954" s="158"/>
    </row>
    <row r="955">
      <c r="A955" s="158"/>
      <c r="B955" s="158"/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</row>
    <row r="956">
      <c r="A956" s="158"/>
      <c r="B956" s="158"/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  <c r="AA956" s="158"/>
    </row>
    <row r="957">
      <c r="A957" s="158"/>
      <c r="B957" s="158"/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  <c r="AA957" s="158"/>
    </row>
    <row r="958">
      <c r="A958" s="158"/>
      <c r="B958" s="158"/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  <c r="AA958" s="158"/>
    </row>
    <row r="959">
      <c r="A959" s="158"/>
      <c r="B959" s="158"/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  <c r="AA959" s="158"/>
    </row>
    <row r="960">
      <c r="A960" s="158"/>
      <c r="B960" s="158"/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  <c r="AA960" s="158"/>
    </row>
    <row r="961">
      <c r="A961" s="158"/>
      <c r="B961" s="158"/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  <c r="AA961" s="158"/>
    </row>
    <row r="962">
      <c r="A962" s="158"/>
      <c r="B962" s="158"/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  <c r="AA962" s="158"/>
    </row>
    <row r="963">
      <c r="A963" s="158"/>
      <c r="B963" s="158"/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  <c r="AA963" s="158"/>
    </row>
    <row r="964">
      <c r="A964" s="158"/>
      <c r="B964" s="158"/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  <c r="AA964" s="158"/>
    </row>
    <row r="965">
      <c r="A965" s="158"/>
      <c r="B965" s="158"/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  <c r="AA965" s="158"/>
    </row>
    <row r="966">
      <c r="A966" s="158"/>
      <c r="B966" s="158"/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  <c r="AA966" s="158"/>
    </row>
    <row r="967">
      <c r="A967" s="158"/>
      <c r="B967" s="158"/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  <c r="AA967" s="158"/>
    </row>
    <row r="968">
      <c r="A968" s="158"/>
      <c r="B968" s="158"/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  <c r="AA968" s="158"/>
    </row>
    <row r="969">
      <c r="A969" s="158"/>
      <c r="B969" s="158"/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  <c r="AA969" s="158"/>
    </row>
    <row r="970">
      <c r="A970" s="158"/>
      <c r="B970" s="158"/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  <c r="AA970" s="158"/>
    </row>
    <row r="971">
      <c r="A971" s="158"/>
      <c r="B971" s="158"/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  <c r="AA971" s="158"/>
    </row>
    <row r="972">
      <c r="A972" s="158"/>
      <c r="B972" s="158"/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  <c r="AA972" s="158"/>
    </row>
    <row r="973">
      <c r="A973" s="158"/>
      <c r="B973" s="158"/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  <c r="AA973" s="158"/>
    </row>
    <row r="974">
      <c r="A974" s="158"/>
      <c r="B974" s="158"/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  <c r="AA974" s="158"/>
    </row>
    <row r="975">
      <c r="A975" s="158"/>
      <c r="B975" s="158"/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  <c r="AA975" s="158"/>
    </row>
    <row r="976">
      <c r="A976" s="158"/>
      <c r="B976" s="158"/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  <c r="AA976" s="158"/>
    </row>
    <row r="977">
      <c r="A977" s="158"/>
      <c r="B977" s="158"/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  <c r="AA977" s="158"/>
    </row>
    <row r="978">
      <c r="A978" s="158"/>
      <c r="B978" s="158"/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8"/>
      <c r="Y978" s="158"/>
      <c r="Z978" s="158"/>
      <c r="AA978" s="158"/>
    </row>
    <row r="979">
      <c r="A979" s="158"/>
      <c r="B979" s="158"/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  <c r="X979" s="158"/>
      <c r="Y979" s="158"/>
      <c r="Z979" s="158"/>
      <c r="AA979" s="158"/>
    </row>
    <row r="980">
      <c r="A980" s="158"/>
      <c r="B980" s="158"/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  <c r="X980" s="158"/>
      <c r="Y980" s="158"/>
      <c r="Z980" s="158"/>
      <c r="AA980" s="158"/>
    </row>
    <row r="981">
      <c r="A981" s="158"/>
      <c r="B981" s="158"/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  <c r="X981" s="158"/>
      <c r="Y981" s="158"/>
      <c r="Z981" s="158"/>
      <c r="AA981" s="158"/>
    </row>
    <row r="982">
      <c r="A982" s="158"/>
      <c r="B982" s="158"/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  <c r="X982" s="158"/>
      <c r="Y982" s="158"/>
      <c r="Z982" s="158"/>
      <c r="AA982" s="158"/>
    </row>
    <row r="983">
      <c r="A983" s="158"/>
      <c r="B983" s="158"/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  <c r="X983" s="158"/>
      <c r="Y983" s="158"/>
      <c r="Z983" s="158"/>
      <c r="AA983" s="158"/>
    </row>
    <row r="984">
      <c r="A984" s="158"/>
      <c r="B984" s="158"/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  <c r="X984" s="158"/>
      <c r="Y984" s="158"/>
      <c r="Z984" s="158"/>
      <c r="AA984" s="158"/>
    </row>
    <row r="985">
      <c r="A985" s="158"/>
      <c r="B985" s="158"/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  <c r="X985" s="158"/>
      <c r="Y985" s="158"/>
      <c r="Z985" s="158"/>
      <c r="AA985" s="158"/>
    </row>
    <row r="986">
      <c r="A986" s="158"/>
      <c r="B986" s="158"/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  <c r="X986" s="158"/>
      <c r="Y986" s="158"/>
      <c r="Z986" s="158"/>
      <c r="AA986" s="158"/>
    </row>
    <row r="987">
      <c r="A987" s="158"/>
      <c r="B987" s="158"/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  <c r="X987" s="158"/>
      <c r="Y987" s="158"/>
      <c r="Z987" s="158"/>
      <c r="AA987" s="158"/>
    </row>
    <row r="988">
      <c r="A988" s="158"/>
      <c r="B988" s="158"/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  <c r="X988" s="158"/>
      <c r="Y988" s="158"/>
      <c r="Z988" s="158"/>
      <c r="AA988" s="158"/>
    </row>
    <row r="989">
      <c r="A989" s="158"/>
      <c r="B989" s="158"/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  <c r="X989" s="158"/>
      <c r="Y989" s="158"/>
      <c r="Z989" s="158"/>
      <c r="AA989" s="158"/>
    </row>
    <row r="990">
      <c r="A990" s="158"/>
      <c r="B990" s="158"/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  <c r="X990" s="158"/>
      <c r="Y990" s="158"/>
      <c r="Z990" s="158"/>
      <c r="AA990" s="158"/>
    </row>
    <row r="991">
      <c r="A991" s="158"/>
      <c r="B991" s="158"/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  <c r="X991" s="158"/>
      <c r="Y991" s="158"/>
      <c r="Z991" s="158"/>
      <c r="AA991" s="158"/>
    </row>
    <row r="992">
      <c r="A992" s="158"/>
      <c r="B992" s="158"/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  <c r="X992" s="158"/>
      <c r="Y992" s="158"/>
      <c r="Z992" s="158"/>
      <c r="AA992" s="158"/>
    </row>
    <row r="993">
      <c r="A993" s="158"/>
      <c r="B993" s="158"/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  <c r="X993" s="158"/>
      <c r="Y993" s="158"/>
      <c r="Z993" s="158"/>
      <c r="AA993" s="158"/>
    </row>
    <row r="994">
      <c r="A994" s="158"/>
      <c r="B994" s="158"/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  <c r="X994" s="158"/>
      <c r="Y994" s="158"/>
      <c r="Z994" s="158"/>
      <c r="AA994" s="158"/>
    </row>
    <row r="995">
      <c r="A995" s="158"/>
      <c r="B995" s="158"/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58"/>
      <c r="Q995" s="158"/>
      <c r="R995" s="158"/>
      <c r="S995" s="158"/>
      <c r="T995" s="158"/>
      <c r="U995" s="158"/>
      <c r="V995" s="158"/>
      <c r="W995" s="158"/>
      <c r="X995" s="158"/>
      <c r="Y995" s="158"/>
      <c r="Z995" s="158"/>
      <c r="AA995" s="158"/>
    </row>
    <row r="996">
      <c r="A996" s="158"/>
      <c r="B996" s="158"/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158"/>
      <c r="X996" s="158"/>
      <c r="Y996" s="158"/>
      <c r="Z996" s="158"/>
      <c r="AA996" s="158"/>
    </row>
    <row r="997">
      <c r="A997" s="158"/>
      <c r="B997" s="158"/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58"/>
      <c r="Q997" s="158"/>
      <c r="R997" s="158"/>
      <c r="S997" s="158"/>
      <c r="T997" s="158"/>
      <c r="U997" s="158"/>
      <c r="V997" s="158"/>
      <c r="W997" s="158"/>
      <c r="X997" s="158"/>
      <c r="Y997" s="158"/>
      <c r="Z997" s="158"/>
      <c r="AA997" s="158"/>
    </row>
    <row r="998">
      <c r="A998" s="158"/>
      <c r="B998" s="158"/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58"/>
      <c r="Q998" s="158"/>
      <c r="R998" s="158"/>
      <c r="S998" s="158"/>
      <c r="T998" s="158"/>
      <c r="U998" s="158"/>
      <c r="V998" s="158"/>
      <c r="W998" s="158"/>
      <c r="X998" s="158"/>
      <c r="Y998" s="158"/>
      <c r="Z998" s="158"/>
      <c r="AA998" s="158"/>
    </row>
    <row r="999">
      <c r="A999" s="158"/>
      <c r="B999" s="158"/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8"/>
      <c r="Q999" s="158"/>
      <c r="R999" s="158"/>
      <c r="S999" s="158"/>
      <c r="T999" s="158"/>
      <c r="U999" s="158"/>
      <c r="V999" s="158"/>
      <c r="W999" s="158"/>
      <c r="X999" s="158"/>
      <c r="Y999" s="158"/>
      <c r="Z999" s="158"/>
      <c r="AA999" s="158"/>
    </row>
    <row r="1000">
      <c r="A1000" s="158"/>
      <c r="B1000" s="158"/>
      <c r="C1000" s="158"/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  <c r="N1000" s="158"/>
      <c r="O1000" s="158"/>
      <c r="P1000" s="158"/>
      <c r="Q1000" s="158"/>
      <c r="R1000" s="158"/>
      <c r="S1000" s="158"/>
      <c r="T1000" s="158"/>
      <c r="U1000" s="158"/>
      <c r="V1000" s="158"/>
      <c r="W1000" s="158"/>
      <c r="X1000" s="158"/>
      <c r="Y1000" s="158"/>
      <c r="Z1000" s="158"/>
      <c r="AA1000" s="158"/>
    </row>
  </sheetData>
  <mergeCells count="9">
    <mergeCell ref="A10:L10"/>
    <mergeCell ref="A26:B26"/>
    <mergeCell ref="A1:L1"/>
    <mergeCell ref="A3:L3"/>
    <mergeCell ref="A4:L4"/>
    <mergeCell ref="B5:L5"/>
    <mergeCell ref="B6:L6"/>
    <mergeCell ref="B7:L7"/>
    <mergeCell ref="B8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4.29"/>
    <col customWidth="1" min="3" max="3" width="17.14"/>
    <col customWidth="1" min="4" max="4" width="20.57"/>
    <col customWidth="1" min="5" max="5" width="13.71"/>
    <col customWidth="1" min="6" max="6" width="16.0"/>
    <col customWidth="1" min="7" max="7" width="11.43"/>
    <col customWidth="1" min="8" max="10" width="13.71"/>
    <col customWidth="1" min="11" max="11" width="34.29"/>
    <col customWidth="1" min="12" max="12" width="22.86"/>
    <col customWidth="1" min="13" max="26" width="9.86"/>
  </cols>
  <sheetData>
    <row r="1" ht="30.0" customHeight="1">
      <c r="A1" s="157" t="s">
        <v>545</v>
      </c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</row>
    <row r="2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ht="24.75" customHeight="1">
      <c r="A3" s="160" t="s">
        <v>546</v>
      </c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>
      <c r="A4" s="174" t="s">
        <v>547</v>
      </c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</row>
    <row r="5">
      <c r="A5" s="161" t="s">
        <v>548</v>
      </c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>
      <c r="A6" s="175"/>
      <c r="B6" s="127" t="s">
        <v>549</v>
      </c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75"/>
      <c r="B7" s="127" t="s">
        <v>550</v>
      </c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75"/>
      <c r="B8" s="127" t="s">
        <v>551</v>
      </c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75"/>
      <c r="B9" s="127" t="s">
        <v>552</v>
      </c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75"/>
      <c r="B10" s="127" t="s">
        <v>553</v>
      </c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75"/>
      <c r="B11" s="127" t="s">
        <v>554</v>
      </c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 ht="24.75" customHeight="1">
      <c r="A13" s="163" t="s">
        <v>376</v>
      </c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>
      <c r="A14" s="145" t="s">
        <v>377</v>
      </c>
      <c r="B14" s="145" t="s">
        <v>378</v>
      </c>
      <c r="C14" s="145" t="s">
        <v>32</v>
      </c>
      <c r="D14" s="145" t="s">
        <v>379</v>
      </c>
      <c r="E14" s="145" t="s">
        <v>380</v>
      </c>
      <c r="F14" s="145" t="s">
        <v>154</v>
      </c>
      <c r="G14" s="145" t="s">
        <v>381</v>
      </c>
      <c r="H14" s="145" t="s">
        <v>382</v>
      </c>
      <c r="I14" s="145" t="s">
        <v>383</v>
      </c>
      <c r="J14" s="145" t="s">
        <v>384</v>
      </c>
      <c r="K14" s="145" t="s">
        <v>385</v>
      </c>
      <c r="L14" s="145" t="s">
        <v>386</v>
      </c>
      <c r="M14" s="145" t="s">
        <v>387</v>
      </c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>
      <c r="A15" s="176" t="s">
        <v>388</v>
      </c>
      <c r="B15" s="132" t="s">
        <v>555</v>
      </c>
      <c r="C15" s="176" t="s">
        <v>399</v>
      </c>
      <c r="D15" s="176" t="s">
        <v>556</v>
      </c>
      <c r="E15" s="176" t="s">
        <v>557</v>
      </c>
      <c r="F15" s="176" t="s">
        <v>393</v>
      </c>
      <c r="G15" s="176" t="s">
        <v>394</v>
      </c>
      <c r="H15" s="176" t="s">
        <v>395</v>
      </c>
      <c r="I15" s="175"/>
      <c r="J15" s="176" t="s">
        <v>396</v>
      </c>
      <c r="K15" s="175"/>
      <c r="L15" s="175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76" t="s">
        <v>397</v>
      </c>
      <c r="B16" s="132" t="s">
        <v>558</v>
      </c>
      <c r="C16" s="176" t="s">
        <v>454</v>
      </c>
      <c r="D16" s="176" t="s">
        <v>556</v>
      </c>
      <c r="E16" s="176" t="s">
        <v>557</v>
      </c>
      <c r="F16" s="176" t="s">
        <v>393</v>
      </c>
      <c r="G16" s="176" t="s">
        <v>394</v>
      </c>
      <c r="H16" s="176" t="s">
        <v>395</v>
      </c>
      <c r="I16" s="175"/>
      <c r="J16" s="176" t="s">
        <v>396</v>
      </c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76" t="s">
        <v>402</v>
      </c>
      <c r="B17" s="132" t="s">
        <v>559</v>
      </c>
      <c r="C17" s="176" t="s">
        <v>450</v>
      </c>
      <c r="D17" s="176" t="s">
        <v>560</v>
      </c>
      <c r="E17" s="176" t="s">
        <v>482</v>
      </c>
      <c r="F17" s="176" t="s">
        <v>422</v>
      </c>
      <c r="G17" s="176" t="s">
        <v>394</v>
      </c>
      <c r="H17" s="176" t="s">
        <v>395</v>
      </c>
      <c r="I17" s="175"/>
      <c r="J17" s="176" t="s">
        <v>396</v>
      </c>
      <c r="K17" s="175"/>
      <c r="L17" s="175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76" t="s">
        <v>405</v>
      </c>
      <c r="B18" s="132" t="s">
        <v>561</v>
      </c>
      <c r="C18" s="176" t="s">
        <v>399</v>
      </c>
      <c r="D18" s="176" t="s">
        <v>562</v>
      </c>
      <c r="E18" s="176" t="s">
        <v>168</v>
      </c>
      <c r="F18" s="176" t="s">
        <v>413</v>
      </c>
      <c r="G18" s="176" t="s">
        <v>394</v>
      </c>
      <c r="H18" s="176" t="s">
        <v>395</v>
      </c>
      <c r="I18" s="175"/>
      <c r="J18" s="176" t="s">
        <v>396</v>
      </c>
      <c r="K18" s="175"/>
      <c r="L18" s="175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76" t="s">
        <v>407</v>
      </c>
      <c r="B19" s="132" t="s">
        <v>563</v>
      </c>
      <c r="C19" s="176" t="s">
        <v>450</v>
      </c>
      <c r="D19" s="176" t="s">
        <v>560</v>
      </c>
      <c r="E19" s="176" t="s">
        <v>482</v>
      </c>
      <c r="F19" s="176" t="s">
        <v>422</v>
      </c>
      <c r="G19" s="176" t="s">
        <v>394</v>
      </c>
      <c r="H19" s="176" t="s">
        <v>395</v>
      </c>
      <c r="I19" s="175"/>
      <c r="J19" s="176" t="s">
        <v>396</v>
      </c>
      <c r="K19" s="175"/>
      <c r="L19" s="175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76" t="s">
        <v>451</v>
      </c>
      <c r="B20" s="132" t="s">
        <v>564</v>
      </c>
      <c r="C20" s="176" t="s">
        <v>450</v>
      </c>
      <c r="D20" s="176" t="s">
        <v>562</v>
      </c>
      <c r="E20" s="176" t="s">
        <v>168</v>
      </c>
      <c r="F20" s="176" t="s">
        <v>413</v>
      </c>
      <c r="G20" s="176" t="s">
        <v>394</v>
      </c>
      <c r="H20" s="176" t="s">
        <v>395</v>
      </c>
      <c r="I20" s="175"/>
      <c r="J20" s="176" t="s">
        <v>396</v>
      </c>
      <c r="K20" s="175"/>
      <c r="L20" s="175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76" t="s">
        <v>410</v>
      </c>
      <c r="B21" s="132" t="s">
        <v>565</v>
      </c>
      <c r="C21" s="176" t="s">
        <v>450</v>
      </c>
      <c r="D21" s="176" t="s">
        <v>556</v>
      </c>
      <c r="E21" s="176" t="s">
        <v>557</v>
      </c>
      <c r="F21" s="176" t="s">
        <v>393</v>
      </c>
      <c r="G21" s="176" t="s">
        <v>394</v>
      </c>
      <c r="H21" s="176" t="s">
        <v>395</v>
      </c>
      <c r="I21" s="175"/>
      <c r="J21" s="176" t="s">
        <v>396</v>
      </c>
      <c r="K21" s="175"/>
      <c r="L21" s="175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76" t="s">
        <v>414</v>
      </c>
      <c r="B22" s="132" t="s">
        <v>566</v>
      </c>
      <c r="C22" s="176" t="s">
        <v>450</v>
      </c>
      <c r="D22" s="176" t="s">
        <v>567</v>
      </c>
      <c r="E22" s="176" t="s">
        <v>557</v>
      </c>
      <c r="F22" s="176" t="s">
        <v>393</v>
      </c>
      <c r="G22" s="176" t="s">
        <v>394</v>
      </c>
      <c r="H22" s="176" t="s">
        <v>395</v>
      </c>
      <c r="I22" s="175"/>
      <c r="J22" s="176" t="s">
        <v>396</v>
      </c>
      <c r="K22" s="175"/>
      <c r="L22" s="175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76" t="s">
        <v>416</v>
      </c>
      <c r="B23" s="132" t="s">
        <v>568</v>
      </c>
      <c r="C23" s="176" t="s">
        <v>450</v>
      </c>
      <c r="D23" s="176" t="s">
        <v>567</v>
      </c>
      <c r="E23" s="176" t="s">
        <v>557</v>
      </c>
      <c r="F23" s="176" t="s">
        <v>393</v>
      </c>
      <c r="G23" s="176" t="s">
        <v>394</v>
      </c>
      <c r="H23" s="176" t="s">
        <v>395</v>
      </c>
      <c r="I23" s="175"/>
      <c r="J23" s="176" t="s">
        <v>396</v>
      </c>
      <c r="K23" s="175"/>
      <c r="L23" s="175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</row>
    <row r="25" ht="15.75" customHeight="1">
      <c r="A25" s="177" t="s">
        <v>423</v>
      </c>
      <c r="E25" s="159"/>
      <c r="F25" s="159"/>
      <c r="G25" s="159"/>
      <c r="H25" s="159"/>
      <c r="I25" s="159"/>
      <c r="J25" s="159"/>
      <c r="K25" s="159"/>
      <c r="L25" s="159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</row>
    <row r="26" ht="15.75" customHeight="1">
      <c r="A26" s="155" t="s">
        <v>424</v>
      </c>
      <c r="B26" s="178">
        <f>COUNTA(A15:A23)</f>
        <v>9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ht="15.75" customHeight="1">
      <c r="A27" s="155" t="s">
        <v>425</v>
      </c>
      <c r="B27" s="178">
        <f>COUNTIF(F15:F23,"✅ Validated")</f>
        <v>0</v>
      </c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ht="15.75" customHeight="1">
      <c r="A28" s="155" t="s">
        <v>426</v>
      </c>
      <c r="B28" s="178">
        <f>COUNTIF(F15:F23,"🔄 In Progress")</f>
        <v>0</v>
      </c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ht="15.75" customHeight="1">
      <c r="A29" s="155" t="s">
        <v>427</v>
      </c>
      <c r="B29" s="178">
        <f>COUNTIF(F15:F23,"❌ Rejected")</f>
        <v>0</v>
      </c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</row>
    <row r="30" ht="15.75" customHeight="1">
      <c r="A30" s="155" t="s">
        <v>428</v>
      </c>
      <c r="B30" s="178">
        <f>COUNTIF(F15:F23,"📋 Planned")</f>
        <v>0</v>
      </c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ht="15.75" customHeight="1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</row>
    <row r="32" ht="15.75" customHeight="1">
      <c r="A32" s="159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ht="15.75" customHeight="1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ht="15.75" customHeight="1">
      <c r="A34" s="159"/>
      <c r="B34" s="179" t="s">
        <v>569</v>
      </c>
      <c r="C34" s="159"/>
      <c r="D34" s="179" t="s">
        <v>570</v>
      </c>
      <c r="E34" s="179" t="s">
        <v>571</v>
      </c>
      <c r="F34" s="179" t="s">
        <v>572</v>
      </c>
      <c r="G34" s="159"/>
      <c r="H34" s="179" t="s">
        <v>573</v>
      </c>
      <c r="I34" s="159"/>
      <c r="J34" s="159"/>
      <c r="K34" s="159"/>
      <c r="L34" s="159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ht="15.75" customHeight="1">
      <c r="A35" s="159"/>
      <c r="B35" s="179" t="s">
        <v>574</v>
      </c>
      <c r="C35" s="159"/>
      <c r="D35" s="179" t="s">
        <v>575</v>
      </c>
      <c r="E35" s="179" t="s">
        <v>571</v>
      </c>
      <c r="F35" s="179" t="s">
        <v>576</v>
      </c>
      <c r="G35" s="159"/>
      <c r="H35" s="179" t="s">
        <v>577</v>
      </c>
      <c r="I35" s="159"/>
      <c r="J35" s="159"/>
      <c r="K35" s="159"/>
      <c r="L35" s="159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ht="15.75" customHeight="1">
      <c r="A36" s="159"/>
      <c r="B36" s="179" t="s">
        <v>578</v>
      </c>
      <c r="C36" s="159"/>
      <c r="D36" s="159"/>
      <c r="E36" s="179" t="s">
        <v>579</v>
      </c>
      <c r="F36" s="159"/>
      <c r="G36" s="159"/>
      <c r="H36" s="159"/>
      <c r="I36" s="179" t="s">
        <v>580</v>
      </c>
      <c r="J36" s="159"/>
      <c r="K36" s="159"/>
      <c r="L36" s="159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ht="15.75" customHeight="1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ht="15.75" customHeight="1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 ht="15.75" customHeight="1">
      <c r="A39" s="159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ht="15.75" customHeight="1">
      <c r="A40" s="159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ht="15.75" customHeight="1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 ht="15.75" customHeight="1">
      <c r="A42" s="159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 ht="15.75" customHeight="1">
      <c r="A43" s="159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 ht="15.75" customHeight="1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 ht="15.75" customHeight="1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 ht="15.75" customHeight="1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 ht="15.75" customHeight="1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 ht="15.75" customHeight="1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 ht="15.75" customHeight="1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 ht="15.75" customHeight="1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 ht="15.75" customHeight="1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 ht="15.75" customHeight="1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 ht="15.75" customHeight="1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 ht="15.75" customHeight="1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 ht="15.75" customHeight="1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 ht="15.75" customHeight="1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 ht="15.75" customHeight="1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 ht="15.75" customHeight="1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ht="15.75" customHeight="1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ht="15.75" customHeight="1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ht="15.75" customHeight="1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ht="15.75" customHeight="1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 ht="15.75" customHeight="1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 ht="15.75" customHeight="1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 ht="15.75" customHeight="1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 ht="15.75" customHeight="1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ht="15.75" customHeight="1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ht="15.75" customHeight="1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ht="15.75" customHeight="1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ht="15.75" customHeight="1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ht="15.75" customHeight="1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ht="15.75" customHeight="1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ht="15.75" customHeight="1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ht="15.75" customHeight="1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 ht="15.75" customHeight="1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 ht="15.75" customHeight="1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ht="15.75" customHeight="1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 ht="15.75" customHeight="1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ht="15.75" customHeight="1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 ht="15.75" customHeight="1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 ht="15.75" customHeight="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ht="15.75" customHeight="1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ht="15.75" customHeight="1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 ht="15.75" customHeight="1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ht="15.75" customHeight="1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ht="15.75" customHeight="1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ht="15.75" customHeight="1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ht="15.75" customHeight="1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</row>
    <row r="89" ht="15.75" customHeight="1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 ht="15.75" customHeight="1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 ht="15.75" customHeight="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 ht="15.75" customHeight="1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 ht="15.75" customHeight="1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 ht="15.75" customHeight="1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 ht="15.75" customHeight="1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ht="15.75" customHeight="1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ht="15.75" customHeight="1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ht="15.75" customHeight="1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ht="15.75" customHeight="1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ht="15.75" customHeight="1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ht="15.75" customHeight="1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ht="15.75" customHeight="1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ht="15.75" customHeight="1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 ht="15.75" customHeight="1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ht="15.75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ht="15.75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 ht="15.75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ht="15.75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 ht="15.75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ht="15.75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 ht="15.75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 ht="15.75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 ht="15.75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 ht="15.75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 ht="15.75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 ht="15.75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 ht="15.75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 ht="15.75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 ht="15.75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 ht="15.75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ht="15.75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 ht="15.75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 ht="15.75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ht="15.75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 ht="15.75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 ht="15.75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 ht="15.75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 ht="15.75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 ht="15.75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 ht="15.75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 ht="15.75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 ht="15.75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 ht="15.75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 ht="15.75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 ht="15.75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 ht="15.75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 ht="15.75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 ht="15.75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ht="15.75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 ht="15.75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 ht="15.75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 ht="15.75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 ht="15.75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 ht="15.75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 ht="15.75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 ht="15.75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 ht="15.75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ht="15.75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 ht="15.75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 ht="15.75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 ht="15.75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 ht="15.75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 ht="15.75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 ht="15.75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 ht="15.75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 ht="15.75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 ht="15.75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 ht="15.75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 ht="15.75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 ht="15.75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 ht="15.75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 ht="15.75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 ht="15.75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 ht="15.75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 ht="15.75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 ht="15.75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 ht="15.75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 ht="15.75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 ht="15.75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 ht="15.75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</row>
    <row r="171" ht="15.75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</row>
    <row r="172" ht="15.75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</row>
    <row r="173" ht="15.75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</row>
    <row r="174" ht="15.75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</row>
    <row r="175" ht="15.75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</row>
    <row r="176" ht="15.75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</row>
    <row r="177" ht="15.75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</row>
    <row r="178" ht="15.75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</row>
    <row r="179" ht="15.75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</row>
    <row r="180" ht="15.75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</row>
    <row r="181" ht="15.75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</row>
    <row r="182" ht="15.75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</row>
    <row r="183" ht="15.75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</row>
    <row r="184" ht="15.75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</row>
    <row r="185" ht="15.75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</row>
    <row r="186" ht="15.75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</row>
    <row r="187" ht="15.75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</row>
    <row r="188" ht="15.75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</row>
    <row r="189" ht="15.75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</row>
    <row r="190" ht="15.75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</row>
    <row r="191" ht="15.75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</row>
    <row r="192" ht="15.75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</row>
    <row r="193" ht="15.75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</row>
    <row r="194" ht="15.75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</row>
    <row r="195" ht="15.75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</row>
    <row r="196" ht="15.75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</row>
    <row r="197" ht="15.75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</row>
    <row r="198" ht="15.75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</row>
    <row r="199" ht="15.75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</row>
    <row r="200" ht="15.75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</row>
    <row r="201" ht="15.75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</row>
    <row r="202" ht="15.75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</row>
    <row r="203" ht="15.75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</row>
    <row r="204" ht="15.75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</row>
    <row r="205" ht="15.75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</row>
    <row r="206" ht="15.75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</row>
    <row r="207" ht="15.75" customHeight="1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</row>
    <row r="208" ht="15.75" customHeight="1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</row>
    <row r="209" ht="15.75" customHeight="1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</row>
    <row r="210" ht="15.75" customHeight="1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</row>
    <row r="211" ht="15.75" customHeight="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</row>
    <row r="212" ht="15.75" customHeight="1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</row>
    <row r="213" ht="15.75" customHeight="1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</row>
    <row r="214" ht="15.75" customHeight="1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</row>
    <row r="215" ht="15.75" customHeight="1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</row>
    <row r="216" ht="15.75" customHeight="1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</row>
    <row r="217" ht="15.75" customHeight="1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</row>
    <row r="218" ht="15.75" customHeight="1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</row>
    <row r="219" ht="15.75" customHeight="1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</row>
    <row r="220" ht="15.75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</row>
    <row r="221" ht="15.75" customHeight="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</row>
    <row r="222" ht="15.75" customHeight="1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</row>
    <row r="223" ht="15.75" customHeight="1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</row>
    <row r="224" ht="15.75" customHeight="1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</row>
    <row r="225" ht="15.75" customHeight="1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</row>
    <row r="226" ht="15.75" customHeight="1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</row>
    <row r="227" ht="15.75" customHeight="1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</row>
    <row r="228" ht="15.75" customHeight="1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</row>
    <row r="229" ht="15.75" customHeight="1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</row>
    <row r="230" ht="15.75" customHeight="1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</row>
    <row r="231" ht="15.75" customHeight="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</row>
    <row r="232" ht="15.75" customHeight="1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</row>
    <row r="233" ht="15.75" customHeight="1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</row>
    <row r="234" ht="15.75" customHeight="1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</row>
    <row r="235" ht="15.75" customHeight="1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</row>
    <row r="236" ht="15.75" customHeight="1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</row>
    <row r="237" ht="15.75" customHeight="1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</row>
    <row r="238" ht="15.75" customHeight="1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</row>
    <row r="239" ht="15.75" customHeight="1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</row>
    <row r="240" ht="15.75" customHeight="1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</row>
    <row r="241" ht="15.75" customHeight="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</row>
    <row r="242" ht="15.75" customHeight="1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</row>
    <row r="243" ht="15.75" customHeight="1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</row>
    <row r="244" ht="15.75" customHeight="1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</row>
    <row r="245" ht="15.75" customHeight="1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</row>
    <row r="246" ht="15.75" customHeight="1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</row>
    <row r="247" ht="15.75" customHeight="1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</row>
    <row r="248" ht="15.75" customHeight="1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</row>
    <row r="249" ht="15.75" customHeight="1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</row>
    <row r="250" ht="15.75" customHeight="1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</row>
    <row r="251" ht="15.75" customHeight="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</row>
    <row r="252" ht="15.75" customHeight="1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</row>
    <row r="253" ht="15.75" customHeight="1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</row>
    <row r="254" ht="15.75" customHeight="1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</row>
    <row r="255" ht="15.75" customHeight="1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</row>
    <row r="256" ht="15.75" customHeight="1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</row>
    <row r="257" ht="15.75" customHeight="1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</row>
    <row r="258" ht="15.75" customHeight="1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</row>
    <row r="259" ht="15.75" customHeight="1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</row>
    <row r="260" ht="15.75" customHeight="1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</row>
    <row r="261" ht="15.75" customHeight="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</row>
    <row r="262" ht="15.75" customHeight="1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</row>
    <row r="263" ht="15.75" customHeight="1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</row>
    <row r="264" ht="15.75" customHeight="1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</row>
    <row r="265" ht="15.75" customHeight="1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</row>
    <row r="266" ht="15.75" customHeight="1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</row>
    <row r="267" ht="15.75" customHeight="1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</row>
    <row r="268" ht="15.75" customHeight="1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</row>
    <row r="269" ht="15.75" customHeight="1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</row>
    <row r="270" ht="15.75" customHeight="1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</row>
    <row r="271" ht="15.75" customHeight="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</row>
    <row r="272" ht="15.75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</row>
    <row r="273" ht="15.75" customHeight="1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</row>
    <row r="274" ht="15.75" customHeight="1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</row>
    <row r="275" ht="15.75" customHeight="1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</row>
    <row r="276" ht="15.75" customHeight="1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</row>
    <row r="277" ht="15.75" customHeight="1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</row>
    <row r="278" ht="15.75" customHeight="1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</row>
    <row r="279" ht="15.75" customHeight="1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</row>
    <row r="280" ht="15.75" customHeight="1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</row>
    <row r="281" ht="15.75" customHeight="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</row>
    <row r="282" ht="15.75" customHeight="1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</row>
    <row r="283" ht="15.75" customHeight="1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</row>
    <row r="284" ht="15.75" customHeight="1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</row>
    <row r="285" ht="15.75" customHeight="1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</row>
    <row r="286" ht="15.75" customHeight="1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</row>
    <row r="287" ht="15.75" customHeight="1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</row>
    <row r="288" ht="15.75" customHeight="1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</row>
    <row r="289" ht="15.75" customHeight="1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</row>
    <row r="290" ht="15.75" customHeight="1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</row>
    <row r="291" ht="15.75" customHeight="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</row>
    <row r="292" ht="15.75" customHeight="1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</row>
    <row r="293" ht="15.75" customHeight="1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</row>
    <row r="294" ht="15.75" customHeight="1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</row>
    <row r="295" ht="15.75" customHeight="1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</row>
    <row r="296" ht="15.75" customHeight="1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</row>
    <row r="297" ht="15.75" customHeight="1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</row>
    <row r="298" ht="15.75" customHeight="1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</row>
    <row r="299" ht="15.75" customHeight="1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</row>
    <row r="300" ht="15.75" customHeight="1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</row>
    <row r="301" ht="15.75" customHeight="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</row>
    <row r="302" ht="15.75" customHeight="1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</row>
    <row r="303" ht="15.75" customHeight="1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</row>
    <row r="304" ht="15.75" customHeight="1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</row>
    <row r="305" ht="15.75" customHeight="1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</row>
    <row r="306" ht="15.75" customHeight="1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</row>
    <row r="307" ht="15.75" customHeight="1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</row>
    <row r="308" ht="15.75" customHeight="1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</row>
    <row r="309" ht="15.75" customHeight="1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</row>
    <row r="310" ht="15.75" customHeight="1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</row>
    <row r="311" ht="15.75" customHeight="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</row>
    <row r="312" ht="15.75" customHeight="1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</row>
    <row r="313" ht="15.75" customHeight="1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</row>
    <row r="314" ht="15.75" customHeight="1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</row>
    <row r="315" ht="15.75" customHeight="1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</row>
    <row r="316" ht="15.75" customHeight="1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</row>
    <row r="317" ht="15.75" customHeight="1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</row>
    <row r="318" ht="15.75" customHeight="1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</row>
    <row r="319" ht="15.75" customHeight="1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</row>
    <row r="320" ht="15.75" customHeight="1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</row>
    <row r="321" ht="15.75" customHeight="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</row>
    <row r="322" ht="15.75" customHeight="1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</row>
    <row r="323" ht="15.75" customHeight="1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</row>
    <row r="324" ht="15.75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</row>
    <row r="325" ht="15.75" customHeight="1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</row>
    <row r="326" ht="15.75" customHeight="1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</row>
    <row r="327" ht="15.75" customHeight="1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</row>
    <row r="328" ht="15.75" customHeight="1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</row>
    <row r="329" ht="15.75" customHeight="1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</row>
    <row r="330" ht="15.75" customHeight="1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</row>
    <row r="331" ht="15.75" customHeight="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</row>
    <row r="332" ht="15.75" customHeight="1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</row>
    <row r="333" ht="15.75" customHeight="1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</row>
    <row r="334" ht="15.75" customHeight="1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</row>
    <row r="335" ht="15.75" customHeight="1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</row>
    <row r="336" ht="15.75" customHeight="1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</row>
    <row r="337" ht="15.75" customHeight="1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</row>
    <row r="338" ht="15.75" customHeight="1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</row>
    <row r="339" ht="15.75" customHeight="1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</row>
    <row r="340" ht="15.75" customHeight="1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</row>
    <row r="341" ht="15.75" customHeight="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</row>
    <row r="342" ht="15.75" customHeight="1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</row>
    <row r="343" ht="15.75" customHeight="1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</row>
    <row r="344" ht="15.75" customHeight="1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</row>
    <row r="345" ht="15.75" customHeight="1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</row>
    <row r="346" ht="15.75" customHeight="1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</row>
    <row r="347" ht="15.75" customHeight="1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</row>
    <row r="348" ht="15.75" customHeight="1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</row>
    <row r="349" ht="15.75" customHeight="1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</row>
    <row r="350" ht="15.75" customHeight="1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</row>
    <row r="351" ht="15.75" customHeight="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</row>
    <row r="352" ht="15.75" customHeight="1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</row>
    <row r="353" ht="15.75" customHeight="1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</row>
    <row r="354" ht="15.75" customHeight="1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</row>
    <row r="355" ht="15.75" customHeight="1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</row>
    <row r="356" ht="15.75" customHeight="1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</row>
    <row r="357" ht="15.75" customHeight="1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</row>
    <row r="358" ht="15.75" customHeight="1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</row>
    <row r="359" ht="15.75" customHeight="1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</row>
    <row r="360" ht="15.75" customHeight="1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</row>
    <row r="361" ht="15.75" customHeight="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</row>
    <row r="362" ht="15.75" customHeight="1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</row>
    <row r="363" ht="15.75" customHeight="1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</row>
    <row r="364" ht="15.75" customHeight="1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</row>
    <row r="365" ht="15.75" customHeight="1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</row>
    <row r="366" ht="15.75" customHeight="1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</row>
    <row r="367" ht="15.75" customHeight="1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</row>
    <row r="368" ht="15.75" customHeight="1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</row>
    <row r="369" ht="15.75" customHeight="1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</row>
    <row r="370" ht="15.75" customHeight="1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</row>
    <row r="371" ht="15.75" customHeight="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</row>
    <row r="372" ht="15.75" customHeight="1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</row>
    <row r="373" ht="15.75" customHeight="1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</row>
    <row r="374" ht="15.75" customHeight="1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</row>
    <row r="375" ht="15.75" customHeight="1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</row>
    <row r="376" ht="15.75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</row>
    <row r="377" ht="15.75" customHeight="1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</row>
    <row r="378" ht="15.75" customHeight="1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</row>
    <row r="379" ht="15.75" customHeight="1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</row>
    <row r="380" ht="15.75" customHeight="1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</row>
    <row r="381" ht="15.75" customHeight="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</row>
    <row r="382" ht="15.75" customHeight="1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</row>
    <row r="383" ht="15.75" customHeight="1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</row>
    <row r="384" ht="15.75" customHeight="1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</row>
    <row r="385" ht="15.75" customHeight="1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</row>
    <row r="386" ht="15.75" customHeight="1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</row>
    <row r="387" ht="15.75" customHeight="1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</row>
    <row r="388" ht="15.75" customHeight="1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</row>
    <row r="389" ht="15.75" customHeight="1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</row>
    <row r="390" ht="15.75" customHeight="1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</row>
    <row r="391" ht="15.75" customHeight="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</row>
    <row r="392" ht="15.75" customHeight="1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</row>
    <row r="393" ht="15.75" customHeight="1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</row>
    <row r="394" ht="15.75" customHeight="1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</row>
    <row r="395" ht="15.75" customHeight="1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</row>
    <row r="396" ht="15.75" customHeight="1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</row>
    <row r="397" ht="15.75" customHeight="1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</row>
    <row r="398" ht="15.75" customHeight="1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</row>
    <row r="399" ht="15.75" customHeight="1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</row>
    <row r="400" ht="15.75" customHeight="1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</row>
    <row r="401" ht="15.75" customHeight="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</row>
    <row r="402" ht="15.75" customHeight="1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</row>
    <row r="403" ht="15.75" customHeight="1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</row>
    <row r="404" ht="15.75" customHeight="1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</row>
    <row r="405" ht="15.75" customHeight="1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</row>
    <row r="406" ht="15.75" customHeight="1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</row>
    <row r="407" ht="15.75" customHeight="1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</row>
    <row r="408" ht="15.75" customHeight="1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</row>
    <row r="409" ht="15.75" customHeight="1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</row>
    <row r="410" ht="15.75" customHeight="1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</row>
    <row r="411" ht="15.75" customHeight="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</row>
    <row r="412" ht="15.75" customHeight="1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</row>
    <row r="413" ht="15.75" customHeight="1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</row>
    <row r="414" ht="15.75" customHeight="1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</row>
    <row r="415" ht="15.75" customHeight="1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</row>
    <row r="416" ht="15.75" customHeight="1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</row>
    <row r="417" ht="15.75" customHeight="1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</row>
    <row r="418" ht="15.75" customHeight="1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</row>
    <row r="419" ht="15.75" customHeight="1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</row>
    <row r="420" ht="15.75" customHeight="1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</row>
    <row r="421" ht="15.75" customHeight="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</row>
    <row r="422" ht="15.75" customHeight="1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</row>
    <row r="423" ht="15.75" customHeight="1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</row>
    <row r="424" ht="15.75" customHeight="1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</row>
    <row r="425" ht="15.75" customHeight="1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</row>
    <row r="426" ht="15.75" customHeight="1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</row>
    <row r="427" ht="15.75" customHeight="1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</row>
    <row r="428" ht="15.75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</row>
    <row r="429" ht="15.75" customHeight="1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</row>
    <row r="430" ht="15.75" customHeight="1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</row>
    <row r="431" ht="15.75" customHeight="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</row>
    <row r="432" ht="15.75" customHeight="1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</row>
    <row r="433" ht="15.75" customHeight="1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</row>
    <row r="434" ht="15.75" customHeight="1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</row>
    <row r="435" ht="15.75" customHeight="1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</row>
    <row r="436" ht="15.75" customHeight="1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</row>
    <row r="437" ht="15.75" customHeight="1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</row>
    <row r="438" ht="15.75" customHeight="1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</row>
    <row r="439" ht="15.75" customHeight="1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</row>
    <row r="440" ht="15.75" customHeight="1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</row>
    <row r="441" ht="15.75" customHeight="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</row>
    <row r="442" ht="15.75" customHeight="1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</row>
    <row r="443" ht="15.75" customHeight="1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</row>
    <row r="444" ht="15.75" customHeight="1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</row>
    <row r="445" ht="15.75" customHeight="1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</row>
    <row r="446" ht="15.75" customHeight="1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</row>
    <row r="447" ht="15.75" customHeight="1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</row>
    <row r="448" ht="15.75" customHeight="1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</row>
    <row r="449" ht="15.75" customHeight="1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</row>
    <row r="450" ht="15.75" customHeight="1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</row>
    <row r="451" ht="15.75" customHeight="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</row>
    <row r="452" ht="15.75" customHeight="1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</row>
    <row r="453" ht="15.75" customHeight="1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</row>
    <row r="454" ht="15.75" customHeight="1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</row>
    <row r="455" ht="15.75" customHeight="1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</row>
    <row r="456" ht="15.75" customHeight="1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</row>
    <row r="457" ht="15.75" customHeight="1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</row>
    <row r="458" ht="15.75" customHeight="1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</row>
    <row r="459" ht="15.75" customHeight="1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</row>
    <row r="460" ht="15.75" customHeight="1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</row>
    <row r="461" ht="15.75" customHeight="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</row>
    <row r="462" ht="15.75" customHeight="1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</row>
    <row r="463" ht="15.75" customHeight="1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</row>
    <row r="464" ht="15.75" customHeight="1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</row>
    <row r="465" ht="15.75" customHeight="1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</row>
    <row r="466" ht="15.75" customHeight="1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</row>
    <row r="467" ht="15.75" customHeight="1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</row>
    <row r="468" ht="15.75" customHeight="1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</row>
    <row r="469" ht="15.75" customHeight="1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</row>
    <row r="470" ht="15.75" customHeight="1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</row>
    <row r="471" ht="15.75" customHeight="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</row>
    <row r="472" ht="15.75" customHeight="1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</row>
    <row r="473" ht="15.75" customHeight="1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</row>
    <row r="474" ht="15.75" customHeight="1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</row>
    <row r="475" ht="15.75" customHeight="1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</row>
    <row r="476" ht="15.75" customHeight="1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</row>
    <row r="477" ht="15.75" customHeight="1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</row>
    <row r="478" ht="15.75" customHeight="1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</row>
    <row r="479" ht="15.75" customHeight="1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</row>
    <row r="480" ht="15.75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</row>
    <row r="481" ht="15.75" customHeight="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</row>
    <row r="482" ht="15.75" customHeight="1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</row>
    <row r="483" ht="15.75" customHeight="1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</row>
    <row r="484" ht="15.75" customHeight="1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</row>
    <row r="485" ht="15.75" customHeight="1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</row>
    <row r="486" ht="15.75" customHeight="1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</row>
    <row r="487" ht="15.75" customHeight="1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</row>
    <row r="488" ht="15.75" customHeight="1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</row>
    <row r="489" ht="15.75" customHeight="1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</row>
    <row r="490" ht="15.75" customHeight="1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</row>
    <row r="491" ht="15.75" customHeight="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</row>
    <row r="492" ht="15.75" customHeight="1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</row>
    <row r="493" ht="15.75" customHeight="1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</row>
    <row r="494" ht="15.75" customHeight="1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</row>
    <row r="495" ht="15.75" customHeight="1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</row>
    <row r="496" ht="15.75" customHeight="1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</row>
    <row r="497" ht="15.75" customHeight="1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</row>
    <row r="498" ht="15.75" customHeight="1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</row>
    <row r="499" ht="15.75" customHeight="1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</row>
    <row r="500" ht="15.75" customHeight="1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</row>
    <row r="501" ht="15.75" customHeight="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</row>
    <row r="502" ht="15.75" customHeight="1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</row>
    <row r="503" ht="15.75" customHeight="1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</row>
    <row r="504" ht="15.75" customHeight="1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</row>
    <row r="505" ht="15.75" customHeight="1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</row>
    <row r="506" ht="15.75" customHeight="1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</row>
    <row r="507" ht="15.75" customHeight="1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</row>
    <row r="508" ht="15.75" customHeight="1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</row>
    <row r="509" ht="15.75" customHeight="1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</row>
    <row r="510" ht="15.75" customHeight="1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</row>
    <row r="511" ht="15.75" customHeight="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</row>
    <row r="512" ht="15.75" customHeight="1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</row>
    <row r="513" ht="15.75" customHeight="1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</row>
    <row r="514" ht="15.75" customHeight="1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</row>
    <row r="515" ht="15.75" customHeight="1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</row>
    <row r="516" ht="15.75" customHeight="1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</row>
    <row r="517" ht="15.75" customHeight="1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</row>
    <row r="518" ht="15.75" customHeight="1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</row>
    <row r="519" ht="15.75" customHeight="1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</row>
    <row r="520" ht="15.75" customHeight="1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</row>
    <row r="521" ht="15.75" customHeight="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</row>
    <row r="522" ht="15.75" customHeight="1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</row>
    <row r="523" ht="15.75" customHeight="1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</row>
    <row r="524" ht="15.75" customHeight="1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</row>
    <row r="525" ht="15.75" customHeight="1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</row>
    <row r="526" ht="15.75" customHeight="1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</row>
    <row r="527" ht="15.75" customHeight="1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</row>
    <row r="528" ht="15.75" customHeight="1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</row>
    <row r="529" ht="15.75" customHeight="1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</row>
    <row r="530" ht="15.75" customHeight="1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</row>
    <row r="531" ht="15.75" customHeight="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</row>
    <row r="532" ht="15.75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</row>
    <row r="533" ht="15.75" customHeight="1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</row>
    <row r="534" ht="15.75" customHeight="1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</row>
    <row r="535" ht="15.75" customHeight="1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</row>
    <row r="536" ht="15.75" customHeight="1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</row>
    <row r="537" ht="15.75" customHeight="1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</row>
    <row r="538" ht="15.75" customHeight="1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</row>
    <row r="539" ht="15.75" customHeight="1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</row>
    <row r="540" ht="15.75" customHeight="1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</row>
    <row r="541" ht="15.75" customHeight="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</row>
    <row r="542" ht="15.75" customHeight="1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</row>
    <row r="543" ht="15.75" customHeight="1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</row>
    <row r="544" ht="15.75" customHeight="1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</row>
    <row r="545" ht="15.75" customHeight="1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</row>
    <row r="546" ht="15.75" customHeight="1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</row>
    <row r="547" ht="15.75" customHeight="1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</row>
    <row r="548" ht="15.75" customHeight="1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</row>
    <row r="549" ht="15.75" customHeight="1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</row>
    <row r="550" ht="15.75" customHeight="1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</row>
    <row r="551" ht="15.75" customHeight="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</row>
    <row r="552" ht="15.75" customHeight="1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</row>
    <row r="553" ht="15.75" customHeight="1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</row>
    <row r="554" ht="15.75" customHeight="1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</row>
    <row r="555" ht="15.75" customHeight="1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</row>
    <row r="556" ht="15.75" customHeight="1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</row>
    <row r="557" ht="15.75" customHeight="1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</row>
    <row r="558" ht="15.75" customHeight="1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</row>
    <row r="559" ht="15.75" customHeight="1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</row>
    <row r="560" ht="15.75" customHeight="1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</row>
    <row r="561" ht="15.75" customHeight="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</row>
    <row r="562" ht="15.75" customHeight="1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</row>
    <row r="563" ht="15.75" customHeight="1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</row>
    <row r="564" ht="15.75" customHeight="1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</row>
    <row r="565" ht="15.75" customHeight="1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</row>
    <row r="566" ht="15.75" customHeight="1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</row>
    <row r="567" ht="15.75" customHeight="1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</row>
    <row r="568" ht="15.75" customHeight="1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</row>
    <row r="569" ht="15.75" customHeight="1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</row>
    <row r="570" ht="15.75" customHeight="1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</row>
    <row r="571" ht="15.75" customHeight="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</row>
    <row r="572" ht="15.75" customHeight="1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</row>
    <row r="573" ht="15.75" customHeight="1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</row>
    <row r="574" ht="15.75" customHeight="1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</row>
    <row r="575" ht="15.75" customHeight="1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</row>
    <row r="576" ht="15.75" customHeight="1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</row>
    <row r="577" ht="15.75" customHeight="1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</row>
    <row r="578" ht="15.75" customHeight="1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</row>
    <row r="579" ht="15.75" customHeight="1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</row>
    <row r="580" ht="15.75" customHeight="1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</row>
    <row r="581" ht="15.75" customHeight="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</row>
    <row r="582" ht="15.75" customHeight="1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</row>
    <row r="583" ht="15.75" customHeight="1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</row>
    <row r="584" ht="15.75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</row>
    <row r="585" ht="15.75" customHeight="1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</row>
    <row r="586" ht="15.75" customHeight="1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</row>
    <row r="587" ht="15.75" customHeight="1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</row>
    <row r="588" ht="15.75" customHeight="1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</row>
    <row r="589" ht="15.75" customHeight="1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</row>
    <row r="590" ht="15.75" customHeight="1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</row>
    <row r="591" ht="15.75" customHeight="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</row>
    <row r="592" ht="15.75" customHeight="1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</row>
    <row r="593" ht="15.75" customHeight="1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</row>
    <row r="594" ht="15.75" customHeight="1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</row>
    <row r="595" ht="15.75" customHeight="1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</row>
    <row r="596" ht="15.75" customHeight="1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</row>
    <row r="597" ht="15.75" customHeight="1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</row>
    <row r="598" ht="15.75" customHeight="1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</row>
    <row r="599" ht="15.75" customHeight="1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</row>
    <row r="600" ht="15.75" customHeight="1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</row>
    <row r="601" ht="15.75" customHeight="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</row>
    <row r="602" ht="15.75" customHeight="1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</row>
    <row r="603" ht="15.75" customHeight="1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</row>
    <row r="604" ht="15.75" customHeight="1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</row>
    <row r="605" ht="15.75" customHeight="1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</row>
    <row r="606" ht="15.75" customHeight="1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</row>
    <row r="607" ht="15.75" customHeight="1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</row>
    <row r="608" ht="15.75" customHeight="1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</row>
    <row r="609" ht="15.75" customHeight="1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</row>
    <row r="610" ht="15.75" customHeight="1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</row>
    <row r="611" ht="15.75" customHeight="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</row>
    <row r="612" ht="15.75" customHeight="1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</row>
    <row r="613" ht="15.75" customHeight="1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</row>
    <row r="614" ht="15.75" customHeight="1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</row>
    <row r="615" ht="15.75" customHeight="1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</row>
    <row r="616" ht="15.75" customHeight="1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</row>
    <row r="617" ht="15.75" customHeight="1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</row>
    <row r="618" ht="15.75" customHeight="1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</row>
    <row r="619" ht="15.75" customHeight="1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</row>
    <row r="620" ht="15.75" customHeight="1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</row>
    <row r="621" ht="15.75" customHeight="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</row>
    <row r="622" ht="15.75" customHeight="1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</row>
    <row r="623" ht="15.75" customHeight="1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</row>
    <row r="624" ht="15.75" customHeight="1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</row>
    <row r="625" ht="15.75" customHeight="1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</row>
    <row r="626" ht="15.75" customHeight="1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</row>
    <row r="627" ht="15.75" customHeight="1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</row>
    <row r="628" ht="15.75" customHeight="1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</row>
    <row r="629" ht="15.75" customHeight="1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</row>
    <row r="630" ht="15.75" customHeight="1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</row>
    <row r="631" ht="15.75" customHeight="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</row>
    <row r="632" ht="15.75" customHeight="1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</row>
    <row r="633" ht="15.75" customHeight="1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</row>
    <row r="634" ht="15.75" customHeight="1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</row>
    <row r="635" ht="15.75" customHeight="1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</row>
    <row r="636" ht="15.75" customHeight="1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</row>
    <row r="637" ht="15.75" customHeight="1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</row>
    <row r="638" ht="15.75" customHeight="1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</row>
    <row r="639" ht="15.75" customHeight="1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</row>
    <row r="640" ht="15.75" customHeight="1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</row>
    <row r="641" ht="15.75" customHeight="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</row>
    <row r="642" ht="15.75" customHeight="1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</row>
    <row r="643" ht="15.75" customHeight="1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</row>
    <row r="644" ht="15.75" customHeight="1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</row>
    <row r="645" ht="15.75" customHeight="1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</row>
    <row r="646" ht="15.75" customHeight="1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</row>
    <row r="647" ht="15.75" customHeight="1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</row>
    <row r="648" ht="15.75" customHeight="1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</row>
    <row r="649" ht="15.75" customHeight="1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</row>
    <row r="650" ht="15.75" customHeight="1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</row>
    <row r="651" ht="15.75" customHeight="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</row>
    <row r="652" ht="15.75" customHeight="1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</row>
    <row r="653" ht="15.75" customHeight="1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</row>
    <row r="654" ht="15.75" customHeight="1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</row>
    <row r="655" ht="15.75" customHeight="1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</row>
    <row r="656" ht="15.75" customHeight="1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</row>
    <row r="657" ht="15.75" customHeight="1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</row>
    <row r="658" ht="15.75" customHeight="1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</row>
    <row r="659" ht="15.75" customHeight="1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</row>
    <row r="660" ht="15.75" customHeight="1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</row>
    <row r="661" ht="15.75" customHeight="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</row>
    <row r="662" ht="15.75" customHeight="1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</row>
    <row r="663" ht="15.75" customHeight="1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</row>
    <row r="664" ht="15.75" customHeight="1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</row>
    <row r="665" ht="15.75" customHeight="1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</row>
    <row r="666" ht="15.75" customHeight="1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</row>
    <row r="667" ht="15.75" customHeight="1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</row>
    <row r="668" ht="15.75" customHeight="1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</row>
    <row r="669" ht="15.75" customHeight="1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</row>
    <row r="670" ht="15.75" customHeight="1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</row>
    <row r="671" ht="15.75" customHeight="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</row>
    <row r="672" ht="15.75" customHeight="1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</row>
    <row r="673" ht="15.75" customHeight="1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</row>
    <row r="674" ht="15.75" customHeight="1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</row>
    <row r="675" ht="15.75" customHeight="1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</row>
    <row r="676" ht="15.75" customHeight="1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</row>
    <row r="677" ht="15.75" customHeight="1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</row>
    <row r="678" ht="15.75" customHeight="1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</row>
    <row r="679" ht="15.75" customHeight="1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</row>
    <row r="680" ht="15.75" customHeight="1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</row>
    <row r="681" ht="15.75" customHeight="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</row>
    <row r="682" ht="15.75" customHeight="1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</row>
    <row r="683" ht="15.75" customHeight="1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</row>
    <row r="684" ht="15.75" customHeight="1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</row>
    <row r="685" ht="15.75" customHeight="1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</row>
    <row r="686" ht="15.75" customHeight="1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</row>
    <row r="687" ht="15.75" customHeight="1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</row>
    <row r="688" ht="15.75" customHeight="1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</row>
    <row r="689" ht="15.75" customHeight="1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</row>
    <row r="690" ht="15.75" customHeight="1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</row>
    <row r="691" ht="15.75" customHeight="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</row>
    <row r="692" ht="15.75" customHeight="1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</row>
    <row r="693" ht="15.75" customHeight="1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</row>
    <row r="694" ht="15.75" customHeight="1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</row>
    <row r="695" ht="15.75" customHeight="1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</row>
    <row r="696" ht="15.75" customHeight="1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</row>
    <row r="697" ht="15.75" customHeight="1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</row>
    <row r="698" ht="15.75" customHeight="1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</row>
    <row r="699" ht="15.75" customHeight="1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</row>
    <row r="700" ht="15.75" customHeight="1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</row>
    <row r="701" ht="15.75" customHeight="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</row>
    <row r="702" ht="15.75" customHeight="1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</row>
    <row r="703" ht="15.75" customHeight="1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</row>
    <row r="704" ht="15.75" customHeight="1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</row>
    <row r="705" ht="15.75" customHeight="1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</row>
    <row r="706" ht="15.75" customHeight="1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</row>
    <row r="707" ht="15.75" customHeight="1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</row>
    <row r="708" ht="15.75" customHeight="1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</row>
    <row r="709" ht="15.75" customHeight="1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</row>
    <row r="710" ht="15.75" customHeight="1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</row>
    <row r="711" ht="15.75" customHeight="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</row>
    <row r="712" ht="15.75" customHeight="1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</row>
    <row r="713" ht="15.75" customHeight="1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</row>
    <row r="714" ht="15.75" customHeight="1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</row>
    <row r="715" ht="15.75" customHeight="1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</row>
    <row r="716" ht="15.75" customHeight="1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</row>
    <row r="717" ht="15.75" customHeight="1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</row>
    <row r="718" ht="15.75" customHeight="1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</row>
    <row r="719" ht="15.75" customHeight="1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</row>
    <row r="720" ht="15.75" customHeight="1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</row>
    <row r="721" ht="15.75" customHeight="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</row>
    <row r="722" ht="15.75" customHeight="1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</row>
    <row r="723" ht="15.75" customHeight="1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</row>
    <row r="724" ht="15.75" customHeight="1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</row>
    <row r="725" ht="15.75" customHeight="1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</row>
    <row r="726" ht="15.75" customHeight="1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</row>
    <row r="727" ht="15.75" customHeight="1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</row>
    <row r="728" ht="15.75" customHeight="1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</row>
    <row r="729" ht="15.75" customHeight="1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</row>
    <row r="730" ht="15.75" customHeight="1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</row>
    <row r="731" ht="15.75" customHeight="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</row>
    <row r="732" ht="15.75" customHeight="1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</row>
    <row r="733" ht="15.75" customHeight="1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</row>
    <row r="734" ht="15.75" customHeight="1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</row>
    <row r="735" ht="15.75" customHeight="1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</row>
    <row r="736" ht="15.75" customHeight="1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</row>
    <row r="737" ht="15.75" customHeight="1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</row>
    <row r="738" ht="15.75" customHeight="1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</row>
    <row r="739" ht="15.75" customHeight="1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</row>
    <row r="740" ht="15.75" customHeight="1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</row>
    <row r="741" ht="15.75" customHeight="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</row>
    <row r="742" ht="15.75" customHeight="1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</row>
    <row r="743" ht="15.75" customHeight="1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</row>
    <row r="744" ht="15.75" customHeight="1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</row>
    <row r="745" ht="15.75" customHeight="1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</row>
    <row r="746" ht="15.75" customHeight="1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</row>
    <row r="747" ht="15.75" customHeight="1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</row>
    <row r="748" ht="15.75" customHeight="1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</row>
    <row r="749" ht="15.75" customHeight="1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</row>
    <row r="750" ht="15.75" customHeight="1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</row>
    <row r="751" ht="15.75" customHeight="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</row>
    <row r="752" ht="15.75" customHeight="1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</row>
    <row r="753" ht="15.75" customHeight="1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</row>
    <row r="754" ht="15.75" customHeight="1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</row>
    <row r="755" ht="15.75" customHeight="1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</row>
    <row r="756" ht="15.75" customHeight="1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</row>
    <row r="757" ht="15.75" customHeight="1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</row>
    <row r="758" ht="15.75" customHeight="1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</row>
    <row r="759" ht="15.75" customHeight="1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</row>
    <row r="760" ht="15.75" customHeight="1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</row>
    <row r="761" ht="15.75" customHeight="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</row>
    <row r="762" ht="15.75" customHeight="1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</row>
    <row r="763" ht="15.75" customHeight="1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</row>
    <row r="764" ht="15.75" customHeight="1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</row>
    <row r="765" ht="15.75" customHeight="1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</row>
    <row r="766" ht="15.75" customHeight="1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</row>
    <row r="767" ht="15.75" customHeight="1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</row>
    <row r="768" ht="15.75" customHeight="1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</row>
    <row r="769" ht="15.75" customHeight="1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</row>
    <row r="770" ht="15.75" customHeight="1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</row>
    <row r="771" ht="15.75" customHeight="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</row>
    <row r="772" ht="15.75" customHeight="1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</row>
    <row r="773" ht="15.75" customHeight="1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</row>
    <row r="774" ht="15.75" customHeight="1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</row>
    <row r="775" ht="15.75" customHeight="1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</row>
    <row r="776" ht="15.75" customHeight="1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</row>
    <row r="777" ht="15.75" customHeight="1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</row>
    <row r="778" ht="15.75" customHeight="1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</row>
    <row r="779" ht="15.75" customHeight="1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</row>
    <row r="780" ht="15.75" customHeight="1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</row>
    <row r="781" ht="15.75" customHeight="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</row>
    <row r="782" ht="15.75" customHeight="1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</row>
    <row r="783" ht="15.75" customHeight="1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</row>
    <row r="784" ht="15.75" customHeight="1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</row>
    <row r="785" ht="15.75" customHeight="1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</row>
    <row r="786" ht="15.75" customHeight="1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</row>
    <row r="787" ht="15.75" customHeight="1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</row>
    <row r="788" ht="15.75" customHeight="1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</row>
    <row r="789" ht="15.75" customHeight="1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</row>
    <row r="790" ht="15.75" customHeight="1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</row>
    <row r="791" ht="15.75" customHeight="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</row>
    <row r="792" ht="15.75" customHeight="1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</row>
    <row r="793" ht="15.75" customHeight="1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</row>
    <row r="794" ht="15.75" customHeight="1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</row>
    <row r="795" ht="15.75" customHeight="1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</row>
    <row r="796" ht="15.75" customHeight="1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</row>
    <row r="797" ht="15.75" customHeight="1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</row>
    <row r="798" ht="15.75" customHeight="1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</row>
    <row r="799" ht="15.75" customHeight="1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</row>
    <row r="800" ht="15.75" customHeight="1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</row>
    <row r="801" ht="15.75" customHeight="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</row>
    <row r="802" ht="15.75" customHeight="1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</row>
    <row r="803" ht="15.75" customHeight="1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</row>
    <row r="804" ht="15.75" customHeight="1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</row>
    <row r="805" ht="15.75" customHeight="1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</row>
    <row r="806" ht="15.75" customHeight="1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</row>
    <row r="807" ht="15.75" customHeight="1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</row>
    <row r="808" ht="15.75" customHeight="1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</row>
    <row r="809" ht="15.75" customHeight="1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</row>
    <row r="810" ht="15.75" customHeight="1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</row>
    <row r="811" ht="15.75" customHeight="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</row>
    <row r="812" ht="15.75" customHeight="1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</row>
    <row r="813" ht="15.75" customHeight="1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</row>
    <row r="814" ht="15.75" customHeight="1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</row>
    <row r="815" ht="15.75" customHeight="1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</row>
    <row r="816" ht="15.75" customHeight="1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</row>
    <row r="817" ht="15.75" customHeight="1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</row>
    <row r="818" ht="15.75" customHeight="1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</row>
    <row r="819" ht="15.75" customHeight="1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</row>
    <row r="820" ht="15.75" customHeight="1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</row>
    <row r="821" ht="15.75" customHeight="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</row>
    <row r="822" ht="15.75" customHeight="1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</row>
    <row r="823" ht="15.75" customHeight="1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</row>
    <row r="824" ht="15.75" customHeight="1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</row>
    <row r="825" ht="15.75" customHeight="1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</row>
    <row r="826" ht="15.75" customHeight="1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</row>
    <row r="827" ht="15.75" customHeight="1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</row>
    <row r="828" ht="15.75" customHeight="1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</row>
    <row r="829" ht="15.75" customHeight="1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</row>
    <row r="830" ht="15.75" customHeight="1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</row>
    <row r="831" ht="15.75" customHeight="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</row>
    <row r="832" ht="15.75" customHeight="1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</row>
    <row r="833" ht="15.75" customHeight="1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</row>
    <row r="834" ht="15.75" customHeight="1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</row>
    <row r="835" ht="15.75" customHeight="1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</row>
    <row r="836" ht="15.75" customHeight="1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</row>
    <row r="837" ht="15.75" customHeight="1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</row>
    <row r="838" ht="15.75" customHeight="1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</row>
    <row r="839" ht="15.75" customHeight="1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</row>
    <row r="840" ht="15.75" customHeight="1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</row>
    <row r="841" ht="15.75" customHeight="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</row>
    <row r="842" ht="15.75" customHeight="1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</row>
    <row r="843" ht="15.75" customHeight="1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</row>
    <row r="844" ht="15.75" customHeight="1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</row>
    <row r="845" ht="15.75" customHeight="1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</row>
    <row r="846" ht="15.75" customHeight="1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</row>
    <row r="847" ht="15.75" customHeight="1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</row>
    <row r="848" ht="15.75" customHeight="1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</row>
    <row r="849" ht="15.75" customHeight="1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</row>
    <row r="850" ht="15.75" customHeight="1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</row>
    <row r="851" ht="15.75" customHeight="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</row>
    <row r="852" ht="15.75" customHeight="1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</row>
    <row r="853" ht="15.75" customHeight="1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</row>
    <row r="854" ht="15.75" customHeight="1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</row>
    <row r="855" ht="15.75" customHeight="1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</row>
    <row r="856" ht="15.75" customHeight="1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</row>
    <row r="857" ht="15.75" customHeight="1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</row>
    <row r="858" ht="15.75" customHeight="1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</row>
    <row r="859" ht="15.75" customHeight="1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</row>
    <row r="860" ht="15.75" customHeight="1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</row>
    <row r="861" ht="15.75" customHeight="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</row>
    <row r="862" ht="15.75" customHeight="1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</row>
    <row r="863" ht="15.75" customHeight="1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</row>
    <row r="864" ht="15.75" customHeight="1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</row>
    <row r="865" ht="15.75" customHeight="1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</row>
    <row r="866" ht="15.75" customHeight="1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</row>
    <row r="867" ht="15.75" customHeight="1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</row>
    <row r="868" ht="15.75" customHeight="1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</row>
    <row r="869" ht="15.75" customHeight="1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</row>
    <row r="870" ht="15.75" customHeight="1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</row>
    <row r="871" ht="15.75" customHeight="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</row>
    <row r="872" ht="15.75" customHeight="1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</row>
    <row r="873" ht="15.75" customHeight="1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</row>
    <row r="874" ht="15.75" customHeight="1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</row>
    <row r="875" ht="15.75" customHeight="1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</row>
    <row r="876" ht="15.75" customHeight="1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</row>
    <row r="877" ht="15.75" customHeight="1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</row>
    <row r="878" ht="15.75" customHeight="1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</row>
    <row r="879" ht="15.75" customHeight="1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</row>
    <row r="880" ht="15.75" customHeight="1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</row>
    <row r="881" ht="15.75" customHeight="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</row>
    <row r="882" ht="15.75" customHeight="1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</row>
    <row r="883" ht="15.75" customHeight="1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</row>
    <row r="884" ht="15.75" customHeight="1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</row>
    <row r="885" ht="15.75" customHeight="1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</row>
    <row r="886" ht="15.75" customHeight="1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</row>
    <row r="887" ht="15.75" customHeight="1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</row>
    <row r="888" ht="15.75" customHeight="1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</row>
    <row r="889" ht="15.75" customHeight="1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</row>
    <row r="890" ht="15.75" customHeight="1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</row>
    <row r="891" ht="15.75" customHeight="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</row>
    <row r="892" ht="15.75" customHeight="1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</row>
    <row r="893" ht="15.75" customHeight="1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</row>
    <row r="894" ht="15.75" customHeight="1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</row>
    <row r="895" ht="15.75" customHeight="1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</row>
    <row r="896" ht="15.75" customHeight="1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</row>
    <row r="897" ht="15.75" customHeight="1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</row>
    <row r="898" ht="15.75" customHeight="1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</row>
    <row r="899" ht="15.75" customHeight="1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</row>
    <row r="900" ht="15.75" customHeight="1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</row>
    <row r="901" ht="15.75" customHeight="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</row>
    <row r="902" ht="15.75" customHeight="1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</row>
    <row r="903" ht="15.75" customHeight="1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</row>
    <row r="904" ht="15.75" customHeight="1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</row>
    <row r="905" ht="15.75" customHeight="1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</row>
    <row r="906" ht="15.75" customHeight="1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</row>
    <row r="907" ht="15.75" customHeight="1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</row>
    <row r="908" ht="15.75" customHeight="1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</row>
    <row r="909" ht="15.75" customHeight="1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</row>
    <row r="910" ht="15.75" customHeight="1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</row>
    <row r="911" ht="15.75" customHeight="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</row>
    <row r="912" ht="15.75" customHeight="1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</row>
    <row r="913" ht="15.75" customHeight="1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</row>
    <row r="914" ht="15.75" customHeight="1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</row>
    <row r="915" ht="15.75" customHeight="1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</row>
    <row r="916" ht="15.75" customHeight="1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</row>
    <row r="917" ht="15.75" customHeight="1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</row>
    <row r="918" ht="15.75" customHeight="1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</row>
    <row r="919" ht="15.75" customHeight="1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</row>
    <row r="920" ht="15.75" customHeight="1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</row>
    <row r="921" ht="15.75" customHeight="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</row>
    <row r="922" ht="15.75" customHeight="1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</row>
    <row r="923" ht="15.75" customHeight="1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</row>
    <row r="924" ht="15.75" customHeight="1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</row>
    <row r="925" ht="15.75" customHeight="1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</row>
    <row r="926" ht="15.75" customHeight="1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</row>
    <row r="927" ht="15.75" customHeight="1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</row>
    <row r="928" ht="15.75" customHeight="1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</row>
    <row r="929" ht="15.75" customHeight="1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</row>
    <row r="930" ht="15.75" customHeight="1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</row>
    <row r="931" ht="15.75" customHeight="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</row>
    <row r="932" ht="15.75" customHeight="1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</row>
    <row r="933" ht="15.75" customHeight="1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</row>
    <row r="934" ht="15.75" customHeight="1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</row>
    <row r="935" ht="15.75" customHeight="1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</row>
    <row r="936" ht="15.75" customHeight="1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</row>
    <row r="937" ht="15.75" customHeight="1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</row>
    <row r="938" ht="15.75" customHeight="1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</row>
    <row r="939" ht="15.75" customHeight="1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</row>
    <row r="940" ht="15.75" customHeight="1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</row>
    <row r="941" ht="15.75" customHeight="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</row>
    <row r="942" ht="15.75" customHeight="1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</row>
    <row r="943" ht="15.75" customHeight="1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</row>
    <row r="944" ht="15.75" customHeight="1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</row>
    <row r="945" ht="15.75" customHeight="1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</row>
    <row r="946" ht="15.75" customHeight="1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</row>
    <row r="947" ht="15.75" customHeight="1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</row>
    <row r="948" ht="15.75" customHeight="1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</row>
    <row r="949" ht="15.75" customHeight="1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</row>
    <row r="950" ht="15.75" customHeight="1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</row>
    <row r="951" ht="15.75" customHeight="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</row>
    <row r="952" ht="15.75" customHeight="1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</row>
    <row r="953" ht="15.75" customHeight="1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</row>
    <row r="954" ht="15.75" customHeight="1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</row>
    <row r="955" ht="15.75" customHeight="1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</row>
    <row r="956" ht="15.75" customHeight="1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</row>
    <row r="957" ht="15.75" customHeight="1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</row>
    <row r="958" ht="15.75" customHeight="1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</row>
    <row r="959" ht="15.75" customHeight="1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</row>
    <row r="960" ht="15.75" customHeight="1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</row>
    <row r="961" ht="15.75" customHeight="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</row>
    <row r="962" ht="15.75" customHeight="1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</row>
    <row r="963" ht="15.75" customHeight="1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</row>
    <row r="964" ht="15.75" customHeight="1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</row>
    <row r="965" ht="15.75" customHeight="1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</row>
    <row r="966" ht="15.75" customHeight="1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</row>
    <row r="967" ht="15.75" customHeight="1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</row>
    <row r="968" ht="15.75" customHeight="1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</row>
    <row r="969" ht="15.75" customHeight="1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</row>
    <row r="970" ht="15.75" customHeight="1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</row>
    <row r="971" ht="15.75" customHeight="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</row>
    <row r="972" ht="15.75" customHeight="1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</row>
    <row r="973" ht="15.75" customHeight="1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</row>
    <row r="974" ht="15.75" customHeight="1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</row>
    <row r="975" ht="15.75" customHeight="1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</row>
    <row r="976" ht="15.75" customHeight="1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</row>
    <row r="977" ht="15.75" customHeight="1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</row>
    <row r="978" ht="15.75" customHeight="1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8"/>
      <c r="Y978" s="158"/>
      <c r="Z978" s="158"/>
    </row>
    <row r="979" ht="15.75" customHeight="1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  <c r="X979" s="158"/>
      <c r="Y979" s="158"/>
      <c r="Z979" s="158"/>
    </row>
    <row r="980" ht="15.75" customHeight="1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  <c r="X980" s="158"/>
      <c r="Y980" s="158"/>
      <c r="Z980" s="158"/>
    </row>
    <row r="981" ht="15.75" customHeight="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  <c r="X981" s="158"/>
      <c r="Y981" s="158"/>
      <c r="Z981" s="158"/>
    </row>
    <row r="982" ht="15.75" customHeight="1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  <c r="X982" s="158"/>
      <c r="Y982" s="158"/>
      <c r="Z982" s="158"/>
    </row>
    <row r="983" ht="15.75" customHeight="1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  <c r="X983" s="158"/>
      <c r="Y983" s="158"/>
      <c r="Z983" s="158"/>
    </row>
    <row r="984" ht="15.75" customHeight="1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  <c r="X984" s="158"/>
      <c r="Y984" s="158"/>
      <c r="Z984" s="158"/>
    </row>
    <row r="985" ht="15.75" customHeight="1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  <c r="X985" s="158"/>
      <c r="Y985" s="158"/>
      <c r="Z985" s="158"/>
    </row>
    <row r="986" ht="15.75" customHeight="1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  <c r="X986" s="158"/>
      <c r="Y986" s="158"/>
      <c r="Z986" s="158"/>
    </row>
    <row r="987" ht="15.75" customHeight="1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  <c r="X987" s="158"/>
      <c r="Y987" s="158"/>
      <c r="Z987" s="158"/>
    </row>
    <row r="988" ht="15.75" customHeight="1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  <c r="X988" s="158"/>
      <c r="Y988" s="158"/>
      <c r="Z988" s="158"/>
    </row>
    <row r="989" ht="15.75" customHeight="1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  <c r="X989" s="158"/>
      <c r="Y989" s="158"/>
      <c r="Z989" s="158"/>
    </row>
    <row r="990" ht="15.75" customHeight="1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  <c r="X990" s="158"/>
      <c r="Y990" s="158"/>
      <c r="Z990" s="158"/>
    </row>
    <row r="991" ht="15.75" customHeight="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  <c r="X991" s="158"/>
      <c r="Y991" s="158"/>
      <c r="Z991" s="158"/>
    </row>
    <row r="992" ht="15.75" customHeight="1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  <c r="X992" s="158"/>
      <c r="Y992" s="158"/>
      <c r="Z992" s="158"/>
    </row>
    <row r="993" ht="15.75" customHeight="1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  <c r="X993" s="158"/>
      <c r="Y993" s="158"/>
      <c r="Z993" s="158"/>
    </row>
    <row r="994" ht="15.75" customHeight="1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  <c r="X994" s="158"/>
      <c r="Y994" s="158"/>
      <c r="Z994" s="158"/>
    </row>
  </sheetData>
  <mergeCells count="12">
    <mergeCell ref="B9:L9"/>
    <mergeCell ref="B10:L10"/>
    <mergeCell ref="B11:L11"/>
    <mergeCell ref="A13:L13"/>
    <mergeCell ref="A25:D25"/>
    <mergeCell ref="A1:L1"/>
    <mergeCell ref="A3:L3"/>
    <mergeCell ref="A4:L4"/>
    <mergeCell ref="A5:L5"/>
    <mergeCell ref="B6:L6"/>
    <mergeCell ref="B7:L7"/>
    <mergeCell ref="B8:L8"/>
  </mergeCells>
  <dataValidations>
    <dataValidation type="list" allowBlank="1" showErrorMessage="1" sqref="F15:F23">
      <formula1>"⚪ Средний,🔴 Критический,🟡 Высокий"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4.29"/>
    <col customWidth="1" min="3" max="3" width="17.14"/>
    <col customWidth="1" min="4" max="4" width="26.57"/>
    <col customWidth="1" min="5" max="5" width="13.71"/>
    <col customWidth="1" min="6" max="6" width="16.0"/>
    <col customWidth="1" min="7" max="7" width="11.43"/>
    <col customWidth="1" min="8" max="10" width="13.71"/>
    <col customWidth="1" min="11" max="11" width="34.29"/>
    <col customWidth="1" min="12" max="12" width="22.86"/>
    <col customWidth="1" min="13" max="26" width="9.86"/>
  </cols>
  <sheetData>
    <row r="1" ht="30.0" customHeight="1">
      <c r="A1" s="157" t="s">
        <v>581</v>
      </c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</row>
    <row r="2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ht="24.75" customHeight="1">
      <c r="A3" s="160" t="s">
        <v>582</v>
      </c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>
      <c r="A4" s="174" t="s">
        <v>583</v>
      </c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</row>
    <row r="5">
      <c r="A5" s="161" t="s">
        <v>462</v>
      </c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>
      <c r="A6" s="175"/>
      <c r="B6" s="127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75"/>
      <c r="B7" s="180" t="s">
        <v>584</v>
      </c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75"/>
      <c r="B8" s="180" t="s">
        <v>585</v>
      </c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75"/>
      <c r="B9" s="180" t="s">
        <v>586</v>
      </c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ht="24.75" customHeight="1">
      <c r="A11" s="163" t="s">
        <v>376</v>
      </c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>
      <c r="A12" s="145" t="s">
        <v>377</v>
      </c>
      <c r="B12" s="145" t="s">
        <v>378</v>
      </c>
      <c r="C12" s="145" t="s">
        <v>32</v>
      </c>
      <c r="D12" s="145" t="s">
        <v>379</v>
      </c>
      <c r="E12" s="145" t="s">
        <v>380</v>
      </c>
      <c r="F12" s="145" t="s">
        <v>154</v>
      </c>
      <c r="G12" s="145" t="s">
        <v>381</v>
      </c>
      <c r="H12" s="145" t="s">
        <v>382</v>
      </c>
      <c r="I12" s="145" t="s">
        <v>383</v>
      </c>
      <c r="J12" s="145" t="s">
        <v>384</v>
      </c>
      <c r="K12" s="145" t="s">
        <v>385</v>
      </c>
      <c r="L12" s="145" t="s">
        <v>386</v>
      </c>
      <c r="M12" s="145" t="s">
        <v>387</v>
      </c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>
      <c r="A13" s="176" t="s">
        <v>388</v>
      </c>
      <c r="B13" s="132" t="s">
        <v>587</v>
      </c>
      <c r="C13" s="176" t="s">
        <v>450</v>
      </c>
      <c r="D13" s="176" t="s">
        <v>588</v>
      </c>
      <c r="E13" s="176" t="s">
        <v>165</v>
      </c>
      <c r="F13" s="176" t="s">
        <v>393</v>
      </c>
      <c r="G13" s="176" t="s">
        <v>394</v>
      </c>
      <c r="H13" s="176" t="s">
        <v>395</v>
      </c>
      <c r="I13" s="175"/>
      <c r="J13" s="176" t="s">
        <v>396</v>
      </c>
      <c r="K13" s="175"/>
      <c r="L13" s="175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76" t="s">
        <v>397</v>
      </c>
      <c r="B14" s="132" t="s">
        <v>512</v>
      </c>
      <c r="C14" s="176" t="s">
        <v>513</v>
      </c>
      <c r="D14" s="176" t="s">
        <v>514</v>
      </c>
      <c r="E14" s="176" t="s">
        <v>165</v>
      </c>
      <c r="F14" s="176" t="s">
        <v>393</v>
      </c>
      <c r="G14" s="176" t="s">
        <v>394</v>
      </c>
      <c r="H14" s="176" t="s">
        <v>395</v>
      </c>
      <c r="I14" s="175"/>
      <c r="J14" s="176" t="s">
        <v>589</v>
      </c>
      <c r="K14" s="175"/>
      <c r="L14" s="175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76" t="s">
        <v>402</v>
      </c>
      <c r="B15" s="132" t="s">
        <v>590</v>
      </c>
      <c r="C15" s="176" t="s">
        <v>450</v>
      </c>
      <c r="D15" s="176" t="s">
        <v>588</v>
      </c>
      <c r="E15" s="176" t="s">
        <v>165</v>
      </c>
      <c r="F15" s="176" t="s">
        <v>393</v>
      </c>
      <c r="G15" s="176" t="s">
        <v>394</v>
      </c>
      <c r="H15" s="176" t="s">
        <v>395</v>
      </c>
      <c r="I15" s="175"/>
      <c r="J15" s="176" t="s">
        <v>404</v>
      </c>
      <c r="K15" s="175"/>
      <c r="L15" s="175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76" t="s">
        <v>405</v>
      </c>
      <c r="B16" s="132" t="s">
        <v>591</v>
      </c>
      <c r="C16" s="176" t="s">
        <v>450</v>
      </c>
      <c r="D16" s="176" t="s">
        <v>588</v>
      </c>
      <c r="E16" s="176" t="s">
        <v>165</v>
      </c>
      <c r="F16" s="176" t="s">
        <v>393</v>
      </c>
      <c r="G16" s="176" t="s">
        <v>394</v>
      </c>
      <c r="H16" s="176" t="s">
        <v>395</v>
      </c>
      <c r="I16" s="175"/>
      <c r="J16" s="176" t="s">
        <v>396</v>
      </c>
      <c r="K16" s="175"/>
      <c r="L16" s="175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76" t="s">
        <v>407</v>
      </c>
      <c r="B17" s="132" t="s">
        <v>592</v>
      </c>
      <c r="C17" s="176" t="s">
        <v>513</v>
      </c>
      <c r="D17" s="176" t="s">
        <v>514</v>
      </c>
      <c r="E17" s="176" t="s">
        <v>165</v>
      </c>
      <c r="F17" s="176" t="s">
        <v>393</v>
      </c>
      <c r="G17" s="176" t="s">
        <v>394</v>
      </c>
      <c r="H17" s="176" t="s">
        <v>395</v>
      </c>
      <c r="I17" s="175"/>
      <c r="J17" s="176" t="s">
        <v>404</v>
      </c>
      <c r="K17" s="175"/>
      <c r="L17" s="175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76" t="s">
        <v>451</v>
      </c>
      <c r="B18" s="132" t="s">
        <v>512</v>
      </c>
      <c r="C18" s="176" t="s">
        <v>513</v>
      </c>
      <c r="D18" s="176" t="s">
        <v>514</v>
      </c>
      <c r="E18" s="176" t="s">
        <v>165</v>
      </c>
      <c r="F18" s="176" t="s">
        <v>393</v>
      </c>
      <c r="G18" s="176" t="s">
        <v>394</v>
      </c>
      <c r="H18" s="176" t="s">
        <v>395</v>
      </c>
      <c r="I18" s="175"/>
      <c r="J18" s="176" t="s">
        <v>404</v>
      </c>
      <c r="K18" s="175"/>
      <c r="L18" s="175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76" t="s">
        <v>410</v>
      </c>
      <c r="B19" s="132" t="s">
        <v>518</v>
      </c>
      <c r="C19" s="176" t="s">
        <v>513</v>
      </c>
      <c r="D19" s="176" t="s">
        <v>514</v>
      </c>
      <c r="E19" s="176" t="s">
        <v>165</v>
      </c>
      <c r="F19" s="176" t="s">
        <v>393</v>
      </c>
      <c r="G19" s="176" t="s">
        <v>394</v>
      </c>
      <c r="H19" s="176" t="s">
        <v>395</v>
      </c>
      <c r="I19" s="175"/>
      <c r="J19" s="176" t="s">
        <v>404</v>
      </c>
      <c r="K19" s="175"/>
      <c r="L19" s="175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76" t="s">
        <v>414</v>
      </c>
      <c r="B20" s="132" t="s">
        <v>587</v>
      </c>
      <c r="C20" s="176" t="s">
        <v>450</v>
      </c>
      <c r="D20" s="176" t="s">
        <v>588</v>
      </c>
      <c r="E20" s="176" t="s">
        <v>165</v>
      </c>
      <c r="F20" s="176" t="s">
        <v>393</v>
      </c>
      <c r="G20" s="176" t="s">
        <v>394</v>
      </c>
      <c r="H20" s="176" t="s">
        <v>395</v>
      </c>
      <c r="I20" s="175"/>
      <c r="J20" s="176" t="s">
        <v>404</v>
      </c>
      <c r="K20" s="175"/>
      <c r="L20" s="175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76" t="s">
        <v>416</v>
      </c>
      <c r="B21" s="132" t="s">
        <v>519</v>
      </c>
      <c r="C21" s="176" t="s">
        <v>450</v>
      </c>
      <c r="D21" s="176" t="s">
        <v>514</v>
      </c>
      <c r="E21" s="176" t="s">
        <v>165</v>
      </c>
      <c r="F21" s="176" t="s">
        <v>393</v>
      </c>
      <c r="G21" s="176" t="s">
        <v>394</v>
      </c>
      <c r="H21" s="176" t="s">
        <v>395</v>
      </c>
      <c r="I21" s="175"/>
      <c r="J21" s="176" t="s">
        <v>404</v>
      </c>
      <c r="K21" s="175"/>
      <c r="L21" s="175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76" t="s">
        <v>418</v>
      </c>
      <c r="B22" s="132" t="s">
        <v>593</v>
      </c>
      <c r="C22" s="176" t="s">
        <v>450</v>
      </c>
      <c r="D22" s="176" t="s">
        <v>588</v>
      </c>
      <c r="E22" s="176" t="s">
        <v>165</v>
      </c>
      <c r="F22" s="176" t="s">
        <v>393</v>
      </c>
      <c r="G22" s="176" t="s">
        <v>394</v>
      </c>
      <c r="H22" s="176" t="s">
        <v>395</v>
      </c>
      <c r="I22" s="175"/>
      <c r="J22" s="176" t="s">
        <v>404</v>
      </c>
      <c r="K22" s="175"/>
      <c r="L22" s="175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 ht="15.75" customHeight="1">
      <c r="A24" s="177" t="s">
        <v>423</v>
      </c>
      <c r="E24" s="159"/>
      <c r="F24" s="159"/>
      <c r="G24" s="159"/>
      <c r="H24" s="159"/>
      <c r="I24" s="159"/>
      <c r="J24" s="159"/>
      <c r="K24" s="159"/>
      <c r="L24" s="159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</row>
    <row r="25" ht="15.75" customHeight="1">
      <c r="A25" s="155" t="s">
        <v>424</v>
      </c>
      <c r="B25" s="178">
        <f>COUNTA(A13:A22)</f>
        <v>10</v>
      </c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</row>
    <row r="26" ht="15.75" customHeight="1">
      <c r="A26" s="155" t="s">
        <v>425</v>
      </c>
      <c r="B26" s="178">
        <f>COUNTIF(F13:F22,"✅ Validated")</f>
        <v>0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ht="15.75" customHeight="1">
      <c r="A27" s="155" t="s">
        <v>426</v>
      </c>
      <c r="B27" s="178">
        <f>COUNTIF(F13:F22,"🔄 In Progress")</f>
        <v>0</v>
      </c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ht="15.75" customHeight="1">
      <c r="A28" s="155" t="s">
        <v>427</v>
      </c>
      <c r="B28" s="178">
        <f>COUNTIF(F13:F22,"❌ Rejected")</f>
        <v>0</v>
      </c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ht="15.75" customHeight="1">
      <c r="A29" s="155" t="s">
        <v>428</v>
      </c>
      <c r="B29" s="178">
        <f>COUNTIF(F13:F22,"📋 Planned")</f>
        <v>0</v>
      </c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</row>
    <row r="30" ht="15.75" customHeight="1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ht="15.75" customHeight="1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</row>
    <row r="32" ht="15.75" customHeight="1">
      <c r="A32" s="159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ht="15.75" customHeight="1">
      <c r="A33" s="159"/>
      <c r="B33" s="181" t="s">
        <v>594</v>
      </c>
      <c r="C33" s="182"/>
      <c r="D33" s="181" t="s">
        <v>490</v>
      </c>
      <c r="E33" s="179" t="s">
        <v>595</v>
      </c>
      <c r="F33" s="179" t="s">
        <v>596</v>
      </c>
      <c r="G33" s="159"/>
      <c r="H33" s="159"/>
      <c r="I33" s="159"/>
      <c r="J33" s="159"/>
      <c r="K33" s="159"/>
      <c r="L33" s="159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ht="15.75" customHeight="1">
      <c r="A34" s="159"/>
      <c r="B34" s="181" t="s">
        <v>597</v>
      </c>
      <c r="C34" s="182"/>
      <c r="D34" s="181" t="s">
        <v>490</v>
      </c>
      <c r="E34" s="179" t="s">
        <v>598</v>
      </c>
      <c r="F34" s="179" t="s">
        <v>599</v>
      </c>
      <c r="G34" s="179" t="s">
        <v>600</v>
      </c>
      <c r="H34" s="159"/>
      <c r="I34" s="159"/>
      <c r="J34" s="159"/>
      <c r="K34" s="159"/>
      <c r="L34" s="159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ht="15.75" customHeight="1">
      <c r="A35" s="159"/>
      <c r="B35" s="181" t="s">
        <v>601</v>
      </c>
      <c r="C35" s="182"/>
      <c r="D35" s="181" t="s">
        <v>490</v>
      </c>
      <c r="E35" s="159"/>
      <c r="F35" s="179" t="s">
        <v>602</v>
      </c>
      <c r="G35" s="179" t="s">
        <v>603</v>
      </c>
      <c r="H35" s="159"/>
      <c r="I35" s="159"/>
      <c r="J35" s="159"/>
      <c r="K35" s="159"/>
      <c r="L35" s="159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ht="15.75" customHeight="1">
      <c r="A36" s="159"/>
      <c r="B36" s="183" t="s">
        <v>604</v>
      </c>
      <c r="C36" s="184"/>
      <c r="D36" s="183" t="s">
        <v>499</v>
      </c>
      <c r="E36" s="183" t="s">
        <v>605</v>
      </c>
      <c r="F36" s="159"/>
      <c r="G36" s="159"/>
      <c r="H36" s="159"/>
      <c r="I36" s="159"/>
      <c r="J36" s="159"/>
      <c r="K36" s="159"/>
      <c r="L36" s="159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ht="15.75" customHeight="1">
      <c r="A37" s="159"/>
      <c r="B37" s="183" t="s">
        <v>606</v>
      </c>
      <c r="C37" s="184"/>
      <c r="D37" s="183" t="s">
        <v>499</v>
      </c>
      <c r="E37" s="184"/>
      <c r="F37" s="159"/>
      <c r="G37" s="159"/>
      <c r="H37" s="159"/>
      <c r="I37" s="159"/>
      <c r="J37" s="159"/>
      <c r="K37" s="159"/>
      <c r="L37" s="159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ht="15.75" customHeight="1">
      <c r="A38" s="159"/>
      <c r="B38" s="181" t="s">
        <v>607</v>
      </c>
      <c r="C38" s="159"/>
      <c r="D38" s="159"/>
      <c r="E38" s="179" t="s">
        <v>605</v>
      </c>
      <c r="F38" s="159"/>
      <c r="G38" s="159"/>
      <c r="H38" s="159"/>
      <c r="I38" s="159"/>
      <c r="J38" s="159"/>
      <c r="K38" s="159"/>
      <c r="L38" s="159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 ht="15.75" customHeight="1">
      <c r="A39" s="159"/>
      <c r="B39" s="181" t="s">
        <v>608</v>
      </c>
      <c r="C39" s="159"/>
      <c r="D39" s="179" t="s">
        <v>499</v>
      </c>
      <c r="E39" s="179" t="s">
        <v>605</v>
      </c>
      <c r="F39" s="179" t="s">
        <v>609</v>
      </c>
      <c r="G39" s="179" t="s">
        <v>141</v>
      </c>
      <c r="H39" s="159"/>
      <c r="I39" s="159"/>
      <c r="J39" s="159"/>
      <c r="K39" s="159"/>
      <c r="L39" s="159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ht="15.75" customHeight="1">
      <c r="A40" s="159"/>
      <c r="B40" s="181" t="s">
        <v>610</v>
      </c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ht="15.75" customHeight="1">
      <c r="A41" s="159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 ht="15.75" customHeight="1">
      <c r="A42" s="159"/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 ht="15.75" customHeight="1">
      <c r="A43" s="159"/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 ht="15.75" customHeight="1">
      <c r="A44" s="15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 ht="15.75" customHeight="1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 ht="15.75" customHeight="1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 ht="15.75" customHeight="1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 ht="15.75" customHeight="1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 ht="15.75" customHeight="1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 ht="15.75" customHeight="1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 ht="15.75" customHeight="1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 ht="15.75" customHeight="1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 ht="15.75" customHeight="1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 ht="15.75" customHeight="1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 ht="15.75" customHeight="1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 ht="15.75" customHeight="1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 ht="15.75" customHeight="1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 ht="15.75" customHeight="1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ht="15.75" customHeight="1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ht="15.75" customHeight="1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ht="15.75" customHeight="1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ht="15.75" customHeight="1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 ht="15.75" customHeight="1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 ht="15.75" customHeight="1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 ht="15.75" customHeight="1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 ht="15.75" customHeight="1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ht="15.75" customHeight="1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ht="15.75" customHeight="1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ht="15.75" customHeight="1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ht="15.75" customHeight="1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ht="15.75" customHeight="1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ht="15.75" customHeight="1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ht="15.75" customHeight="1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ht="15.75" customHeight="1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 ht="15.75" customHeight="1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 ht="15.75" customHeight="1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ht="15.75" customHeight="1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 ht="15.75" customHeight="1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ht="15.75" customHeight="1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 ht="15.75" customHeight="1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 ht="15.75" customHeight="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ht="15.75" customHeight="1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ht="15.75" customHeight="1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 ht="15.75" customHeight="1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ht="15.75" customHeight="1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ht="15.75" customHeight="1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ht="15.75" customHeight="1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ht="15.75" customHeight="1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</row>
    <row r="89" ht="15.75" customHeight="1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 ht="15.75" customHeight="1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 ht="15.75" customHeight="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 ht="15.75" customHeight="1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 ht="15.75" customHeight="1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 ht="15.75" customHeight="1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 ht="15.75" customHeight="1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ht="15.75" customHeight="1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ht="15.75" customHeight="1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ht="15.75" customHeight="1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ht="15.75" customHeight="1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ht="15.75" customHeight="1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ht="15.75" customHeight="1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ht="15.75" customHeight="1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ht="15.75" customHeight="1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 ht="15.75" customHeight="1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ht="15.75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ht="15.75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 ht="15.75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ht="15.75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 ht="15.75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ht="15.75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 ht="15.75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 ht="15.75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 ht="15.75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 ht="15.75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 ht="15.75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 ht="15.75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 ht="15.75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 ht="15.75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 ht="15.75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 ht="15.75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ht="15.75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 ht="15.75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 ht="15.75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ht="15.75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 ht="15.75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 ht="15.75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 ht="15.75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 ht="15.75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 ht="15.75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 ht="15.75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 ht="15.75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 ht="15.75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 ht="15.75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 ht="15.75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 ht="15.75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 ht="15.75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 ht="15.75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 ht="15.75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ht="15.75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 ht="15.75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 ht="15.75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 ht="15.75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 ht="15.75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 ht="15.75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 ht="15.75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 ht="15.75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 ht="15.75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ht="15.75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 ht="15.75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 ht="15.75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 ht="15.75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 ht="15.75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 ht="15.75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 ht="15.75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 ht="15.75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 ht="15.75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 ht="15.75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 ht="15.75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 ht="15.75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 ht="15.75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 ht="15.75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 ht="15.75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 ht="15.75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 ht="15.75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 ht="15.75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 ht="15.75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 ht="15.75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 ht="15.75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 ht="15.75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 ht="15.75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</row>
    <row r="171" ht="15.75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</row>
    <row r="172" ht="15.75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</row>
    <row r="173" ht="15.75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</row>
    <row r="174" ht="15.75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</row>
    <row r="175" ht="15.75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</row>
    <row r="176" ht="15.75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</row>
    <row r="177" ht="15.75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</row>
    <row r="178" ht="15.75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</row>
    <row r="179" ht="15.75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</row>
    <row r="180" ht="15.75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</row>
    <row r="181" ht="15.75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</row>
    <row r="182" ht="15.75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</row>
    <row r="183" ht="15.75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</row>
    <row r="184" ht="15.75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</row>
    <row r="185" ht="15.75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</row>
    <row r="186" ht="15.75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</row>
    <row r="187" ht="15.75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</row>
    <row r="188" ht="15.75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</row>
    <row r="189" ht="15.75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</row>
    <row r="190" ht="15.75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</row>
    <row r="191" ht="15.75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</row>
    <row r="192" ht="15.75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</row>
    <row r="193" ht="15.75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</row>
    <row r="194" ht="15.75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</row>
    <row r="195" ht="15.75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</row>
    <row r="196" ht="15.75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</row>
    <row r="197" ht="15.75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</row>
    <row r="198" ht="15.75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</row>
    <row r="199" ht="15.75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</row>
    <row r="200" ht="15.75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</row>
    <row r="201" ht="15.75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</row>
    <row r="202" ht="15.75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</row>
    <row r="203" ht="15.75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</row>
    <row r="204" ht="15.75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</row>
    <row r="205" ht="15.75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</row>
    <row r="206" ht="15.75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</row>
    <row r="207" ht="15.75" customHeight="1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</row>
    <row r="208" ht="15.75" customHeight="1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</row>
    <row r="209" ht="15.75" customHeight="1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</row>
    <row r="210" ht="15.75" customHeight="1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</row>
    <row r="211" ht="15.75" customHeight="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</row>
    <row r="212" ht="15.75" customHeight="1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</row>
    <row r="213" ht="15.75" customHeight="1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</row>
    <row r="214" ht="15.75" customHeight="1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</row>
    <row r="215" ht="15.75" customHeight="1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</row>
    <row r="216" ht="15.75" customHeight="1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</row>
    <row r="217" ht="15.75" customHeight="1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</row>
    <row r="218" ht="15.75" customHeight="1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</row>
    <row r="219" ht="15.75" customHeight="1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</row>
    <row r="220" ht="15.75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</row>
    <row r="221" ht="15.75" customHeight="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</row>
    <row r="222" ht="15.75" customHeight="1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</row>
    <row r="223" ht="15.75" customHeight="1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</row>
    <row r="224" ht="15.75" customHeight="1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</row>
    <row r="225" ht="15.75" customHeight="1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</row>
    <row r="226" ht="15.75" customHeight="1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</row>
    <row r="227" ht="15.75" customHeight="1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</row>
    <row r="228" ht="15.75" customHeight="1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</row>
    <row r="229" ht="15.75" customHeight="1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</row>
    <row r="230" ht="15.75" customHeight="1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</row>
    <row r="231" ht="15.75" customHeight="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</row>
    <row r="232" ht="15.75" customHeight="1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</row>
    <row r="233" ht="15.75" customHeight="1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</row>
    <row r="234" ht="15.75" customHeight="1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</row>
    <row r="235" ht="15.75" customHeight="1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</row>
    <row r="236" ht="15.75" customHeight="1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</row>
    <row r="237" ht="15.75" customHeight="1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</row>
    <row r="238" ht="15.75" customHeight="1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</row>
    <row r="239" ht="15.75" customHeight="1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</row>
    <row r="240" ht="15.75" customHeight="1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</row>
    <row r="241" ht="15.75" customHeight="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</row>
    <row r="242" ht="15.75" customHeight="1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</row>
    <row r="243" ht="15.75" customHeight="1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</row>
    <row r="244" ht="15.75" customHeight="1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</row>
    <row r="245" ht="15.75" customHeight="1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</row>
    <row r="246" ht="15.75" customHeight="1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</row>
    <row r="247" ht="15.75" customHeight="1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</row>
    <row r="248" ht="15.75" customHeight="1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</row>
    <row r="249" ht="15.75" customHeight="1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</row>
    <row r="250" ht="15.75" customHeight="1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</row>
    <row r="251" ht="15.75" customHeight="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</row>
    <row r="252" ht="15.75" customHeight="1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</row>
    <row r="253" ht="15.75" customHeight="1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</row>
    <row r="254" ht="15.75" customHeight="1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</row>
    <row r="255" ht="15.75" customHeight="1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</row>
    <row r="256" ht="15.75" customHeight="1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</row>
    <row r="257" ht="15.75" customHeight="1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</row>
    <row r="258" ht="15.75" customHeight="1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</row>
    <row r="259" ht="15.75" customHeight="1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</row>
    <row r="260" ht="15.75" customHeight="1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</row>
    <row r="261" ht="15.75" customHeight="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</row>
    <row r="262" ht="15.75" customHeight="1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</row>
    <row r="263" ht="15.75" customHeight="1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</row>
    <row r="264" ht="15.75" customHeight="1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</row>
    <row r="265" ht="15.75" customHeight="1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</row>
    <row r="266" ht="15.75" customHeight="1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</row>
    <row r="267" ht="15.75" customHeight="1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</row>
    <row r="268" ht="15.75" customHeight="1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</row>
    <row r="269" ht="15.75" customHeight="1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</row>
    <row r="270" ht="15.75" customHeight="1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</row>
    <row r="271" ht="15.75" customHeight="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</row>
    <row r="272" ht="15.75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</row>
    <row r="273" ht="15.75" customHeight="1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</row>
    <row r="274" ht="15.75" customHeight="1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</row>
    <row r="275" ht="15.75" customHeight="1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</row>
    <row r="276" ht="15.75" customHeight="1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</row>
    <row r="277" ht="15.75" customHeight="1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</row>
    <row r="278" ht="15.75" customHeight="1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</row>
    <row r="279" ht="15.75" customHeight="1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</row>
    <row r="280" ht="15.75" customHeight="1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</row>
    <row r="281" ht="15.75" customHeight="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</row>
    <row r="282" ht="15.75" customHeight="1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</row>
    <row r="283" ht="15.75" customHeight="1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</row>
    <row r="284" ht="15.75" customHeight="1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</row>
    <row r="285" ht="15.75" customHeight="1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</row>
    <row r="286" ht="15.75" customHeight="1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</row>
    <row r="287" ht="15.75" customHeight="1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</row>
    <row r="288" ht="15.75" customHeight="1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</row>
    <row r="289" ht="15.75" customHeight="1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</row>
    <row r="290" ht="15.75" customHeight="1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</row>
    <row r="291" ht="15.75" customHeight="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</row>
    <row r="292" ht="15.75" customHeight="1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</row>
    <row r="293" ht="15.75" customHeight="1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</row>
    <row r="294" ht="15.75" customHeight="1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</row>
    <row r="295" ht="15.75" customHeight="1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</row>
    <row r="296" ht="15.75" customHeight="1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</row>
    <row r="297" ht="15.75" customHeight="1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</row>
    <row r="298" ht="15.75" customHeight="1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</row>
    <row r="299" ht="15.75" customHeight="1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</row>
    <row r="300" ht="15.75" customHeight="1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</row>
    <row r="301" ht="15.75" customHeight="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</row>
    <row r="302" ht="15.75" customHeight="1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</row>
    <row r="303" ht="15.75" customHeight="1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</row>
    <row r="304" ht="15.75" customHeight="1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</row>
    <row r="305" ht="15.75" customHeight="1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</row>
    <row r="306" ht="15.75" customHeight="1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</row>
    <row r="307" ht="15.75" customHeight="1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</row>
    <row r="308" ht="15.75" customHeight="1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</row>
    <row r="309" ht="15.75" customHeight="1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</row>
    <row r="310" ht="15.75" customHeight="1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</row>
    <row r="311" ht="15.75" customHeight="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</row>
    <row r="312" ht="15.75" customHeight="1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</row>
    <row r="313" ht="15.75" customHeight="1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</row>
    <row r="314" ht="15.75" customHeight="1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</row>
    <row r="315" ht="15.75" customHeight="1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</row>
    <row r="316" ht="15.75" customHeight="1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</row>
    <row r="317" ht="15.75" customHeight="1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</row>
    <row r="318" ht="15.75" customHeight="1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</row>
    <row r="319" ht="15.75" customHeight="1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</row>
    <row r="320" ht="15.75" customHeight="1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</row>
    <row r="321" ht="15.75" customHeight="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</row>
    <row r="322" ht="15.75" customHeight="1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</row>
    <row r="323" ht="15.75" customHeight="1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</row>
    <row r="324" ht="15.75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</row>
    <row r="325" ht="15.75" customHeight="1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</row>
    <row r="326" ht="15.75" customHeight="1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</row>
    <row r="327" ht="15.75" customHeight="1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</row>
    <row r="328" ht="15.75" customHeight="1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</row>
    <row r="329" ht="15.75" customHeight="1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</row>
    <row r="330" ht="15.75" customHeight="1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</row>
    <row r="331" ht="15.75" customHeight="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</row>
    <row r="332" ht="15.75" customHeight="1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</row>
    <row r="333" ht="15.75" customHeight="1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</row>
    <row r="334" ht="15.75" customHeight="1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</row>
    <row r="335" ht="15.75" customHeight="1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</row>
    <row r="336" ht="15.75" customHeight="1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</row>
    <row r="337" ht="15.75" customHeight="1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</row>
    <row r="338" ht="15.75" customHeight="1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</row>
    <row r="339" ht="15.75" customHeight="1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</row>
    <row r="340" ht="15.75" customHeight="1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</row>
    <row r="341" ht="15.75" customHeight="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</row>
    <row r="342" ht="15.75" customHeight="1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</row>
    <row r="343" ht="15.75" customHeight="1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</row>
    <row r="344" ht="15.75" customHeight="1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</row>
    <row r="345" ht="15.75" customHeight="1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</row>
    <row r="346" ht="15.75" customHeight="1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</row>
    <row r="347" ht="15.75" customHeight="1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</row>
    <row r="348" ht="15.75" customHeight="1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</row>
    <row r="349" ht="15.75" customHeight="1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</row>
    <row r="350" ht="15.75" customHeight="1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</row>
    <row r="351" ht="15.75" customHeight="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</row>
    <row r="352" ht="15.75" customHeight="1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</row>
    <row r="353" ht="15.75" customHeight="1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</row>
    <row r="354" ht="15.75" customHeight="1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</row>
    <row r="355" ht="15.75" customHeight="1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</row>
    <row r="356" ht="15.75" customHeight="1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</row>
    <row r="357" ht="15.75" customHeight="1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</row>
    <row r="358" ht="15.75" customHeight="1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</row>
    <row r="359" ht="15.75" customHeight="1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</row>
    <row r="360" ht="15.75" customHeight="1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</row>
    <row r="361" ht="15.75" customHeight="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</row>
    <row r="362" ht="15.75" customHeight="1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</row>
    <row r="363" ht="15.75" customHeight="1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</row>
    <row r="364" ht="15.75" customHeight="1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</row>
    <row r="365" ht="15.75" customHeight="1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</row>
    <row r="366" ht="15.75" customHeight="1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</row>
    <row r="367" ht="15.75" customHeight="1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</row>
    <row r="368" ht="15.75" customHeight="1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</row>
    <row r="369" ht="15.75" customHeight="1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</row>
    <row r="370" ht="15.75" customHeight="1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</row>
    <row r="371" ht="15.75" customHeight="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</row>
    <row r="372" ht="15.75" customHeight="1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</row>
    <row r="373" ht="15.75" customHeight="1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</row>
    <row r="374" ht="15.75" customHeight="1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</row>
    <row r="375" ht="15.75" customHeight="1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</row>
    <row r="376" ht="15.75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</row>
    <row r="377" ht="15.75" customHeight="1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</row>
    <row r="378" ht="15.75" customHeight="1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</row>
    <row r="379" ht="15.75" customHeight="1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</row>
    <row r="380" ht="15.75" customHeight="1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</row>
    <row r="381" ht="15.75" customHeight="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</row>
    <row r="382" ht="15.75" customHeight="1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</row>
    <row r="383" ht="15.75" customHeight="1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</row>
    <row r="384" ht="15.75" customHeight="1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</row>
    <row r="385" ht="15.75" customHeight="1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</row>
    <row r="386" ht="15.75" customHeight="1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</row>
    <row r="387" ht="15.75" customHeight="1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</row>
    <row r="388" ht="15.75" customHeight="1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</row>
    <row r="389" ht="15.75" customHeight="1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</row>
    <row r="390" ht="15.75" customHeight="1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</row>
    <row r="391" ht="15.75" customHeight="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</row>
    <row r="392" ht="15.75" customHeight="1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</row>
    <row r="393" ht="15.75" customHeight="1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</row>
    <row r="394" ht="15.75" customHeight="1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</row>
    <row r="395" ht="15.75" customHeight="1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</row>
    <row r="396" ht="15.75" customHeight="1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</row>
    <row r="397" ht="15.75" customHeight="1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</row>
    <row r="398" ht="15.75" customHeight="1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</row>
    <row r="399" ht="15.75" customHeight="1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</row>
    <row r="400" ht="15.75" customHeight="1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</row>
    <row r="401" ht="15.75" customHeight="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</row>
    <row r="402" ht="15.75" customHeight="1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</row>
    <row r="403" ht="15.75" customHeight="1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</row>
    <row r="404" ht="15.75" customHeight="1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</row>
    <row r="405" ht="15.75" customHeight="1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</row>
    <row r="406" ht="15.75" customHeight="1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</row>
    <row r="407" ht="15.75" customHeight="1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</row>
    <row r="408" ht="15.75" customHeight="1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</row>
    <row r="409" ht="15.75" customHeight="1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</row>
    <row r="410" ht="15.75" customHeight="1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</row>
    <row r="411" ht="15.75" customHeight="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</row>
    <row r="412" ht="15.75" customHeight="1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</row>
    <row r="413" ht="15.75" customHeight="1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</row>
    <row r="414" ht="15.75" customHeight="1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</row>
    <row r="415" ht="15.75" customHeight="1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</row>
    <row r="416" ht="15.75" customHeight="1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</row>
    <row r="417" ht="15.75" customHeight="1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</row>
    <row r="418" ht="15.75" customHeight="1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</row>
    <row r="419" ht="15.75" customHeight="1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</row>
    <row r="420" ht="15.75" customHeight="1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</row>
    <row r="421" ht="15.75" customHeight="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</row>
    <row r="422" ht="15.75" customHeight="1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</row>
    <row r="423" ht="15.75" customHeight="1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</row>
    <row r="424" ht="15.75" customHeight="1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</row>
    <row r="425" ht="15.75" customHeight="1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</row>
    <row r="426" ht="15.75" customHeight="1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</row>
    <row r="427" ht="15.75" customHeight="1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</row>
    <row r="428" ht="15.75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</row>
    <row r="429" ht="15.75" customHeight="1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</row>
    <row r="430" ht="15.75" customHeight="1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</row>
    <row r="431" ht="15.75" customHeight="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</row>
    <row r="432" ht="15.75" customHeight="1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</row>
    <row r="433" ht="15.75" customHeight="1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</row>
    <row r="434" ht="15.75" customHeight="1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</row>
    <row r="435" ht="15.75" customHeight="1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</row>
    <row r="436" ht="15.75" customHeight="1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</row>
    <row r="437" ht="15.75" customHeight="1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</row>
    <row r="438" ht="15.75" customHeight="1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</row>
    <row r="439" ht="15.75" customHeight="1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</row>
    <row r="440" ht="15.75" customHeight="1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</row>
    <row r="441" ht="15.75" customHeight="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</row>
    <row r="442" ht="15.75" customHeight="1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</row>
    <row r="443" ht="15.75" customHeight="1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</row>
    <row r="444" ht="15.75" customHeight="1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</row>
    <row r="445" ht="15.75" customHeight="1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</row>
    <row r="446" ht="15.75" customHeight="1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</row>
    <row r="447" ht="15.75" customHeight="1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</row>
    <row r="448" ht="15.75" customHeight="1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</row>
    <row r="449" ht="15.75" customHeight="1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</row>
    <row r="450" ht="15.75" customHeight="1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</row>
    <row r="451" ht="15.75" customHeight="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</row>
    <row r="452" ht="15.75" customHeight="1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</row>
    <row r="453" ht="15.75" customHeight="1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</row>
    <row r="454" ht="15.75" customHeight="1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</row>
    <row r="455" ht="15.75" customHeight="1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</row>
    <row r="456" ht="15.75" customHeight="1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</row>
    <row r="457" ht="15.75" customHeight="1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</row>
    <row r="458" ht="15.75" customHeight="1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</row>
    <row r="459" ht="15.75" customHeight="1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</row>
    <row r="460" ht="15.75" customHeight="1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</row>
    <row r="461" ht="15.75" customHeight="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</row>
    <row r="462" ht="15.75" customHeight="1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</row>
    <row r="463" ht="15.75" customHeight="1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</row>
    <row r="464" ht="15.75" customHeight="1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</row>
    <row r="465" ht="15.75" customHeight="1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</row>
    <row r="466" ht="15.75" customHeight="1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</row>
    <row r="467" ht="15.75" customHeight="1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</row>
    <row r="468" ht="15.75" customHeight="1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</row>
    <row r="469" ht="15.75" customHeight="1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</row>
    <row r="470" ht="15.75" customHeight="1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</row>
    <row r="471" ht="15.75" customHeight="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</row>
    <row r="472" ht="15.75" customHeight="1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</row>
    <row r="473" ht="15.75" customHeight="1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</row>
    <row r="474" ht="15.75" customHeight="1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</row>
    <row r="475" ht="15.75" customHeight="1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</row>
    <row r="476" ht="15.75" customHeight="1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</row>
    <row r="477" ht="15.75" customHeight="1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</row>
    <row r="478" ht="15.75" customHeight="1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</row>
    <row r="479" ht="15.75" customHeight="1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</row>
    <row r="480" ht="15.75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</row>
    <row r="481" ht="15.75" customHeight="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</row>
    <row r="482" ht="15.75" customHeight="1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</row>
    <row r="483" ht="15.75" customHeight="1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</row>
    <row r="484" ht="15.75" customHeight="1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</row>
    <row r="485" ht="15.75" customHeight="1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</row>
    <row r="486" ht="15.75" customHeight="1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</row>
    <row r="487" ht="15.75" customHeight="1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</row>
    <row r="488" ht="15.75" customHeight="1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</row>
    <row r="489" ht="15.75" customHeight="1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</row>
    <row r="490" ht="15.75" customHeight="1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</row>
    <row r="491" ht="15.75" customHeight="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</row>
    <row r="492" ht="15.75" customHeight="1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</row>
    <row r="493" ht="15.75" customHeight="1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</row>
    <row r="494" ht="15.75" customHeight="1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</row>
    <row r="495" ht="15.75" customHeight="1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</row>
    <row r="496" ht="15.75" customHeight="1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</row>
    <row r="497" ht="15.75" customHeight="1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</row>
    <row r="498" ht="15.75" customHeight="1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</row>
    <row r="499" ht="15.75" customHeight="1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</row>
    <row r="500" ht="15.75" customHeight="1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</row>
    <row r="501" ht="15.75" customHeight="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</row>
    <row r="502" ht="15.75" customHeight="1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</row>
    <row r="503" ht="15.75" customHeight="1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</row>
    <row r="504" ht="15.75" customHeight="1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</row>
    <row r="505" ht="15.75" customHeight="1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</row>
    <row r="506" ht="15.75" customHeight="1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</row>
    <row r="507" ht="15.75" customHeight="1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</row>
    <row r="508" ht="15.75" customHeight="1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</row>
    <row r="509" ht="15.75" customHeight="1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</row>
    <row r="510" ht="15.75" customHeight="1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</row>
    <row r="511" ht="15.75" customHeight="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</row>
    <row r="512" ht="15.75" customHeight="1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</row>
    <row r="513" ht="15.75" customHeight="1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</row>
    <row r="514" ht="15.75" customHeight="1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</row>
    <row r="515" ht="15.75" customHeight="1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</row>
    <row r="516" ht="15.75" customHeight="1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</row>
    <row r="517" ht="15.75" customHeight="1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</row>
    <row r="518" ht="15.75" customHeight="1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</row>
    <row r="519" ht="15.75" customHeight="1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</row>
    <row r="520" ht="15.75" customHeight="1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</row>
    <row r="521" ht="15.75" customHeight="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</row>
    <row r="522" ht="15.75" customHeight="1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</row>
    <row r="523" ht="15.75" customHeight="1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</row>
    <row r="524" ht="15.75" customHeight="1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</row>
    <row r="525" ht="15.75" customHeight="1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</row>
    <row r="526" ht="15.75" customHeight="1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</row>
    <row r="527" ht="15.75" customHeight="1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</row>
    <row r="528" ht="15.75" customHeight="1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</row>
    <row r="529" ht="15.75" customHeight="1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</row>
    <row r="530" ht="15.75" customHeight="1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</row>
    <row r="531" ht="15.75" customHeight="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</row>
    <row r="532" ht="15.75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</row>
    <row r="533" ht="15.75" customHeight="1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</row>
    <row r="534" ht="15.75" customHeight="1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</row>
    <row r="535" ht="15.75" customHeight="1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</row>
    <row r="536" ht="15.75" customHeight="1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</row>
    <row r="537" ht="15.75" customHeight="1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</row>
    <row r="538" ht="15.75" customHeight="1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</row>
    <row r="539" ht="15.75" customHeight="1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</row>
    <row r="540" ht="15.75" customHeight="1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</row>
    <row r="541" ht="15.75" customHeight="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</row>
    <row r="542" ht="15.75" customHeight="1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</row>
    <row r="543" ht="15.75" customHeight="1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</row>
    <row r="544" ht="15.75" customHeight="1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</row>
    <row r="545" ht="15.75" customHeight="1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</row>
    <row r="546" ht="15.75" customHeight="1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</row>
    <row r="547" ht="15.75" customHeight="1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</row>
    <row r="548" ht="15.75" customHeight="1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</row>
    <row r="549" ht="15.75" customHeight="1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</row>
    <row r="550" ht="15.75" customHeight="1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</row>
    <row r="551" ht="15.75" customHeight="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</row>
    <row r="552" ht="15.75" customHeight="1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</row>
    <row r="553" ht="15.75" customHeight="1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</row>
    <row r="554" ht="15.75" customHeight="1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</row>
    <row r="555" ht="15.75" customHeight="1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</row>
    <row r="556" ht="15.75" customHeight="1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</row>
    <row r="557" ht="15.75" customHeight="1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</row>
    <row r="558" ht="15.75" customHeight="1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</row>
    <row r="559" ht="15.75" customHeight="1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</row>
    <row r="560" ht="15.75" customHeight="1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</row>
    <row r="561" ht="15.75" customHeight="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</row>
    <row r="562" ht="15.75" customHeight="1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</row>
    <row r="563" ht="15.75" customHeight="1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</row>
    <row r="564" ht="15.75" customHeight="1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</row>
    <row r="565" ht="15.75" customHeight="1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</row>
    <row r="566" ht="15.75" customHeight="1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</row>
    <row r="567" ht="15.75" customHeight="1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</row>
    <row r="568" ht="15.75" customHeight="1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</row>
    <row r="569" ht="15.75" customHeight="1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</row>
    <row r="570" ht="15.75" customHeight="1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</row>
    <row r="571" ht="15.75" customHeight="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</row>
    <row r="572" ht="15.75" customHeight="1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</row>
    <row r="573" ht="15.75" customHeight="1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</row>
    <row r="574" ht="15.75" customHeight="1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</row>
    <row r="575" ht="15.75" customHeight="1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</row>
    <row r="576" ht="15.75" customHeight="1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</row>
    <row r="577" ht="15.75" customHeight="1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</row>
    <row r="578" ht="15.75" customHeight="1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</row>
    <row r="579" ht="15.75" customHeight="1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</row>
    <row r="580" ht="15.75" customHeight="1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</row>
    <row r="581" ht="15.75" customHeight="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</row>
    <row r="582" ht="15.75" customHeight="1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</row>
    <row r="583" ht="15.75" customHeight="1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</row>
    <row r="584" ht="15.75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</row>
    <row r="585" ht="15.75" customHeight="1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</row>
    <row r="586" ht="15.75" customHeight="1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</row>
    <row r="587" ht="15.75" customHeight="1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</row>
    <row r="588" ht="15.75" customHeight="1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</row>
    <row r="589" ht="15.75" customHeight="1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</row>
    <row r="590" ht="15.75" customHeight="1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</row>
    <row r="591" ht="15.75" customHeight="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</row>
    <row r="592" ht="15.75" customHeight="1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</row>
    <row r="593" ht="15.75" customHeight="1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</row>
    <row r="594" ht="15.75" customHeight="1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</row>
    <row r="595" ht="15.75" customHeight="1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</row>
    <row r="596" ht="15.75" customHeight="1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</row>
    <row r="597" ht="15.75" customHeight="1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</row>
    <row r="598" ht="15.75" customHeight="1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</row>
    <row r="599" ht="15.75" customHeight="1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</row>
    <row r="600" ht="15.75" customHeight="1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</row>
    <row r="601" ht="15.75" customHeight="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</row>
    <row r="602" ht="15.75" customHeight="1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</row>
    <row r="603" ht="15.75" customHeight="1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</row>
    <row r="604" ht="15.75" customHeight="1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</row>
    <row r="605" ht="15.75" customHeight="1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</row>
    <row r="606" ht="15.75" customHeight="1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</row>
    <row r="607" ht="15.75" customHeight="1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</row>
    <row r="608" ht="15.75" customHeight="1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</row>
    <row r="609" ht="15.75" customHeight="1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</row>
    <row r="610" ht="15.75" customHeight="1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</row>
    <row r="611" ht="15.75" customHeight="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</row>
    <row r="612" ht="15.75" customHeight="1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</row>
    <row r="613" ht="15.75" customHeight="1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</row>
    <row r="614" ht="15.75" customHeight="1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</row>
    <row r="615" ht="15.75" customHeight="1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</row>
    <row r="616" ht="15.75" customHeight="1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</row>
    <row r="617" ht="15.75" customHeight="1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</row>
    <row r="618" ht="15.75" customHeight="1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</row>
    <row r="619" ht="15.75" customHeight="1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</row>
    <row r="620" ht="15.75" customHeight="1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</row>
    <row r="621" ht="15.75" customHeight="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</row>
    <row r="622" ht="15.75" customHeight="1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</row>
    <row r="623" ht="15.75" customHeight="1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</row>
    <row r="624" ht="15.75" customHeight="1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</row>
    <row r="625" ht="15.75" customHeight="1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</row>
    <row r="626" ht="15.75" customHeight="1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</row>
    <row r="627" ht="15.75" customHeight="1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</row>
    <row r="628" ht="15.75" customHeight="1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</row>
    <row r="629" ht="15.75" customHeight="1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</row>
    <row r="630" ht="15.75" customHeight="1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</row>
    <row r="631" ht="15.75" customHeight="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</row>
    <row r="632" ht="15.75" customHeight="1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</row>
    <row r="633" ht="15.75" customHeight="1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</row>
    <row r="634" ht="15.75" customHeight="1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</row>
    <row r="635" ht="15.75" customHeight="1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</row>
    <row r="636" ht="15.75" customHeight="1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</row>
    <row r="637" ht="15.75" customHeight="1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</row>
    <row r="638" ht="15.75" customHeight="1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</row>
    <row r="639" ht="15.75" customHeight="1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</row>
    <row r="640" ht="15.75" customHeight="1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</row>
    <row r="641" ht="15.75" customHeight="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</row>
    <row r="642" ht="15.75" customHeight="1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</row>
    <row r="643" ht="15.75" customHeight="1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</row>
    <row r="644" ht="15.75" customHeight="1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</row>
    <row r="645" ht="15.75" customHeight="1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</row>
    <row r="646" ht="15.75" customHeight="1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</row>
    <row r="647" ht="15.75" customHeight="1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</row>
    <row r="648" ht="15.75" customHeight="1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</row>
    <row r="649" ht="15.75" customHeight="1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</row>
    <row r="650" ht="15.75" customHeight="1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</row>
    <row r="651" ht="15.75" customHeight="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</row>
    <row r="652" ht="15.75" customHeight="1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</row>
    <row r="653" ht="15.75" customHeight="1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</row>
    <row r="654" ht="15.75" customHeight="1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</row>
    <row r="655" ht="15.75" customHeight="1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</row>
    <row r="656" ht="15.75" customHeight="1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</row>
    <row r="657" ht="15.75" customHeight="1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</row>
    <row r="658" ht="15.75" customHeight="1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</row>
    <row r="659" ht="15.75" customHeight="1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</row>
    <row r="660" ht="15.75" customHeight="1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</row>
    <row r="661" ht="15.75" customHeight="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</row>
    <row r="662" ht="15.75" customHeight="1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</row>
    <row r="663" ht="15.75" customHeight="1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</row>
    <row r="664" ht="15.75" customHeight="1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</row>
    <row r="665" ht="15.75" customHeight="1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</row>
    <row r="666" ht="15.75" customHeight="1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</row>
    <row r="667" ht="15.75" customHeight="1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</row>
    <row r="668" ht="15.75" customHeight="1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</row>
    <row r="669" ht="15.75" customHeight="1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</row>
    <row r="670" ht="15.75" customHeight="1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</row>
    <row r="671" ht="15.75" customHeight="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</row>
    <row r="672" ht="15.75" customHeight="1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</row>
    <row r="673" ht="15.75" customHeight="1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</row>
    <row r="674" ht="15.75" customHeight="1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</row>
    <row r="675" ht="15.75" customHeight="1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</row>
    <row r="676" ht="15.75" customHeight="1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</row>
    <row r="677" ht="15.75" customHeight="1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</row>
    <row r="678" ht="15.75" customHeight="1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</row>
    <row r="679" ht="15.75" customHeight="1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</row>
    <row r="680" ht="15.75" customHeight="1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</row>
    <row r="681" ht="15.75" customHeight="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</row>
    <row r="682" ht="15.75" customHeight="1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</row>
    <row r="683" ht="15.75" customHeight="1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</row>
    <row r="684" ht="15.75" customHeight="1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</row>
    <row r="685" ht="15.75" customHeight="1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</row>
    <row r="686" ht="15.75" customHeight="1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</row>
    <row r="687" ht="15.75" customHeight="1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</row>
    <row r="688" ht="15.75" customHeight="1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</row>
    <row r="689" ht="15.75" customHeight="1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</row>
    <row r="690" ht="15.75" customHeight="1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</row>
    <row r="691" ht="15.75" customHeight="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</row>
    <row r="692" ht="15.75" customHeight="1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</row>
    <row r="693" ht="15.75" customHeight="1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</row>
    <row r="694" ht="15.75" customHeight="1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</row>
    <row r="695" ht="15.75" customHeight="1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</row>
    <row r="696" ht="15.75" customHeight="1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</row>
    <row r="697" ht="15.75" customHeight="1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</row>
    <row r="698" ht="15.75" customHeight="1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</row>
    <row r="699" ht="15.75" customHeight="1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</row>
    <row r="700" ht="15.75" customHeight="1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</row>
    <row r="701" ht="15.75" customHeight="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</row>
    <row r="702" ht="15.75" customHeight="1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</row>
    <row r="703" ht="15.75" customHeight="1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</row>
    <row r="704" ht="15.75" customHeight="1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</row>
    <row r="705" ht="15.75" customHeight="1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</row>
    <row r="706" ht="15.75" customHeight="1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</row>
    <row r="707" ht="15.75" customHeight="1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</row>
    <row r="708" ht="15.75" customHeight="1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</row>
    <row r="709" ht="15.75" customHeight="1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</row>
    <row r="710" ht="15.75" customHeight="1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</row>
    <row r="711" ht="15.75" customHeight="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</row>
    <row r="712" ht="15.75" customHeight="1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</row>
    <row r="713" ht="15.75" customHeight="1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</row>
    <row r="714" ht="15.75" customHeight="1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</row>
    <row r="715" ht="15.75" customHeight="1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</row>
    <row r="716" ht="15.75" customHeight="1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</row>
    <row r="717" ht="15.75" customHeight="1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</row>
    <row r="718" ht="15.75" customHeight="1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</row>
    <row r="719" ht="15.75" customHeight="1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</row>
    <row r="720" ht="15.75" customHeight="1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</row>
    <row r="721" ht="15.75" customHeight="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</row>
    <row r="722" ht="15.75" customHeight="1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</row>
    <row r="723" ht="15.75" customHeight="1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</row>
    <row r="724" ht="15.75" customHeight="1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</row>
    <row r="725" ht="15.75" customHeight="1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</row>
    <row r="726" ht="15.75" customHeight="1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</row>
    <row r="727" ht="15.75" customHeight="1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</row>
    <row r="728" ht="15.75" customHeight="1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</row>
    <row r="729" ht="15.75" customHeight="1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</row>
    <row r="730" ht="15.75" customHeight="1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</row>
    <row r="731" ht="15.75" customHeight="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</row>
    <row r="732" ht="15.75" customHeight="1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</row>
    <row r="733" ht="15.75" customHeight="1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</row>
    <row r="734" ht="15.75" customHeight="1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</row>
    <row r="735" ht="15.75" customHeight="1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</row>
    <row r="736" ht="15.75" customHeight="1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</row>
    <row r="737" ht="15.75" customHeight="1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</row>
    <row r="738" ht="15.75" customHeight="1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</row>
    <row r="739" ht="15.75" customHeight="1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</row>
    <row r="740" ht="15.75" customHeight="1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</row>
    <row r="741" ht="15.75" customHeight="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</row>
    <row r="742" ht="15.75" customHeight="1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</row>
    <row r="743" ht="15.75" customHeight="1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</row>
    <row r="744" ht="15.75" customHeight="1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</row>
    <row r="745" ht="15.75" customHeight="1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</row>
    <row r="746" ht="15.75" customHeight="1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</row>
    <row r="747" ht="15.75" customHeight="1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</row>
    <row r="748" ht="15.75" customHeight="1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</row>
    <row r="749" ht="15.75" customHeight="1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</row>
    <row r="750" ht="15.75" customHeight="1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</row>
    <row r="751" ht="15.75" customHeight="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</row>
    <row r="752" ht="15.75" customHeight="1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</row>
    <row r="753" ht="15.75" customHeight="1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</row>
    <row r="754" ht="15.75" customHeight="1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</row>
    <row r="755" ht="15.75" customHeight="1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</row>
    <row r="756" ht="15.75" customHeight="1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</row>
    <row r="757" ht="15.75" customHeight="1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</row>
    <row r="758" ht="15.75" customHeight="1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</row>
    <row r="759" ht="15.75" customHeight="1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</row>
    <row r="760" ht="15.75" customHeight="1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</row>
    <row r="761" ht="15.75" customHeight="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</row>
    <row r="762" ht="15.75" customHeight="1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</row>
    <row r="763" ht="15.75" customHeight="1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</row>
    <row r="764" ht="15.75" customHeight="1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</row>
    <row r="765" ht="15.75" customHeight="1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</row>
    <row r="766" ht="15.75" customHeight="1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</row>
    <row r="767" ht="15.75" customHeight="1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</row>
    <row r="768" ht="15.75" customHeight="1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</row>
    <row r="769" ht="15.75" customHeight="1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</row>
    <row r="770" ht="15.75" customHeight="1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</row>
    <row r="771" ht="15.75" customHeight="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</row>
    <row r="772" ht="15.75" customHeight="1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</row>
    <row r="773" ht="15.75" customHeight="1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</row>
    <row r="774" ht="15.75" customHeight="1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</row>
    <row r="775" ht="15.75" customHeight="1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</row>
    <row r="776" ht="15.75" customHeight="1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</row>
    <row r="777" ht="15.75" customHeight="1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</row>
    <row r="778" ht="15.75" customHeight="1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</row>
    <row r="779" ht="15.75" customHeight="1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</row>
    <row r="780" ht="15.75" customHeight="1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</row>
    <row r="781" ht="15.75" customHeight="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</row>
    <row r="782" ht="15.75" customHeight="1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</row>
    <row r="783" ht="15.75" customHeight="1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</row>
    <row r="784" ht="15.75" customHeight="1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</row>
    <row r="785" ht="15.75" customHeight="1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</row>
    <row r="786" ht="15.75" customHeight="1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</row>
    <row r="787" ht="15.75" customHeight="1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</row>
    <row r="788" ht="15.75" customHeight="1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</row>
    <row r="789" ht="15.75" customHeight="1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</row>
    <row r="790" ht="15.75" customHeight="1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</row>
    <row r="791" ht="15.75" customHeight="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</row>
    <row r="792" ht="15.75" customHeight="1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</row>
    <row r="793" ht="15.75" customHeight="1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</row>
    <row r="794" ht="15.75" customHeight="1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</row>
    <row r="795" ht="15.75" customHeight="1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</row>
    <row r="796" ht="15.75" customHeight="1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</row>
    <row r="797" ht="15.75" customHeight="1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</row>
    <row r="798" ht="15.75" customHeight="1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</row>
    <row r="799" ht="15.75" customHeight="1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</row>
    <row r="800" ht="15.75" customHeight="1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</row>
    <row r="801" ht="15.75" customHeight="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</row>
    <row r="802" ht="15.75" customHeight="1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</row>
    <row r="803" ht="15.75" customHeight="1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</row>
    <row r="804" ht="15.75" customHeight="1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</row>
    <row r="805" ht="15.75" customHeight="1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</row>
    <row r="806" ht="15.75" customHeight="1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</row>
    <row r="807" ht="15.75" customHeight="1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</row>
    <row r="808" ht="15.75" customHeight="1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</row>
    <row r="809" ht="15.75" customHeight="1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</row>
    <row r="810" ht="15.75" customHeight="1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</row>
    <row r="811" ht="15.75" customHeight="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</row>
    <row r="812" ht="15.75" customHeight="1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</row>
    <row r="813" ht="15.75" customHeight="1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</row>
    <row r="814" ht="15.75" customHeight="1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</row>
    <row r="815" ht="15.75" customHeight="1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</row>
    <row r="816" ht="15.75" customHeight="1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</row>
    <row r="817" ht="15.75" customHeight="1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</row>
    <row r="818" ht="15.75" customHeight="1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</row>
    <row r="819" ht="15.75" customHeight="1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</row>
    <row r="820" ht="15.75" customHeight="1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</row>
    <row r="821" ht="15.75" customHeight="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</row>
    <row r="822" ht="15.75" customHeight="1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</row>
    <row r="823" ht="15.75" customHeight="1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</row>
    <row r="824" ht="15.75" customHeight="1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</row>
    <row r="825" ht="15.75" customHeight="1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</row>
    <row r="826" ht="15.75" customHeight="1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</row>
    <row r="827" ht="15.75" customHeight="1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</row>
    <row r="828" ht="15.75" customHeight="1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</row>
    <row r="829" ht="15.75" customHeight="1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</row>
    <row r="830" ht="15.75" customHeight="1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</row>
    <row r="831" ht="15.75" customHeight="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</row>
    <row r="832" ht="15.75" customHeight="1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</row>
    <row r="833" ht="15.75" customHeight="1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</row>
    <row r="834" ht="15.75" customHeight="1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</row>
    <row r="835" ht="15.75" customHeight="1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</row>
    <row r="836" ht="15.75" customHeight="1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</row>
    <row r="837" ht="15.75" customHeight="1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</row>
    <row r="838" ht="15.75" customHeight="1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</row>
    <row r="839" ht="15.75" customHeight="1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</row>
    <row r="840" ht="15.75" customHeight="1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</row>
    <row r="841" ht="15.75" customHeight="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</row>
    <row r="842" ht="15.75" customHeight="1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</row>
    <row r="843" ht="15.75" customHeight="1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</row>
    <row r="844" ht="15.75" customHeight="1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</row>
    <row r="845" ht="15.75" customHeight="1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</row>
    <row r="846" ht="15.75" customHeight="1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</row>
    <row r="847" ht="15.75" customHeight="1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</row>
    <row r="848" ht="15.75" customHeight="1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</row>
    <row r="849" ht="15.75" customHeight="1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</row>
    <row r="850" ht="15.75" customHeight="1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</row>
    <row r="851" ht="15.75" customHeight="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</row>
    <row r="852" ht="15.75" customHeight="1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</row>
    <row r="853" ht="15.75" customHeight="1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</row>
    <row r="854" ht="15.75" customHeight="1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</row>
    <row r="855" ht="15.75" customHeight="1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</row>
    <row r="856" ht="15.75" customHeight="1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</row>
    <row r="857" ht="15.75" customHeight="1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</row>
    <row r="858" ht="15.75" customHeight="1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</row>
    <row r="859" ht="15.75" customHeight="1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</row>
    <row r="860" ht="15.75" customHeight="1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</row>
    <row r="861" ht="15.75" customHeight="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</row>
    <row r="862" ht="15.75" customHeight="1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</row>
    <row r="863" ht="15.75" customHeight="1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</row>
    <row r="864" ht="15.75" customHeight="1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</row>
    <row r="865" ht="15.75" customHeight="1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</row>
    <row r="866" ht="15.75" customHeight="1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</row>
    <row r="867" ht="15.75" customHeight="1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</row>
    <row r="868" ht="15.75" customHeight="1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</row>
    <row r="869" ht="15.75" customHeight="1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</row>
    <row r="870" ht="15.75" customHeight="1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</row>
    <row r="871" ht="15.75" customHeight="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</row>
    <row r="872" ht="15.75" customHeight="1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</row>
    <row r="873" ht="15.75" customHeight="1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</row>
    <row r="874" ht="15.75" customHeight="1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</row>
    <row r="875" ht="15.75" customHeight="1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</row>
    <row r="876" ht="15.75" customHeight="1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</row>
    <row r="877" ht="15.75" customHeight="1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</row>
    <row r="878" ht="15.75" customHeight="1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</row>
    <row r="879" ht="15.75" customHeight="1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</row>
    <row r="880" ht="15.75" customHeight="1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</row>
    <row r="881" ht="15.75" customHeight="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</row>
    <row r="882" ht="15.75" customHeight="1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</row>
    <row r="883" ht="15.75" customHeight="1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</row>
    <row r="884" ht="15.75" customHeight="1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</row>
    <row r="885" ht="15.75" customHeight="1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</row>
    <row r="886" ht="15.75" customHeight="1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</row>
    <row r="887" ht="15.75" customHeight="1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</row>
    <row r="888" ht="15.75" customHeight="1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</row>
    <row r="889" ht="15.75" customHeight="1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</row>
    <row r="890" ht="15.75" customHeight="1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</row>
    <row r="891" ht="15.75" customHeight="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</row>
    <row r="892" ht="15.75" customHeight="1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</row>
    <row r="893" ht="15.75" customHeight="1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</row>
    <row r="894" ht="15.75" customHeight="1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</row>
    <row r="895" ht="15.75" customHeight="1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</row>
    <row r="896" ht="15.75" customHeight="1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</row>
    <row r="897" ht="15.75" customHeight="1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</row>
    <row r="898" ht="15.75" customHeight="1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</row>
    <row r="899" ht="15.75" customHeight="1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</row>
    <row r="900" ht="15.75" customHeight="1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</row>
    <row r="901" ht="15.75" customHeight="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</row>
    <row r="902" ht="15.75" customHeight="1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</row>
    <row r="903" ht="15.75" customHeight="1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</row>
    <row r="904" ht="15.75" customHeight="1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</row>
    <row r="905" ht="15.75" customHeight="1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</row>
    <row r="906" ht="15.75" customHeight="1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</row>
    <row r="907" ht="15.75" customHeight="1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</row>
    <row r="908" ht="15.75" customHeight="1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</row>
    <row r="909" ht="15.75" customHeight="1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</row>
    <row r="910" ht="15.75" customHeight="1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</row>
    <row r="911" ht="15.75" customHeight="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</row>
    <row r="912" ht="15.75" customHeight="1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</row>
    <row r="913" ht="15.75" customHeight="1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</row>
    <row r="914" ht="15.75" customHeight="1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</row>
    <row r="915" ht="15.75" customHeight="1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</row>
    <row r="916" ht="15.75" customHeight="1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</row>
    <row r="917" ht="15.75" customHeight="1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</row>
    <row r="918" ht="15.75" customHeight="1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</row>
    <row r="919" ht="15.75" customHeight="1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</row>
    <row r="920" ht="15.75" customHeight="1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</row>
    <row r="921" ht="15.75" customHeight="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</row>
    <row r="922" ht="15.75" customHeight="1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</row>
    <row r="923" ht="15.75" customHeight="1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</row>
    <row r="924" ht="15.75" customHeight="1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</row>
    <row r="925" ht="15.75" customHeight="1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</row>
    <row r="926" ht="15.75" customHeight="1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</row>
    <row r="927" ht="15.75" customHeight="1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</row>
    <row r="928" ht="15.75" customHeight="1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</row>
    <row r="929" ht="15.75" customHeight="1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</row>
    <row r="930" ht="15.75" customHeight="1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</row>
    <row r="931" ht="15.75" customHeight="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</row>
    <row r="932" ht="15.75" customHeight="1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</row>
    <row r="933" ht="15.75" customHeight="1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</row>
    <row r="934" ht="15.75" customHeight="1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</row>
    <row r="935" ht="15.75" customHeight="1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</row>
    <row r="936" ht="15.75" customHeight="1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</row>
    <row r="937" ht="15.75" customHeight="1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</row>
    <row r="938" ht="15.75" customHeight="1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</row>
    <row r="939" ht="15.75" customHeight="1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</row>
    <row r="940" ht="15.75" customHeight="1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</row>
    <row r="941" ht="15.75" customHeight="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</row>
    <row r="942" ht="15.75" customHeight="1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</row>
    <row r="943" ht="15.75" customHeight="1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</row>
    <row r="944" ht="15.75" customHeight="1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</row>
    <row r="945" ht="15.75" customHeight="1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</row>
    <row r="946" ht="15.75" customHeight="1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</row>
    <row r="947" ht="15.75" customHeight="1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</row>
    <row r="948" ht="15.75" customHeight="1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</row>
    <row r="949" ht="15.75" customHeight="1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</row>
    <row r="950" ht="15.75" customHeight="1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</row>
    <row r="951" ht="15.75" customHeight="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</row>
    <row r="952" ht="15.75" customHeight="1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</row>
    <row r="953" ht="15.75" customHeight="1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</row>
    <row r="954" ht="15.75" customHeight="1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</row>
    <row r="955" ht="15.75" customHeight="1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</row>
    <row r="956" ht="15.75" customHeight="1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</row>
    <row r="957" ht="15.75" customHeight="1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</row>
    <row r="958" ht="15.75" customHeight="1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</row>
    <row r="959" ht="15.75" customHeight="1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</row>
    <row r="960" ht="15.75" customHeight="1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</row>
    <row r="961" ht="15.75" customHeight="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</row>
    <row r="962" ht="15.75" customHeight="1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</row>
    <row r="963" ht="15.75" customHeight="1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</row>
    <row r="964" ht="15.75" customHeight="1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</row>
    <row r="965" ht="15.75" customHeight="1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</row>
    <row r="966" ht="15.75" customHeight="1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</row>
    <row r="967" ht="15.75" customHeight="1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</row>
    <row r="968" ht="15.75" customHeight="1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</row>
    <row r="969" ht="15.75" customHeight="1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</row>
    <row r="970" ht="15.75" customHeight="1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</row>
    <row r="971" ht="15.75" customHeight="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</row>
    <row r="972" ht="15.75" customHeight="1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</row>
    <row r="973" ht="15.75" customHeight="1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</row>
    <row r="974" ht="15.75" customHeight="1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</row>
    <row r="975" ht="15.75" customHeight="1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</row>
    <row r="976" ht="15.75" customHeight="1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</row>
    <row r="977" ht="15.75" customHeight="1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</row>
    <row r="978" ht="15.75" customHeight="1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8"/>
      <c r="Y978" s="158"/>
      <c r="Z978" s="158"/>
    </row>
    <row r="979" ht="15.75" customHeight="1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  <c r="X979" s="158"/>
      <c r="Y979" s="158"/>
      <c r="Z979" s="158"/>
    </row>
    <row r="980" ht="15.75" customHeight="1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  <c r="X980" s="158"/>
      <c r="Y980" s="158"/>
      <c r="Z980" s="158"/>
    </row>
    <row r="981" ht="15.75" customHeight="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  <c r="X981" s="158"/>
      <c r="Y981" s="158"/>
      <c r="Z981" s="158"/>
    </row>
    <row r="982" ht="15.75" customHeight="1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  <c r="X982" s="158"/>
      <c r="Y982" s="158"/>
      <c r="Z982" s="158"/>
    </row>
    <row r="983" ht="15.75" customHeight="1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  <c r="X983" s="158"/>
      <c r="Y983" s="158"/>
      <c r="Z983" s="158"/>
    </row>
    <row r="984" ht="15.75" customHeight="1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  <c r="X984" s="158"/>
      <c r="Y984" s="158"/>
      <c r="Z984" s="158"/>
    </row>
    <row r="985" ht="15.75" customHeight="1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  <c r="X985" s="158"/>
      <c r="Y985" s="158"/>
      <c r="Z985" s="158"/>
    </row>
    <row r="986" ht="15.75" customHeight="1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  <c r="X986" s="158"/>
      <c r="Y986" s="158"/>
      <c r="Z986" s="158"/>
    </row>
    <row r="987" ht="15.75" customHeight="1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  <c r="X987" s="158"/>
      <c r="Y987" s="158"/>
      <c r="Z987" s="158"/>
    </row>
    <row r="988" ht="15.75" customHeight="1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  <c r="X988" s="158"/>
      <c r="Y988" s="158"/>
      <c r="Z988" s="158"/>
    </row>
    <row r="989" ht="15.75" customHeight="1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  <c r="X989" s="158"/>
      <c r="Y989" s="158"/>
      <c r="Z989" s="158"/>
    </row>
    <row r="990" ht="15.75" customHeight="1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  <c r="X990" s="158"/>
      <c r="Y990" s="158"/>
      <c r="Z990" s="158"/>
    </row>
    <row r="991" ht="15.75" customHeight="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  <c r="X991" s="158"/>
      <c r="Y991" s="158"/>
      <c r="Z991" s="158"/>
    </row>
    <row r="992" ht="15.75" customHeight="1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  <c r="X992" s="158"/>
      <c r="Y992" s="158"/>
      <c r="Z992" s="158"/>
    </row>
    <row r="993" ht="15.75" customHeight="1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  <c r="X993" s="158"/>
      <c r="Y993" s="158"/>
      <c r="Z993" s="158"/>
    </row>
    <row r="994" ht="15.75" customHeight="1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  <c r="X994" s="158"/>
      <c r="Y994" s="158"/>
      <c r="Z994" s="158"/>
    </row>
  </sheetData>
  <mergeCells count="10">
    <mergeCell ref="B9:L9"/>
    <mergeCell ref="A11:L11"/>
    <mergeCell ref="A24:D24"/>
    <mergeCell ref="A1:L1"/>
    <mergeCell ref="A3:L3"/>
    <mergeCell ref="A4:L4"/>
    <mergeCell ref="A5:L5"/>
    <mergeCell ref="B6:L6"/>
    <mergeCell ref="B7:L7"/>
    <mergeCell ref="B8:L8"/>
  </mergeCells>
  <dataValidations>
    <dataValidation type="list" allowBlank="1" showErrorMessage="1" sqref="F13:F22">
      <formula1>"🔴 Критический,Средний,Высокий"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66.29"/>
    <col customWidth="1" min="3" max="3" width="30.57"/>
    <col customWidth="1" min="4" max="4" width="28.0"/>
    <col customWidth="1" min="5" max="5" width="22.43"/>
    <col customWidth="1" min="6" max="6" width="33.86"/>
  </cols>
  <sheetData>
    <row r="1">
      <c r="A1" s="58"/>
      <c r="B1" s="58"/>
      <c r="C1" s="58"/>
      <c r="D1" s="58"/>
      <c r="E1" s="58"/>
      <c r="F1" s="58"/>
    </row>
    <row r="2">
      <c r="A2" s="104" t="s">
        <v>296</v>
      </c>
      <c r="B2" s="69"/>
      <c r="C2" s="70" t="s">
        <v>221</v>
      </c>
      <c r="D2" s="71" t="s">
        <v>222</v>
      </c>
      <c r="E2" s="71" t="s">
        <v>223</v>
      </c>
      <c r="F2" s="72" t="s">
        <v>23</v>
      </c>
    </row>
    <row r="3">
      <c r="A3" s="73">
        <v>1.0</v>
      </c>
      <c r="B3" s="74" t="s">
        <v>297</v>
      </c>
      <c r="C3" s="105" t="s">
        <v>611</v>
      </c>
      <c r="D3" s="106"/>
      <c r="E3" s="99" t="s">
        <v>29</v>
      </c>
      <c r="F3" s="78" t="s">
        <v>298</v>
      </c>
    </row>
    <row r="4">
      <c r="A4" s="73">
        <v>2.0</v>
      </c>
      <c r="B4" s="74" t="s">
        <v>299</v>
      </c>
      <c r="C4" s="116" t="s">
        <v>612</v>
      </c>
      <c r="D4" s="108"/>
      <c r="E4" s="99" t="s">
        <v>29</v>
      </c>
      <c r="F4" s="78" t="s">
        <v>298</v>
      </c>
    </row>
    <row r="5">
      <c r="A5" s="73">
        <v>3.0</v>
      </c>
      <c r="B5" s="96" t="s">
        <v>300</v>
      </c>
      <c r="C5" s="107"/>
      <c r="D5" s="108"/>
      <c r="E5" s="99" t="s">
        <v>29</v>
      </c>
      <c r="F5" s="78" t="s">
        <v>298</v>
      </c>
    </row>
    <row r="6">
      <c r="A6" s="82">
        <v>4.0</v>
      </c>
      <c r="B6" s="94" t="s">
        <v>301</v>
      </c>
      <c r="C6" s="109" t="s">
        <v>613</v>
      </c>
      <c r="D6" s="110" t="s">
        <v>302</v>
      </c>
      <c r="E6" s="102" t="s">
        <v>29</v>
      </c>
      <c r="F6" s="87" t="s">
        <v>298</v>
      </c>
    </row>
    <row r="10">
      <c r="A10" s="185" t="s">
        <v>523</v>
      </c>
      <c r="B10" s="185" t="s">
        <v>614</v>
      </c>
      <c r="C10" s="185" t="s">
        <v>525</v>
      </c>
      <c r="D10" s="185" t="s">
        <v>615</v>
      </c>
      <c r="E10" s="185" t="s">
        <v>383</v>
      </c>
      <c r="F10" s="185" t="s">
        <v>616</v>
      </c>
      <c r="G10" s="185" t="s">
        <v>527</v>
      </c>
    </row>
    <row r="11">
      <c r="B11" s="186" t="s">
        <v>617</v>
      </c>
      <c r="C11" s="169" t="s">
        <v>618</v>
      </c>
      <c r="D11" s="169" t="s">
        <v>619</v>
      </c>
      <c r="E11" s="186" t="s">
        <v>620</v>
      </c>
      <c r="F11" s="186" t="s">
        <v>621</v>
      </c>
    </row>
    <row r="12">
      <c r="B12" s="186" t="s">
        <v>622</v>
      </c>
      <c r="C12" s="186" t="s">
        <v>623</v>
      </c>
      <c r="D12" s="186" t="s">
        <v>624</v>
      </c>
      <c r="E12" s="186" t="s">
        <v>625</v>
      </c>
      <c r="F12" s="186" t="s">
        <v>626</v>
      </c>
    </row>
  </sheetData>
  <mergeCells count="1">
    <mergeCell ref="A2:B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5.29"/>
    <col customWidth="1" min="3" max="3" width="59.0"/>
    <col customWidth="1" min="4" max="4" width="19.57"/>
    <col customWidth="1" min="5" max="5" width="32.29"/>
  </cols>
  <sheetData>
    <row r="3">
      <c r="A3" s="185" t="s">
        <v>627</v>
      </c>
      <c r="C3" s="185" t="s">
        <v>614</v>
      </c>
      <c r="E3" s="185" t="s">
        <v>525</v>
      </c>
      <c r="F3" s="185" t="s">
        <v>527</v>
      </c>
      <c r="G3" s="185" t="s">
        <v>384</v>
      </c>
    </row>
    <row r="4">
      <c r="A4" s="74" t="s">
        <v>351</v>
      </c>
      <c r="C4" s="169" t="s">
        <v>628</v>
      </c>
      <c r="D4" s="169"/>
      <c r="E4" s="169" t="s">
        <v>629</v>
      </c>
      <c r="F4" s="169" t="s">
        <v>630</v>
      </c>
    </row>
    <row r="5">
      <c r="A5" s="74" t="s">
        <v>353</v>
      </c>
      <c r="E5" s="186" t="s">
        <v>631</v>
      </c>
    </row>
    <row r="6">
      <c r="A6" s="74" t="s">
        <v>354</v>
      </c>
      <c r="E6" s="169" t="s">
        <v>632</v>
      </c>
      <c r="G6" s="186" t="s">
        <v>633</v>
      </c>
    </row>
    <row r="7">
      <c r="A7" s="74" t="s">
        <v>355</v>
      </c>
      <c r="G7" s="186" t="s">
        <v>634</v>
      </c>
    </row>
    <row r="8">
      <c r="A8" s="187" t="s">
        <v>356</v>
      </c>
      <c r="G8" s="186" t="s">
        <v>634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8.43"/>
    <col customWidth="1" min="3" max="3" width="30.43"/>
    <col customWidth="1" min="4" max="4" width="36.57"/>
    <col customWidth="1" min="5" max="5" width="33.0"/>
    <col customWidth="1" min="6" max="6" width="57.0"/>
  </cols>
  <sheetData>
    <row r="1">
      <c r="A1" s="119" t="s">
        <v>337</v>
      </c>
      <c r="C1" s="70" t="s">
        <v>221</v>
      </c>
      <c r="D1" s="71" t="s">
        <v>222</v>
      </c>
      <c r="E1" s="71" t="s">
        <v>223</v>
      </c>
      <c r="F1" s="72" t="s">
        <v>23</v>
      </c>
    </row>
    <row r="2">
      <c r="A2" s="77">
        <v>1.0</v>
      </c>
      <c r="B2" s="74" t="s">
        <v>338</v>
      </c>
      <c r="C2" s="79"/>
      <c r="D2" s="77"/>
      <c r="E2" s="77" t="s">
        <v>131</v>
      </c>
      <c r="F2" s="80" t="s">
        <v>339</v>
      </c>
    </row>
    <row r="3">
      <c r="A3" s="77">
        <v>2.0</v>
      </c>
      <c r="B3" s="113" t="s">
        <v>340</v>
      </c>
      <c r="C3" s="79" t="s">
        <v>341</v>
      </c>
      <c r="D3" s="93"/>
      <c r="E3" s="77" t="s">
        <v>342</v>
      </c>
      <c r="F3" s="80" t="s">
        <v>339</v>
      </c>
    </row>
    <row r="4">
      <c r="A4" s="77">
        <v>3.0</v>
      </c>
      <c r="B4" s="96" t="s">
        <v>343</v>
      </c>
      <c r="C4" s="79" t="s">
        <v>344</v>
      </c>
      <c r="D4" s="77" t="s">
        <v>345</v>
      </c>
      <c r="E4" s="93"/>
      <c r="F4" s="80" t="s">
        <v>339</v>
      </c>
    </row>
    <row r="5">
      <c r="A5" s="77">
        <v>4.0</v>
      </c>
      <c r="B5" s="113" t="s">
        <v>346</v>
      </c>
      <c r="C5" s="120">
        <v>0.66</v>
      </c>
      <c r="D5" s="92">
        <v>0.8</v>
      </c>
      <c r="E5" s="77" t="s">
        <v>225</v>
      </c>
      <c r="F5" s="80" t="s">
        <v>339</v>
      </c>
    </row>
    <row r="6">
      <c r="A6" s="77">
        <v>5.0</v>
      </c>
      <c r="B6" s="96" t="s">
        <v>347</v>
      </c>
      <c r="C6" s="79"/>
      <c r="D6" s="93"/>
      <c r="E6" s="93"/>
      <c r="F6" s="80" t="s">
        <v>339</v>
      </c>
    </row>
    <row r="7">
      <c r="A7" s="77">
        <v>6.0</v>
      </c>
      <c r="B7" s="96" t="s">
        <v>348</v>
      </c>
      <c r="C7" s="79"/>
      <c r="D7" s="93"/>
      <c r="E7" s="93"/>
      <c r="F7" s="80" t="s">
        <v>339</v>
      </c>
    </row>
    <row r="8">
      <c r="A8" s="79">
        <v>7.0</v>
      </c>
      <c r="B8" s="113" t="s">
        <v>349</v>
      </c>
      <c r="C8" s="79"/>
      <c r="D8" s="79"/>
      <c r="E8" s="79"/>
      <c r="F8" s="79"/>
    </row>
    <row r="12">
      <c r="A12" s="166" t="s">
        <v>523</v>
      </c>
      <c r="B12" s="166" t="s">
        <v>524</v>
      </c>
      <c r="C12" s="166" t="s">
        <v>525</v>
      </c>
      <c r="D12" s="166" t="s">
        <v>383</v>
      </c>
      <c r="E12" s="166" t="s">
        <v>526</v>
      </c>
      <c r="F12" s="166" t="s">
        <v>527</v>
      </c>
    </row>
    <row r="13">
      <c r="A13" s="186" t="s">
        <v>499</v>
      </c>
      <c r="B13" s="186" t="s">
        <v>635</v>
      </c>
      <c r="C13" s="169" t="s">
        <v>636</v>
      </c>
      <c r="D13" s="186" t="s">
        <v>637</v>
      </c>
      <c r="F13" s="186" t="s">
        <v>638</v>
      </c>
    </row>
    <row r="14">
      <c r="A14" s="186" t="s">
        <v>639</v>
      </c>
      <c r="B14" s="186" t="s">
        <v>640</v>
      </c>
      <c r="D14" s="186" t="s">
        <v>56</v>
      </c>
    </row>
    <row r="15">
      <c r="A15" s="186" t="s">
        <v>499</v>
      </c>
      <c r="B15" s="186" t="s">
        <v>641</v>
      </c>
      <c r="C15" s="186" t="s">
        <v>642</v>
      </c>
      <c r="D15" s="186" t="s">
        <v>643</v>
      </c>
    </row>
    <row r="16">
      <c r="A16" s="186" t="s">
        <v>644</v>
      </c>
      <c r="B16" s="186" t="s">
        <v>645</v>
      </c>
      <c r="C16" s="169" t="s">
        <v>646</v>
      </c>
    </row>
    <row r="17">
      <c r="B17" s="186" t="s">
        <v>647</v>
      </c>
    </row>
    <row r="18">
      <c r="B18" s="186" t="s">
        <v>648</v>
      </c>
    </row>
  </sheetData>
  <mergeCells count="1">
    <mergeCell ref="A1:B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29.57"/>
    <col customWidth="1" min="3" max="3" width="59.29"/>
    <col customWidth="1" min="4" max="4" width="22.29"/>
    <col customWidth="1" min="5" max="6" width="31.57"/>
    <col customWidth="1" hidden="1" min="7" max="7" width="23.14"/>
    <col customWidth="1" min="8" max="8" width="13.29"/>
    <col customWidth="1" min="9" max="9" width="18.43"/>
  </cols>
  <sheetData>
    <row r="1" ht="22.5" customHeight="1">
      <c r="A1" s="188" t="s">
        <v>32</v>
      </c>
      <c r="B1" s="189" t="s">
        <v>649</v>
      </c>
      <c r="C1" s="190" t="s">
        <v>650</v>
      </c>
      <c r="D1" s="191" t="s">
        <v>651</v>
      </c>
      <c r="E1" s="189" t="s">
        <v>652</v>
      </c>
      <c r="F1" s="192" t="s">
        <v>653</v>
      </c>
      <c r="G1" s="192" t="s">
        <v>654</v>
      </c>
      <c r="H1" s="192" t="s">
        <v>22</v>
      </c>
      <c r="I1" s="192" t="s">
        <v>23</v>
      </c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22.5" customHeight="1">
      <c r="A2" s="193" t="s">
        <v>390</v>
      </c>
      <c r="B2" s="193" t="s">
        <v>444</v>
      </c>
      <c r="C2" s="194" t="s">
        <v>655</v>
      </c>
      <c r="D2" s="193" t="s">
        <v>445</v>
      </c>
      <c r="E2" s="195" t="s">
        <v>168</v>
      </c>
      <c r="F2" s="196" t="s">
        <v>656</v>
      </c>
      <c r="G2" s="196" t="s">
        <v>657</v>
      </c>
      <c r="H2" s="196" t="s">
        <v>446</v>
      </c>
      <c r="I2" s="196" t="s">
        <v>66</v>
      </c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ht="22.5" customHeight="1">
      <c r="A3" s="197" t="s">
        <v>450</v>
      </c>
      <c r="B3" s="197" t="s">
        <v>587</v>
      </c>
      <c r="C3" s="194" t="s">
        <v>658</v>
      </c>
      <c r="D3" s="197" t="s">
        <v>588</v>
      </c>
      <c r="E3" s="198" t="s">
        <v>168</v>
      </c>
      <c r="F3" s="196" t="s">
        <v>659</v>
      </c>
      <c r="G3" s="196" t="s">
        <v>660</v>
      </c>
      <c r="H3" s="196" t="s">
        <v>396</v>
      </c>
      <c r="I3" s="196" t="s">
        <v>141</v>
      </c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ht="22.5" customHeight="1">
      <c r="A4" s="193" t="s">
        <v>513</v>
      </c>
      <c r="B4" s="193" t="s">
        <v>512</v>
      </c>
      <c r="C4" s="194" t="s">
        <v>661</v>
      </c>
      <c r="D4" s="193" t="s">
        <v>514</v>
      </c>
      <c r="E4" s="195" t="s">
        <v>165</v>
      </c>
      <c r="F4" s="196" t="s">
        <v>662</v>
      </c>
      <c r="G4" s="196" t="s">
        <v>663</v>
      </c>
      <c r="H4" s="196" t="s">
        <v>589</v>
      </c>
      <c r="I4" s="196" t="s">
        <v>141</v>
      </c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>
      <c r="A5" s="197" t="s">
        <v>454</v>
      </c>
      <c r="B5" s="197" t="s">
        <v>476</v>
      </c>
      <c r="C5" s="194" t="s">
        <v>664</v>
      </c>
      <c r="D5" s="197" t="s">
        <v>477</v>
      </c>
      <c r="E5" s="198" t="s">
        <v>178</v>
      </c>
      <c r="F5" s="196" t="s">
        <v>665</v>
      </c>
      <c r="G5" s="196" t="s">
        <v>666</v>
      </c>
      <c r="H5" s="196" t="s">
        <v>396</v>
      </c>
      <c r="I5" s="196" t="s">
        <v>82</v>
      </c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ht="22.5" customHeight="1">
      <c r="A6" s="193" t="s">
        <v>390</v>
      </c>
      <c r="B6" s="193" t="s">
        <v>447</v>
      </c>
      <c r="C6" s="194" t="s">
        <v>667</v>
      </c>
      <c r="D6" s="193" t="s">
        <v>448</v>
      </c>
      <c r="E6" s="195" t="s">
        <v>165</v>
      </c>
      <c r="F6" s="196" t="s">
        <v>668</v>
      </c>
      <c r="G6" s="196" t="s">
        <v>669</v>
      </c>
      <c r="H6" s="196" t="s">
        <v>396</v>
      </c>
      <c r="I6" s="196" t="s">
        <v>66</v>
      </c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ht="22.5" customHeight="1">
      <c r="A7" s="197" t="s">
        <v>390</v>
      </c>
      <c r="B7" s="197" t="s">
        <v>670</v>
      </c>
      <c r="C7" s="194" t="s">
        <v>671</v>
      </c>
      <c r="D7" s="197" t="s">
        <v>121</v>
      </c>
      <c r="E7" s="198" t="s">
        <v>165</v>
      </c>
      <c r="F7" s="196" t="s">
        <v>672</v>
      </c>
      <c r="G7" s="196" t="s">
        <v>673</v>
      </c>
      <c r="H7" s="196" t="s">
        <v>396</v>
      </c>
      <c r="I7" s="196" t="s">
        <v>66</v>
      </c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ht="22.5" customHeight="1">
      <c r="A8" s="193" t="s">
        <v>450</v>
      </c>
      <c r="B8" s="193" t="s">
        <v>590</v>
      </c>
      <c r="C8" s="194" t="s">
        <v>674</v>
      </c>
      <c r="D8" s="193" t="s">
        <v>588</v>
      </c>
      <c r="E8" s="195" t="s">
        <v>186</v>
      </c>
      <c r="F8" s="196" t="s">
        <v>675</v>
      </c>
      <c r="G8" s="196" t="s">
        <v>676</v>
      </c>
      <c r="H8" s="196" t="s">
        <v>404</v>
      </c>
      <c r="I8" s="196" t="s">
        <v>141</v>
      </c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ht="22.5" customHeight="1">
      <c r="A9" s="197" t="s">
        <v>450</v>
      </c>
      <c r="B9" s="197" t="s">
        <v>677</v>
      </c>
      <c r="C9" s="194" t="s">
        <v>678</v>
      </c>
      <c r="D9" s="197" t="s">
        <v>65</v>
      </c>
      <c r="E9" s="198" t="s">
        <v>168</v>
      </c>
      <c r="F9" s="196" t="s">
        <v>679</v>
      </c>
      <c r="G9" s="196" t="s">
        <v>680</v>
      </c>
      <c r="H9" s="196" t="s">
        <v>396</v>
      </c>
      <c r="I9" s="196" t="s">
        <v>66</v>
      </c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ht="22.5" customHeight="1">
      <c r="A10" s="193" t="s">
        <v>390</v>
      </c>
      <c r="B10" s="193" t="s">
        <v>681</v>
      </c>
      <c r="C10" s="194" t="s">
        <v>682</v>
      </c>
      <c r="D10" s="193" t="s">
        <v>121</v>
      </c>
      <c r="E10" s="195" t="s">
        <v>184</v>
      </c>
      <c r="F10" s="196" t="s">
        <v>683</v>
      </c>
      <c r="G10" s="196" t="s">
        <v>684</v>
      </c>
      <c r="H10" s="196" t="s">
        <v>685</v>
      </c>
      <c r="I10" s="196" t="s">
        <v>66</v>
      </c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ht="22.5" customHeight="1">
      <c r="A11" s="197" t="s">
        <v>399</v>
      </c>
      <c r="B11" s="197" t="s">
        <v>555</v>
      </c>
      <c r="C11" s="194" t="s">
        <v>686</v>
      </c>
      <c r="D11" s="197" t="s">
        <v>556</v>
      </c>
      <c r="E11" s="198" t="s">
        <v>176</v>
      </c>
      <c r="F11" s="196" t="s">
        <v>687</v>
      </c>
      <c r="G11" s="196" t="s">
        <v>688</v>
      </c>
      <c r="H11" s="196" t="s">
        <v>396</v>
      </c>
      <c r="I11" s="196" t="s">
        <v>689</v>
      </c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ht="22.5" customHeight="1">
      <c r="A12" s="193" t="s">
        <v>390</v>
      </c>
      <c r="B12" s="193" t="s">
        <v>389</v>
      </c>
      <c r="C12" s="194" t="s">
        <v>690</v>
      </c>
      <c r="D12" s="193" t="s">
        <v>391</v>
      </c>
      <c r="E12" s="195" t="s">
        <v>184</v>
      </c>
      <c r="F12" s="196" t="s">
        <v>691</v>
      </c>
      <c r="G12" s="196" t="s">
        <v>692</v>
      </c>
      <c r="H12" s="196" t="s">
        <v>396</v>
      </c>
      <c r="I12" s="196" t="s">
        <v>30</v>
      </c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ht="22.5" customHeight="1">
      <c r="A13" s="197" t="s">
        <v>399</v>
      </c>
      <c r="B13" s="197" t="s">
        <v>398</v>
      </c>
      <c r="C13" s="194" t="s">
        <v>693</v>
      </c>
      <c r="D13" s="197" t="s">
        <v>400</v>
      </c>
      <c r="E13" s="198" t="s">
        <v>163</v>
      </c>
      <c r="F13" s="196" t="s">
        <v>694</v>
      </c>
      <c r="G13" s="196" t="s">
        <v>695</v>
      </c>
      <c r="H13" s="196" t="s">
        <v>396</v>
      </c>
      <c r="I13" s="196" t="s">
        <v>30</v>
      </c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ht="22.5" customHeight="1">
      <c r="A14" s="193" t="s">
        <v>399</v>
      </c>
      <c r="B14" s="193" t="s">
        <v>403</v>
      </c>
      <c r="C14" s="194" t="s">
        <v>696</v>
      </c>
      <c r="D14" s="193" t="s">
        <v>391</v>
      </c>
      <c r="E14" s="195" t="s">
        <v>159</v>
      </c>
      <c r="F14" s="196" t="s">
        <v>697</v>
      </c>
      <c r="G14" s="196" t="s">
        <v>698</v>
      </c>
      <c r="H14" s="196" t="s">
        <v>404</v>
      </c>
      <c r="I14" s="196" t="s">
        <v>30</v>
      </c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ht="22.5" customHeight="1">
      <c r="A15" s="197" t="s">
        <v>390</v>
      </c>
      <c r="B15" s="197" t="s">
        <v>406</v>
      </c>
      <c r="C15" s="194" t="s">
        <v>699</v>
      </c>
      <c r="D15" s="197" t="s">
        <v>391</v>
      </c>
      <c r="E15" s="198" t="s">
        <v>184</v>
      </c>
      <c r="F15" s="196" t="s">
        <v>700</v>
      </c>
      <c r="G15" s="196" t="s">
        <v>701</v>
      </c>
      <c r="H15" s="196" t="s">
        <v>396</v>
      </c>
      <c r="I15" s="196" t="s">
        <v>30</v>
      </c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ht="22.5" customHeight="1">
      <c r="A16" s="193" t="s">
        <v>390</v>
      </c>
      <c r="B16" s="193" t="s">
        <v>408</v>
      </c>
      <c r="C16" s="194" t="s">
        <v>702</v>
      </c>
      <c r="D16" s="193" t="s">
        <v>409</v>
      </c>
      <c r="E16" s="195" t="s">
        <v>163</v>
      </c>
      <c r="F16" s="196" t="s">
        <v>703</v>
      </c>
      <c r="G16" s="196" t="s">
        <v>704</v>
      </c>
      <c r="H16" s="196" t="s">
        <v>396</v>
      </c>
      <c r="I16" s="196" t="s">
        <v>30</v>
      </c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ht="22.5" customHeight="1">
      <c r="A17" s="197" t="s">
        <v>390</v>
      </c>
      <c r="B17" s="197" t="s">
        <v>515</v>
      </c>
      <c r="C17" s="194" t="s">
        <v>705</v>
      </c>
      <c r="D17" s="197" t="s">
        <v>391</v>
      </c>
      <c r="E17" s="198" t="s">
        <v>174</v>
      </c>
      <c r="F17" s="196" t="s">
        <v>706</v>
      </c>
      <c r="G17" s="196" t="s">
        <v>707</v>
      </c>
      <c r="H17" s="196" t="s">
        <v>396</v>
      </c>
      <c r="I17" s="199" t="s">
        <v>60</v>
      </c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ht="22.5" customHeight="1">
      <c r="A18" s="193" t="s">
        <v>454</v>
      </c>
      <c r="B18" s="193" t="s">
        <v>558</v>
      </c>
      <c r="C18" s="194" t="s">
        <v>708</v>
      </c>
      <c r="D18" s="193" t="s">
        <v>556</v>
      </c>
      <c r="E18" s="195" t="s">
        <v>176</v>
      </c>
      <c r="F18" s="196" t="s">
        <v>709</v>
      </c>
      <c r="G18" s="196" t="s">
        <v>710</v>
      </c>
      <c r="H18" s="196" t="s">
        <v>396</v>
      </c>
      <c r="I18" s="196" t="s">
        <v>689</v>
      </c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ht="22.5" customHeight="1">
      <c r="A19" s="197" t="s">
        <v>450</v>
      </c>
      <c r="B19" s="197" t="s">
        <v>591</v>
      </c>
      <c r="C19" s="194" t="s">
        <v>711</v>
      </c>
      <c r="D19" s="197" t="s">
        <v>588</v>
      </c>
      <c r="E19" s="198" t="s">
        <v>186</v>
      </c>
      <c r="F19" s="196" t="s">
        <v>712</v>
      </c>
      <c r="G19" s="196" t="s">
        <v>713</v>
      </c>
      <c r="H19" s="196" t="s">
        <v>396</v>
      </c>
      <c r="I19" s="196" t="s">
        <v>141</v>
      </c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ht="22.5" customHeight="1">
      <c r="A20" s="193" t="s">
        <v>450</v>
      </c>
      <c r="B20" s="193" t="s">
        <v>559</v>
      </c>
      <c r="C20" s="194" t="s">
        <v>714</v>
      </c>
      <c r="D20" s="193" t="s">
        <v>560</v>
      </c>
      <c r="E20" s="195" t="s">
        <v>176</v>
      </c>
      <c r="F20" s="196" t="s">
        <v>715</v>
      </c>
      <c r="G20" s="196" t="s">
        <v>716</v>
      </c>
      <c r="H20" s="196" t="s">
        <v>396</v>
      </c>
      <c r="I20" s="196" t="s">
        <v>689</v>
      </c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ht="22.5" customHeight="1">
      <c r="A21" s="197" t="s">
        <v>390</v>
      </c>
      <c r="B21" s="197" t="s">
        <v>479</v>
      </c>
      <c r="C21" s="194" t="s">
        <v>717</v>
      </c>
      <c r="D21" s="197" t="s">
        <v>102</v>
      </c>
      <c r="E21" s="198" t="s">
        <v>176</v>
      </c>
      <c r="F21" s="196" t="s">
        <v>718</v>
      </c>
      <c r="G21" s="196" t="s">
        <v>719</v>
      </c>
      <c r="H21" s="196" t="s">
        <v>396</v>
      </c>
      <c r="I21" s="196" t="s">
        <v>82</v>
      </c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ht="22.5" customHeight="1">
      <c r="A22" s="195" t="s">
        <v>399</v>
      </c>
      <c r="B22" s="193" t="s">
        <v>411</v>
      </c>
      <c r="C22" s="194" t="s">
        <v>720</v>
      </c>
      <c r="D22" s="193" t="s">
        <v>412</v>
      </c>
      <c r="E22" s="193" t="s">
        <v>159</v>
      </c>
      <c r="F22" s="194" t="s">
        <v>721</v>
      </c>
      <c r="G22" s="200">
        <v>46295.0</v>
      </c>
      <c r="H22" s="196" t="s">
        <v>396</v>
      </c>
      <c r="I22" s="196" t="s">
        <v>30</v>
      </c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ht="22.5" customHeight="1">
      <c r="A23" s="198" t="s">
        <v>399</v>
      </c>
      <c r="B23" s="197" t="s">
        <v>415</v>
      </c>
      <c r="C23" s="194" t="s">
        <v>722</v>
      </c>
      <c r="D23" s="197" t="s">
        <v>412</v>
      </c>
      <c r="E23" s="197" t="s">
        <v>172</v>
      </c>
      <c r="F23" s="194" t="s">
        <v>723</v>
      </c>
      <c r="G23" s="200">
        <v>46203.0</v>
      </c>
      <c r="H23" s="196" t="s">
        <v>396</v>
      </c>
      <c r="I23" s="196" t="s">
        <v>30</v>
      </c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ht="22.5" customHeight="1">
      <c r="A24" s="195" t="s">
        <v>399</v>
      </c>
      <c r="B24" s="193" t="s">
        <v>417</v>
      </c>
      <c r="C24" s="194" t="s">
        <v>724</v>
      </c>
      <c r="D24" s="193" t="s">
        <v>409</v>
      </c>
      <c r="E24" s="193" t="s">
        <v>172</v>
      </c>
      <c r="F24" s="194" t="s">
        <v>725</v>
      </c>
      <c r="G24" s="200">
        <v>46295.0</v>
      </c>
      <c r="H24" s="196" t="s">
        <v>396</v>
      </c>
      <c r="I24" s="196" t="s">
        <v>30</v>
      </c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ht="22.5" customHeight="1">
      <c r="A25" s="198" t="s">
        <v>399</v>
      </c>
      <c r="B25" s="197" t="s">
        <v>419</v>
      </c>
      <c r="C25" s="194" t="s">
        <v>726</v>
      </c>
      <c r="D25" s="197" t="s">
        <v>420</v>
      </c>
      <c r="E25" s="197" t="s">
        <v>180</v>
      </c>
      <c r="F25" s="194" t="s">
        <v>727</v>
      </c>
      <c r="G25" s="200">
        <v>46111.0</v>
      </c>
      <c r="H25" s="196" t="s">
        <v>396</v>
      </c>
      <c r="I25" s="196" t="s">
        <v>30</v>
      </c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ht="22.5" customHeight="1">
      <c r="A26" s="193" t="s">
        <v>450</v>
      </c>
      <c r="B26" s="193" t="s">
        <v>728</v>
      </c>
      <c r="C26" s="194" t="s">
        <v>729</v>
      </c>
      <c r="D26" s="193" t="s">
        <v>452</v>
      </c>
      <c r="E26" s="193" t="s">
        <v>176</v>
      </c>
      <c r="F26" s="194" t="s">
        <v>730</v>
      </c>
      <c r="G26" s="200">
        <v>46295.0</v>
      </c>
      <c r="H26" s="196" t="s">
        <v>396</v>
      </c>
      <c r="I26" s="196" t="s">
        <v>66</v>
      </c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22.5" customHeight="1">
      <c r="A27" s="198" t="s">
        <v>399</v>
      </c>
      <c r="B27" s="197" t="s">
        <v>516</v>
      </c>
      <c r="C27" s="194" t="s">
        <v>731</v>
      </c>
      <c r="D27" s="197" t="s">
        <v>391</v>
      </c>
      <c r="E27" s="197" t="s">
        <v>174</v>
      </c>
      <c r="F27" s="194" t="s">
        <v>732</v>
      </c>
      <c r="G27" s="200">
        <v>46295.0</v>
      </c>
      <c r="H27" s="196" t="s">
        <v>396</v>
      </c>
      <c r="I27" s="199" t="s">
        <v>60</v>
      </c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22.5" customHeight="1">
      <c r="A28" s="195" t="s">
        <v>450</v>
      </c>
      <c r="B28" s="193" t="s">
        <v>733</v>
      </c>
      <c r="C28" s="194" t="s">
        <v>734</v>
      </c>
      <c r="D28" s="193" t="s">
        <v>452</v>
      </c>
      <c r="E28" s="193" t="s">
        <v>168</v>
      </c>
      <c r="F28" s="194" t="s">
        <v>735</v>
      </c>
      <c r="G28" s="200">
        <v>46203.0</v>
      </c>
      <c r="H28" s="196" t="s">
        <v>396</v>
      </c>
      <c r="I28" s="196" t="s">
        <v>66</v>
      </c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22.5" customHeight="1">
      <c r="A29" s="198" t="s">
        <v>399</v>
      </c>
      <c r="B29" s="197" t="s">
        <v>561</v>
      </c>
      <c r="C29" s="194" t="s">
        <v>736</v>
      </c>
      <c r="D29" s="197" t="s">
        <v>562</v>
      </c>
      <c r="E29" s="197" t="s">
        <v>176</v>
      </c>
      <c r="F29" s="194" t="s">
        <v>737</v>
      </c>
      <c r="G29" s="200">
        <v>46203.0</v>
      </c>
      <c r="H29" s="196" t="s">
        <v>396</v>
      </c>
      <c r="I29" s="196" t="s">
        <v>689</v>
      </c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22.5" customHeight="1">
      <c r="A30" s="195" t="s">
        <v>450</v>
      </c>
      <c r="B30" s="193" t="s">
        <v>738</v>
      </c>
      <c r="C30" s="194" t="s">
        <v>739</v>
      </c>
      <c r="D30" s="193" t="s">
        <v>452</v>
      </c>
      <c r="E30" s="193" t="s">
        <v>168</v>
      </c>
      <c r="F30" s="194" t="s">
        <v>740</v>
      </c>
      <c r="G30" s="200">
        <v>46295.0</v>
      </c>
      <c r="H30" s="196" t="s">
        <v>396</v>
      </c>
      <c r="I30" s="196" t="s">
        <v>66</v>
      </c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ht="22.5" customHeight="1">
      <c r="A31" s="198" t="s">
        <v>450</v>
      </c>
      <c r="B31" s="197" t="s">
        <v>563</v>
      </c>
      <c r="C31" s="194" t="s">
        <v>741</v>
      </c>
      <c r="D31" s="197" t="s">
        <v>560</v>
      </c>
      <c r="E31" s="197" t="s">
        <v>176</v>
      </c>
      <c r="F31" s="194" t="s">
        <v>742</v>
      </c>
      <c r="G31" s="200">
        <v>46387.0</v>
      </c>
      <c r="H31" s="196" t="s">
        <v>396</v>
      </c>
      <c r="I31" s="196" t="s">
        <v>689</v>
      </c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ht="22.5" customHeight="1">
      <c r="A32" s="195" t="s">
        <v>450</v>
      </c>
      <c r="B32" s="193" t="s">
        <v>564</v>
      </c>
      <c r="C32" s="194" t="s">
        <v>743</v>
      </c>
      <c r="D32" s="193" t="s">
        <v>562</v>
      </c>
      <c r="E32" s="193" t="s">
        <v>176</v>
      </c>
      <c r="F32" s="194" t="s">
        <v>744</v>
      </c>
      <c r="G32" s="200">
        <v>46387.0</v>
      </c>
      <c r="H32" s="196" t="s">
        <v>396</v>
      </c>
      <c r="I32" s="196" t="s">
        <v>689</v>
      </c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ht="22.5" customHeight="1">
      <c r="A33" s="198" t="s">
        <v>454</v>
      </c>
      <c r="B33" s="197" t="s">
        <v>480</v>
      </c>
      <c r="C33" s="194" t="s">
        <v>745</v>
      </c>
      <c r="D33" s="197" t="s">
        <v>481</v>
      </c>
      <c r="E33" s="197" t="s">
        <v>178</v>
      </c>
      <c r="F33" s="194" t="s">
        <v>746</v>
      </c>
      <c r="G33" s="200">
        <v>46202.0</v>
      </c>
      <c r="H33" s="196" t="s">
        <v>396</v>
      </c>
      <c r="I33" s="196" t="s">
        <v>82</v>
      </c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ht="22.5" customHeight="1">
      <c r="A34" s="195" t="s">
        <v>454</v>
      </c>
      <c r="B34" s="193" t="s">
        <v>483</v>
      </c>
      <c r="C34" s="194" t="s">
        <v>747</v>
      </c>
      <c r="D34" s="193" t="s">
        <v>484</v>
      </c>
      <c r="E34" s="193" t="s">
        <v>178</v>
      </c>
      <c r="F34" s="194" t="s">
        <v>748</v>
      </c>
      <c r="G34" s="200">
        <v>46112.0</v>
      </c>
      <c r="H34" s="196" t="s">
        <v>396</v>
      </c>
      <c r="I34" s="196" t="s">
        <v>82</v>
      </c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ht="22.5" customHeight="1">
      <c r="A35" s="198" t="s">
        <v>454</v>
      </c>
      <c r="B35" s="197" t="s">
        <v>453</v>
      </c>
      <c r="C35" s="194" t="s">
        <v>749</v>
      </c>
      <c r="D35" s="197" t="s">
        <v>448</v>
      </c>
      <c r="E35" s="197" t="s">
        <v>165</v>
      </c>
      <c r="F35" s="194" t="s">
        <v>750</v>
      </c>
      <c r="G35" s="200">
        <v>46295.0</v>
      </c>
      <c r="H35" s="196" t="s">
        <v>396</v>
      </c>
      <c r="I35" s="196" t="s">
        <v>66</v>
      </c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ht="22.5" customHeight="1">
      <c r="A36" s="195" t="s">
        <v>454</v>
      </c>
      <c r="B36" s="193" t="s">
        <v>485</v>
      </c>
      <c r="C36" s="194" t="s">
        <v>751</v>
      </c>
      <c r="D36" s="193" t="s">
        <v>486</v>
      </c>
      <c r="E36" s="193" t="s">
        <v>200</v>
      </c>
      <c r="F36" s="194" t="s">
        <v>752</v>
      </c>
      <c r="G36" s="200">
        <v>46387.0</v>
      </c>
      <c r="H36" s="196" t="s">
        <v>396</v>
      </c>
      <c r="I36" s="196" t="s">
        <v>82</v>
      </c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ht="22.5" customHeight="1">
      <c r="A37" s="198" t="s">
        <v>454</v>
      </c>
      <c r="B37" s="197" t="s">
        <v>487</v>
      </c>
      <c r="C37" s="194" t="s">
        <v>753</v>
      </c>
      <c r="D37" s="197" t="s">
        <v>477</v>
      </c>
      <c r="E37" s="197" t="s">
        <v>178</v>
      </c>
      <c r="F37" s="194" t="s">
        <v>754</v>
      </c>
      <c r="G37" s="200">
        <v>46203.0</v>
      </c>
      <c r="H37" s="196" t="s">
        <v>396</v>
      </c>
      <c r="I37" s="196" t="s">
        <v>82</v>
      </c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ht="22.5" customHeight="1">
      <c r="A38" s="195" t="s">
        <v>454</v>
      </c>
      <c r="B38" s="193" t="s">
        <v>488</v>
      </c>
      <c r="C38" s="194" t="s">
        <v>755</v>
      </c>
      <c r="D38" s="193" t="s">
        <v>477</v>
      </c>
      <c r="E38" s="193" t="s">
        <v>178</v>
      </c>
      <c r="F38" s="194" t="s">
        <v>756</v>
      </c>
      <c r="G38" s="200">
        <v>46112.0</v>
      </c>
      <c r="H38" s="196" t="s">
        <v>396</v>
      </c>
      <c r="I38" s="196" t="s">
        <v>82</v>
      </c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ht="22.5" customHeight="1">
      <c r="A39" s="198" t="s">
        <v>399</v>
      </c>
      <c r="B39" s="197" t="s">
        <v>517</v>
      </c>
      <c r="C39" s="194" t="s">
        <v>757</v>
      </c>
      <c r="D39" s="197" t="s">
        <v>391</v>
      </c>
      <c r="E39" s="197" t="s">
        <v>159</v>
      </c>
      <c r="F39" s="194" t="s">
        <v>758</v>
      </c>
      <c r="G39" s="200">
        <v>46295.0</v>
      </c>
      <c r="H39" s="196" t="s">
        <v>396</v>
      </c>
      <c r="I39" s="199" t="s">
        <v>60</v>
      </c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ht="22.5" customHeight="1">
      <c r="A40" s="195" t="s">
        <v>513</v>
      </c>
      <c r="B40" s="193" t="s">
        <v>592</v>
      </c>
      <c r="C40" s="194" t="s">
        <v>759</v>
      </c>
      <c r="D40" s="193" t="s">
        <v>514</v>
      </c>
      <c r="E40" s="193" t="s">
        <v>182</v>
      </c>
      <c r="F40" s="194" t="s">
        <v>760</v>
      </c>
      <c r="G40" s="200">
        <v>45990.0</v>
      </c>
      <c r="H40" s="196" t="s">
        <v>396</v>
      </c>
      <c r="I40" s="196" t="s">
        <v>141</v>
      </c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ht="22.5" customHeight="1">
      <c r="A41" s="198" t="s">
        <v>513</v>
      </c>
      <c r="B41" s="197" t="s">
        <v>512</v>
      </c>
      <c r="C41" s="194" t="s">
        <v>761</v>
      </c>
      <c r="D41" s="197" t="s">
        <v>514</v>
      </c>
      <c r="E41" s="197" t="s">
        <v>165</v>
      </c>
      <c r="F41" s="194" t="s">
        <v>762</v>
      </c>
      <c r="G41" s="200">
        <v>46112.0</v>
      </c>
      <c r="H41" s="196" t="s">
        <v>396</v>
      </c>
      <c r="I41" s="196" t="s">
        <v>141</v>
      </c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ht="22.5" customHeight="1">
      <c r="A42" s="195" t="s">
        <v>513</v>
      </c>
      <c r="B42" s="193" t="s">
        <v>518</v>
      </c>
      <c r="C42" s="194" t="s">
        <v>763</v>
      </c>
      <c r="D42" s="193" t="s">
        <v>514</v>
      </c>
      <c r="E42" s="193" t="s">
        <v>182</v>
      </c>
      <c r="F42" s="194" t="s">
        <v>764</v>
      </c>
      <c r="G42" s="200">
        <v>46112.0</v>
      </c>
      <c r="H42" s="196" t="s">
        <v>396</v>
      </c>
      <c r="I42" s="196" t="s">
        <v>141</v>
      </c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ht="22.5" customHeight="1">
      <c r="A43" s="198" t="s">
        <v>450</v>
      </c>
      <c r="B43" s="197" t="s">
        <v>565</v>
      </c>
      <c r="C43" s="194" t="s">
        <v>765</v>
      </c>
      <c r="D43" s="197" t="s">
        <v>556</v>
      </c>
      <c r="E43" s="197" t="s">
        <v>176</v>
      </c>
      <c r="F43" s="194" t="s">
        <v>766</v>
      </c>
      <c r="G43" s="200">
        <v>46203.0</v>
      </c>
      <c r="H43" s="196" t="s">
        <v>396</v>
      </c>
      <c r="I43" s="196" t="s">
        <v>689</v>
      </c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ht="22.5" customHeight="1">
      <c r="A44" s="195" t="s">
        <v>390</v>
      </c>
      <c r="B44" s="193" t="s">
        <v>767</v>
      </c>
      <c r="C44" s="194" t="s">
        <v>768</v>
      </c>
      <c r="D44" s="193" t="s">
        <v>445</v>
      </c>
      <c r="E44" s="193" t="s">
        <v>168</v>
      </c>
      <c r="F44" s="194" t="s">
        <v>769</v>
      </c>
      <c r="G44" s="200">
        <v>46021.0</v>
      </c>
      <c r="H44" s="196" t="s">
        <v>396</v>
      </c>
      <c r="I44" s="196" t="s">
        <v>66</v>
      </c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ht="22.5" customHeight="1">
      <c r="A45" s="198" t="s">
        <v>450</v>
      </c>
      <c r="B45" s="197" t="s">
        <v>770</v>
      </c>
      <c r="C45" s="194" t="s">
        <v>771</v>
      </c>
      <c r="D45" s="197" t="s">
        <v>452</v>
      </c>
      <c r="E45" s="197" t="s">
        <v>176</v>
      </c>
      <c r="F45" s="194" t="s">
        <v>772</v>
      </c>
      <c r="G45" s="200">
        <v>46265.0</v>
      </c>
      <c r="H45" s="196" t="s">
        <v>396</v>
      </c>
      <c r="I45" s="196" t="s">
        <v>66</v>
      </c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ht="22.5" customHeight="1">
      <c r="A46" s="195" t="s">
        <v>450</v>
      </c>
      <c r="B46" s="193" t="s">
        <v>457</v>
      </c>
      <c r="C46" s="194" t="s">
        <v>773</v>
      </c>
      <c r="D46" s="193" t="s">
        <v>458</v>
      </c>
      <c r="E46" s="193" t="s">
        <v>168</v>
      </c>
      <c r="F46" s="194" t="s">
        <v>774</v>
      </c>
      <c r="G46" s="200">
        <v>46203.0</v>
      </c>
      <c r="H46" s="196" t="s">
        <v>396</v>
      </c>
      <c r="I46" s="196" t="s">
        <v>66</v>
      </c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ht="22.5" customHeight="1">
      <c r="A47" s="198" t="s">
        <v>450</v>
      </c>
      <c r="B47" s="197" t="s">
        <v>566</v>
      </c>
      <c r="C47" s="194" t="s">
        <v>775</v>
      </c>
      <c r="D47" s="197" t="s">
        <v>567</v>
      </c>
      <c r="E47" s="197" t="s">
        <v>168</v>
      </c>
      <c r="F47" s="194" t="s">
        <v>776</v>
      </c>
      <c r="G47" s="200">
        <v>46295.0</v>
      </c>
      <c r="H47" s="196" t="s">
        <v>396</v>
      </c>
      <c r="I47" s="196" t="s">
        <v>689</v>
      </c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ht="22.5" customHeight="1">
      <c r="A48" s="195" t="s">
        <v>450</v>
      </c>
      <c r="B48" s="193" t="s">
        <v>587</v>
      </c>
      <c r="C48" s="194" t="s">
        <v>777</v>
      </c>
      <c r="D48" s="193" t="s">
        <v>588</v>
      </c>
      <c r="E48" s="193" t="s">
        <v>168</v>
      </c>
      <c r="F48" s="194" t="s">
        <v>778</v>
      </c>
      <c r="G48" s="200">
        <v>46203.0</v>
      </c>
      <c r="H48" s="196" t="s">
        <v>396</v>
      </c>
      <c r="I48" s="196" t="s">
        <v>141</v>
      </c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ht="22.5" customHeight="1">
      <c r="A49" s="198" t="s">
        <v>450</v>
      </c>
      <c r="B49" s="197" t="s">
        <v>568</v>
      </c>
      <c r="C49" s="194" t="s">
        <v>779</v>
      </c>
      <c r="D49" s="197" t="s">
        <v>567</v>
      </c>
      <c r="E49" s="197" t="s">
        <v>168</v>
      </c>
      <c r="F49" s="194" t="s">
        <v>780</v>
      </c>
      <c r="G49" s="200">
        <v>45899.0</v>
      </c>
      <c r="H49" s="196" t="s">
        <v>396</v>
      </c>
      <c r="I49" s="196" t="s">
        <v>689</v>
      </c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ht="22.5" customHeight="1">
      <c r="A50" s="195" t="s">
        <v>450</v>
      </c>
      <c r="B50" s="193" t="s">
        <v>519</v>
      </c>
      <c r="C50" s="194" t="s">
        <v>781</v>
      </c>
      <c r="D50" s="193" t="s">
        <v>514</v>
      </c>
      <c r="E50" s="193" t="s">
        <v>182</v>
      </c>
      <c r="F50" s="194" t="s">
        <v>782</v>
      </c>
      <c r="G50" s="200">
        <v>46203.0</v>
      </c>
      <c r="H50" s="196" t="s">
        <v>396</v>
      </c>
      <c r="I50" s="196" t="s">
        <v>141</v>
      </c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ht="22.5" customHeight="1">
      <c r="A51" s="198" t="s">
        <v>399</v>
      </c>
      <c r="B51" s="197" t="s">
        <v>520</v>
      </c>
      <c r="C51" s="194" t="s">
        <v>783</v>
      </c>
      <c r="D51" s="197" t="s">
        <v>391</v>
      </c>
      <c r="E51" s="197" t="s">
        <v>174</v>
      </c>
      <c r="F51" s="194" t="s">
        <v>784</v>
      </c>
      <c r="G51" s="200">
        <v>46387.0</v>
      </c>
      <c r="H51" s="196" t="s">
        <v>396</v>
      </c>
      <c r="I51" s="199" t="s">
        <v>60</v>
      </c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ht="22.5" customHeight="1">
      <c r="A52" s="195" t="s">
        <v>399</v>
      </c>
      <c r="B52" s="193" t="s">
        <v>521</v>
      </c>
      <c r="C52" s="194" t="s">
        <v>785</v>
      </c>
      <c r="D52" s="193" t="s">
        <v>391</v>
      </c>
      <c r="E52" s="193" t="s">
        <v>165</v>
      </c>
      <c r="F52" s="194" t="s">
        <v>786</v>
      </c>
      <c r="G52" s="200">
        <v>46112.0</v>
      </c>
      <c r="H52" s="196" t="s">
        <v>396</v>
      </c>
      <c r="I52" s="199" t="s">
        <v>60</v>
      </c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ht="22.5" customHeight="1">
      <c r="A53" s="198" t="s">
        <v>450</v>
      </c>
      <c r="B53" s="197" t="s">
        <v>593</v>
      </c>
      <c r="C53" s="194" t="s">
        <v>787</v>
      </c>
      <c r="D53" s="197" t="s">
        <v>588</v>
      </c>
      <c r="E53" s="197" t="s">
        <v>186</v>
      </c>
      <c r="F53" s="194" t="s">
        <v>788</v>
      </c>
      <c r="G53" s="200">
        <v>46295.0</v>
      </c>
      <c r="H53" s="196" t="s">
        <v>396</v>
      </c>
      <c r="I53" s="196" t="s">
        <v>141</v>
      </c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ht="22.5" customHeight="1">
      <c r="A54" s="195"/>
      <c r="B54" s="195"/>
      <c r="C54" s="194"/>
      <c r="D54" s="195"/>
      <c r="E54" s="195"/>
      <c r="F54" s="196"/>
      <c r="G54" s="196"/>
      <c r="H54" s="196"/>
      <c r="I54" s="196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ht="22.5" customHeight="1">
      <c r="A55" s="198"/>
      <c r="B55" s="198"/>
      <c r="C55" s="194"/>
      <c r="D55" s="198"/>
      <c r="E55" s="198"/>
      <c r="F55" s="196"/>
      <c r="G55" s="196"/>
      <c r="H55" s="196"/>
      <c r="I55" s="196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ht="22.5" customHeight="1">
      <c r="A56" s="195"/>
      <c r="B56" s="195"/>
      <c r="C56" s="194"/>
      <c r="D56" s="195"/>
      <c r="E56" s="195"/>
      <c r="F56" s="196"/>
      <c r="G56" s="196"/>
      <c r="H56" s="196"/>
      <c r="I56" s="196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ht="22.5" customHeight="1">
      <c r="A57" s="198"/>
      <c r="B57" s="198"/>
      <c r="C57" s="194"/>
      <c r="D57" s="198"/>
      <c r="E57" s="198"/>
      <c r="F57" s="196"/>
      <c r="G57" s="196"/>
      <c r="H57" s="196"/>
      <c r="I57" s="196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ht="22.5" customHeight="1">
      <c r="A58" s="195"/>
      <c r="B58" s="195"/>
      <c r="C58" s="194"/>
      <c r="D58" s="195"/>
      <c r="E58" s="195"/>
      <c r="F58" s="196"/>
      <c r="G58" s="196"/>
      <c r="H58" s="196"/>
      <c r="I58" s="196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ht="22.5" customHeight="1">
      <c r="A59" s="198"/>
      <c r="B59" s="198"/>
      <c r="C59" s="194"/>
      <c r="D59" s="198"/>
      <c r="E59" s="198"/>
      <c r="F59" s="196"/>
      <c r="G59" s="196"/>
      <c r="H59" s="196"/>
      <c r="I59" s="196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ht="22.5" customHeight="1">
      <c r="A60" s="195"/>
      <c r="B60" s="195"/>
      <c r="C60" s="194"/>
      <c r="D60" s="195"/>
      <c r="E60" s="195"/>
      <c r="F60" s="196"/>
      <c r="G60" s="196"/>
      <c r="H60" s="196"/>
      <c r="I60" s="196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ht="22.5" customHeight="1">
      <c r="A61" s="198"/>
      <c r="B61" s="198"/>
      <c r="C61" s="194"/>
      <c r="D61" s="198"/>
      <c r="E61" s="198"/>
      <c r="F61" s="196"/>
      <c r="G61" s="196"/>
      <c r="H61" s="196"/>
      <c r="I61" s="196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ht="22.5" customHeight="1">
      <c r="A62" s="195"/>
      <c r="B62" s="195"/>
      <c r="C62" s="194"/>
      <c r="D62" s="195"/>
      <c r="E62" s="195"/>
      <c r="F62" s="196"/>
      <c r="G62" s="196"/>
      <c r="H62" s="196"/>
      <c r="I62" s="196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22.5" customHeight="1">
      <c r="A63" s="198"/>
      <c r="B63" s="198"/>
      <c r="C63" s="194"/>
      <c r="D63" s="198"/>
      <c r="E63" s="198"/>
      <c r="F63" s="196"/>
      <c r="G63" s="196"/>
      <c r="H63" s="196"/>
      <c r="I63" s="196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ht="22.5" customHeight="1">
      <c r="A64" s="195"/>
      <c r="B64" s="195"/>
      <c r="C64" s="194"/>
      <c r="D64" s="195"/>
      <c r="E64" s="195"/>
      <c r="F64" s="196"/>
      <c r="G64" s="196"/>
      <c r="H64" s="196"/>
      <c r="I64" s="196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ht="22.5" customHeight="1">
      <c r="A65" s="198"/>
      <c r="B65" s="198"/>
      <c r="C65" s="194"/>
      <c r="D65" s="198"/>
      <c r="E65" s="198"/>
      <c r="F65" s="196"/>
      <c r="G65" s="196"/>
      <c r="H65" s="196"/>
      <c r="I65" s="196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ht="22.5" customHeight="1">
      <c r="A66" s="195"/>
      <c r="B66" s="195"/>
      <c r="C66" s="194"/>
      <c r="D66" s="195"/>
      <c r="E66" s="195"/>
      <c r="F66" s="196"/>
      <c r="G66" s="196"/>
      <c r="H66" s="196"/>
      <c r="I66" s="196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ht="22.5" customHeight="1">
      <c r="A67" s="198"/>
      <c r="B67" s="198"/>
      <c r="C67" s="194"/>
      <c r="D67" s="198"/>
      <c r="E67" s="198"/>
      <c r="F67" s="196"/>
      <c r="G67" s="196"/>
      <c r="H67" s="196"/>
      <c r="I67" s="196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ht="22.5" customHeight="1">
      <c r="A68" s="195"/>
      <c r="B68" s="195"/>
      <c r="C68" s="194"/>
      <c r="D68" s="195"/>
      <c r="E68" s="195"/>
      <c r="F68" s="196"/>
      <c r="G68" s="196"/>
      <c r="H68" s="196"/>
      <c r="I68" s="196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ht="22.5" customHeight="1">
      <c r="A69" s="198"/>
      <c r="B69" s="198"/>
      <c r="C69" s="194"/>
      <c r="D69" s="198"/>
      <c r="E69" s="198"/>
      <c r="F69" s="196"/>
      <c r="G69" s="196"/>
      <c r="H69" s="196"/>
      <c r="I69" s="196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ht="22.5" customHeight="1">
      <c r="A70" s="195"/>
      <c r="B70" s="195"/>
      <c r="C70" s="194"/>
      <c r="D70" s="195"/>
      <c r="E70" s="195"/>
      <c r="F70" s="196"/>
      <c r="G70" s="196"/>
      <c r="H70" s="196"/>
      <c r="I70" s="196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ht="22.5" customHeight="1">
      <c r="A71" s="198"/>
      <c r="B71" s="198"/>
      <c r="C71" s="194"/>
      <c r="D71" s="198"/>
      <c r="E71" s="198"/>
      <c r="F71" s="196"/>
      <c r="G71" s="196"/>
      <c r="H71" s="196"/>
      <c r="I71" s="196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ht="22.5" customHeight="1">
      <c r="A72" s="195"/>
      <c r="B72" s="195"/>
      <c r="C72" s="194"/>
      <c r="D72" s="195"/>
      <c r="E72" s="195"/>
      <c r="F72" s="196"/>
      <c r="G72" s="196"/>
      <c r="H72" s="196"/>
      <c r="I72" s="196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ht="22.5" customHeight="1">
      <c r="A73" s="198"/>
      <c r="B73" s="198"/>
      <c r="C73" s="194"/>
      <c r="D73" s="198"/>
      <c r="E73" s="198"/>
      <c r="F73" s="196"/>
      <c r="G73" s="196"/>
      <c r="H73" s="196"/>
      <c r="I73" s="196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ht="22.5" customHeight="1">
      <c r="A74" s="195"/>
      <c r="B74" s="195"/>
      <c r="C74" s="194"/>
      <c r="D74" s="195"/>
      <c r="E74" s="195"/>
      <c r="F74" s="196"/>
      <c r="G74" s="196"/>
      <c r="H74" s="196"/>
      <c r="I74" s="196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 ht="22.5" customHeight="1">
      <c r="A75" s="198"/>
      <c r="B75" s="198"/>
      <c r="C75" s="194"/>
      <c r="D75" s="198"/>
      <c r="E75" s="198"/>
      <c r="F75" s="196"/>
      <c r="G75" s="196"/>
      <c r="H75" s="196"/>
      <c r="I75" s="196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 ht="22.5" customHeight="1">
      <c r="A76" s="195"/>
      <c r="B76" s="195"/>
      <c r="C76" s="194"/>
      <c r="D76" s="195"/>
      <c r="E76" s="195"/>
      <c r="F76" s="196"/>
      <c r="G76" s="196"/>
      <c r="H76" s="196"/>
      <c r="I76" s="196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ht="22.5" customHeight="1">
      <c r="A77" s="198"/>
      <c r="B77" s="198"/>
      <c r="C77" s="194"/>
      <c r="D77" s="198"/>
      <c r="E77" s="198"/>
      <c r="F77" s="196"/>
      <c r="G77" s="196"/>
      <c r="H77" s="196"/>
      <c r="I77" s="196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 ht="22.5" customHeight="1">
      <c r="A78" s="195"/>
      <c r="B78" s="195"/>
      <c r="C78" s="194"/>
      <c r="D78" s="195"/>
      <c r="E78" s="195"/>
      <c r="F78" s="196"/>
      <c r="G78" s="196"/>
      <c r="H78" s="196"/>
      <c r="I78" s="196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 ht="22.5" customHeight="1">
      <c r="A79" s="198"/>
      <c r="B79" s="198"/>
      <c r="C79" s="194"/>
      <c r="D79" s="198"/>
      <c r="E79" s="198"/>
      <c r="F79" s="196"/>
      <c r="G79" s="196"/>
      <c r="H79" s="196"/>
      <c r="I79" s="196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 ht="22.5" customHeight="1">
      <c r="A80" s="195"/>
      <c r="B80" s="195"/>
      <c r="C80" s="194"/>
      <c r="D80" s="195"/>
      <c r="E80" s="195"/>
      <c r="F80" s="196"/>
      <c r="G80" s="196"/>
      <c r="H80" s="196"/>
      <c r="I80" s="196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 ht="22.5" customHeight="1">
      <c r="A81" s="198"/>
      <c r="B81" s="198"/>
      <c r="C81" s="194"/>
      <c r="D81" s="198"/>
      <c r="E81" s="198"/>
      <c r="F81" s="196"/>
      <c r="G81" s="196"/>
      <c r="H81" s="196"/>
      <c r="I81" s="196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ht="22.5" customHeight="1">
      <c r="A82" s="195"/>
      <c r="B82" s="195"/>
      <c r="C82" s="194"/>
      <c r="D82" s="195"/>
      <c r="E82" s="195"/>
      <c r="F82" s="196"/>
      <c r="G82" s="196"/>
      <c r="H82" s="196"/>
      <c r="I82" s="196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ht="22.5" customHeight="1">
      <c r="A83" s="198"/>
      <c r="B83" s="198"/>
      <c r="C83" s="194"/>
      <c r="D83" s="198"/>
      <c r="E83" s="198"/>
      <c r="F83" s="196"/>
      <c r="G83" s="196"/>
      <c r="H83" s="196"/>
      <c r="I83" s="196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ht="22.5" customHeight="1">
      <c r="A84" s="195"/>
      <c r="B84" s="195"/>
      <c r="C84" s="194"/>
      <c r="D84" s="195"/>
      <c r="E84" s="195"/>
      <c r="F84" s="196"/>
      <c r="G84" s="196"/>
      <c r="H84" s="196"/>
      <c r="I84" s="196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ht="22.5" customHeight="1">
      <c r="A85" s="198"/>
      <c r="B85" s="198"/>
      <c r="C85" s="194"/>
      <c r="D85" s="198"/>
      <c r="E85" s="198"/>
      <c r="F85" s="196"/>
      <c r="G85" s="196"/>
      <c r="H85" s="196"/>
      <c r="I85" s="196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ht="22.5" customHeight="1">
      <c r="A86" s="195"/>
      <c r="B86" s="195"/>
      <c r="C86" s="194"/>
      <c r="D86" s="195"/>
      <c r="E86" s="195"/>
      <c r="F86" s="196"/>
      <c r="G86" s="196"/>
      <c r="H86" s="196"/>
      <c r="I86" s="196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ht="22.5" customHeight="1">
      <c r="A87" s="198"/>
      <c r="B87" s="198"/>
      <c r="C87" s="194"/>
      <c r="D87" s="198"/>
      <c r="E87" s="198"/>
      <c r="F87" s="196"/>
      <c r="G87" s="196"/>
      <c r="H87" s="196"/>
      <c r="I87" s="196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ht="22.5" customHeight="1">
      <c r="A88" s="195"/>
      <c r="B88" s="195"/>
      <c r="C88" s="194"/>
      <c r="D88" s="195"/>
      <c r="E88" s="195"/>
      <c r="F88" s="196"/>
      <c r="G88" s="196"/>
      <c r="H88" s="196"/>
      <c r="I88" s="196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ht="22.5" customHeight="1">
      <c r="A89" s="198"/>
      <c r="B89" s="198"/>
      <c r="C89" s="194"/>
      <c r="D89" s="198"/>
      <c r="E89" s="198"/>
      <c r="F89" s="196"/>
      <c r="G89" s="196"/>
      <c r="H89" s="196"/>
      <c r="I89" s="196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ht="22.5" customHeight="1">
      <c r="A90" s="195"/>
      <c r="B90" s="195"/>
      <c r="C90" s="194"/>
      <c r="D90" s="195"/>
      <c r="E90" s="195"/>
      <c r="F90" s="196"/>
      <c r="G90" s="196"/>
      <c r="H90" s="196"/>
      <c r="I90" s="196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ht="22.5" customHeight="1">
      <c r="A91" s="198"/>
      <c r="B91" s="198"/>
      <c r="C91" s="194"/>
      <c r="D91" s="198"/>
      <c r="E91" s="198"/>
      <c r="F91" s="196"/>
      <c r="G91" s="196"/>
      <c r="H91" s="196"/>
      <c r="I91" s="196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ht="22.5" customHeight="1">
      <c r="A92" s="195"/>
      <c r="B92" s="195"/>
      <c r="C92" s="194"/>
      <c r="D92" s="195"/>
      <c r="E92" s="195"/>
      <c r="F92" s="196"/>
      <c r="G92" s="196"/>
      <c r="H92" s="196"/>
      <c r="I92" s="196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ht="22.5" customHeight="1">
      <c r="A93" s="198"/>
      <c r="B93" s="198"/>
      <c r="C93" s="194"/>
      <c r="D93" s="198"/>
      <c r="E93" s="198"/>
      <c r="F93" s="196"/>
      <c r="G93" s="196"/>
      <c r="H93" s="196"/>
      <c r="I93" s="196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ht="22.5" customHeight="1">
      <c r="A94" s="195"/>
      <c r="B94" s="195"/>
      <c r="C94" s="194"/>
      <c r="D94" s="195"/>
      <c r="E94" s="195"/>
      <c r="F94" s="196"/>
      <c r="G94" s="196"/>
      <c r="H94" s="196"/>
      <c r="I94" s="196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ht="22.5" customHeight="1">
      <c r="A95" s="198"/>
      <c r="B95" s="198"/>
      <c r="C95" s="194"/>
      <c r="D95" s="198"/>
      <c r="E95" s="198"/>
      <c r="F95" s="196"/>
      <c r="G95" s="196"/>
      <c r="H95" s="196"/>
      <c r="I95" s="196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ht="22.5" customHeight="1">
      <c r="A96" s="195"/>
      <c r="B96" s="195"/>
      <c r="C96" s="194"/>
      <c r="D96" s="195"/>
      <c r="E96" s="195"/>
      <c r="F96" s="196"/>
      <c r="G96" s="196"/>
      <c r="H96" s="196"/>
      <c r="I96" s="196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ht="22.5" customHeight="1">
      <c r="A97" s="198"/>
      <c r="B97" s="198"/>
      <c r="C97" s="194"/>
      <c r="D97" s="198"/>
      <c r="E97" s="198"/>
      <c r="F97" s="196"/>
      <c r="G97" s="196"/>
      <c r="H97" s="196"/>
      <c r="I97" s="196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ht="22.5" customHeight="1">
      <c r="A98" s="195"/>
      <c r="B98" s="195"/>
      <c r="C98" s="194"/>
      <c r="D98" s="195"/>
      <c r="E98" s="195"/>
      <c r="F98" s="196"/>
      <c r="G98" s="196"/>
      <c r="H98" s="196"/>
      <c r="I98" s="196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ht="22.5" customHeight="1">
      <c r="A99" s="198"/>
      <c r="B99" s="198"/>
      <c r="C99" s="194"/>
      <c r="D99" s="198"/>
      <c r="E99" s="198"/>
      <c r="F99" s="196"/>
      <c r="G99" s="196"/>
      <c r="H99" s="196"/>
      <c r="I99" s="196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ht="22.5" customHeight="1">
      <c r="A100" s="195"/>
      <c r="B100" s="195"/>
      <c r="C100" s="194"/>
      <c r="D100" s="195"/>
      <c r="E100" s="195"/>
      <c r="F100" s="196"/>
      <c r="G100" s="196"/>
      <c r="H100" s="196"/>
      <c r="I100" s="196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ht="22.5" customHeight="1">
      <c r="A101" s="198"/>
      <c r="B101" s="198"/>
      <c r="C101" s="194"/>
      <c r="D101" s="198"/>
      <c r="E101" s="198"/>
      <c r="F101" s="196"/>
      <c r="G101" s="196"/>
      <c r="H101" s="196"/>
      <c r="I101" s="196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ht="22.5" customHeight="1">
      <c r="A102" s="195"/>
      <c r="B102" s="195"/>
      <c r="C102" s="194"/>
      <c r="D102" s="195"/>
      <c r="E102" s="195"/>
      <c r="F102" s="196"/>
      <c r="G102" s="196"/>
      <c r="H102" s="196"/>
      <c r="I102" s="196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ht="22.5" customHeight="1">
      <c r="A103" s="198"/>
      <c r="B103" s="198"/>
      <c r="C103" s="194"/>
      <c r="D103" s="198"/>
      <c r="E103" s="198"/>
      <c r="F103" s="196"/>
      <c r="G103" s="196"/>
      <c r="H103" s="196"/>
      <c r="I103" s="196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ht="22.5" customHeight="1">
      <c r="A104" s="195"/>
      <c r="B104" s="195"/>
      <c r="C104" s="194"/>
      <c r="D104" s="195"/>
      <c r="E104" s="195"/>
      <c r="F104" s="196"/>
      <c r="G104" s="196"/>
      <c r="H104" s="196"/>
      <c r="I104" s="196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ht="22.5" customHeight="1">
      <c r="A105" s="198"/>
      <c r="B105" s="198"/>
      <c r="C105" s="194"/>
      <c r="D105" s="198"/>
      <c r="E105" s="198"/>
      <c r="F105" s="196"/>
      <c r="G105" s="196"/>
      <c r="H105" s="196"/>
      <c r="I105" s="196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ht="22.5" customHeight="1">
      <c r="A106" s="195"/>
      <c r="B106" s="195"/>
      <c r="C106" s="194"/>
      <c r="D106" s="195"/>
      <c r="E106" s="195"/>
      <c r="F106" s="196"/>
      <c r="G106" s="196"/>
      <c r="H106" s="196"/>
      <c r="I106" s="196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ht="22.5" customHeight="1">
      <c r="A107" s="198"/>
      <c r="B107" s="198"/>
      <c r="C107" s="194"/>
      <c r="D107" s="198"/>
      <c r="E107" s="198"/>
      <c r="F107" s="196"/>
      <c r="G107" s="196"/>
      <c r="H107" s="196"/>
      <c r="I107" s="196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ht="22.5" customHeight="1">
      <c r="A108" s="195"/>
      <c r="B108" s="195"/>
      <c r="C108" s="194"/>
      <c r="D108" s="195"/>
      <c r="E108" s="195"/>
      <c r="F108" s="196"/>
      <c r="G108" s="196"/>
      <c r="H108" s="196"/>
      <c r="I108" s="196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ht="22.5" customHeight="1">
      <c r="A109" s="198"/>
      <c r="B109" s="198"/>
      <c r="C109" s="194"/>
      <c r="D109" s="198"/>
      <c r="E109" s="198"/>
      <c r="F109" s="196"/>
      <c r="G109" s="196"/>
      <c r="H109" s="196"/>
      <c r="I109" s="196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ht="22.5" customHeight="1">
      <c r="A110" s="195"/>
      <c r="B110" s="195"/>
      <c r="C110" s="194"/>
      <c r="D110" s="195"/>
      <c r="E110" s="195"/>
      <c r="F110" s="196"/>
      <c r="G110" s="196"/>
      <c r="H110" s="196"/>
      <c r="I110" s="196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ht="22.5" customHeight="1">
      <c r="A111" s="198"/>
      <c r="B111" s="198"/>
      <c r="C111" s="194"/>
      <c r="D111" s="198"/>
      <c r="E111" s="198"/>
      <c r="F111" s="196"/>
      <c r="G111" s="196"/>
      <c r="H111" s="196"/>
      <c r="I111" s="196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ht="22.5" customHeight="1">
      <c r="A112" s="195"/>
      <c r="B112" s="195"/>
      <c r="C112" s="194"/>
      <c r="D112" s="195"/>
      <c r="E112" s="195"/>
      <c r="F112" s="196"/>
      <c r="G112" s="196"/>
      <c r="H112" s="196"/>
      <c r="I112" s="196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ht="22.5" customHeight="1">
      <c r="A113" s="198"/>
      <c r="B113" s="198"/>
      <c r="C113" s="194"/>
      <c r="D113" s="198"/>
      <c r="E113" s="198"/>
      <c r="F113" s="196"/>
      <c r="G113" s="196"/>
      <c r="H113" s="196"/>
      <c r="I113" s="196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ht="22.5" customHeight="1">
      <c r="A114" s="195"/>
      <c r="B114" s="195"/>
      <c r="C114" s="194"/>
      <c r="D114" s="195"/>
      <c r="E114" s="195"/>
      <c r="F114" s="196"/>
      <c r="G114" s="196"/>
      <c r="H114" s="196"/>
      <c r="I114" s="196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ht="22.5" customHeight="1">
      <c r="A115" s="198"/>
      <c r="B115" s="198"/>
      <c r="C115" s="194"/>
      <c r="D115" s="198"/>
      <c r="E115" s="198"/>
      <c r="F115" s="196"/>
      <c r="G115" s="196"/>
      <c r="H115" s="196"/>
      <c r="I115" s="196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ht="22.5" customHeight="1">
      <c r="A116" s="195"/>
      <c r="B116" s="195"/>
      <c r="C116" s="194"/>
      <c r="D116" s="195"/>
      <c r="E116" s="195"/>
      <c r="F116" s="196"/>
      <c r="G116" s="196"/>
      <c r="H116" s="196"/>
      <c r="I116" s="196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ht="22.5" customHeight="1">
      <c r="A117" s="198"/>
      <c r="B117" s="198"/>
      <c r="C117" s="194"/>
      <c r="D117" s="198"/>
      <c r="E117" s="198"/>
      <c r="F117" s="196"/>
      <c r="G117" s="196"/>
      <c r="H117" s="196"/>
      <c r="I117" s="196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ht="22.5" customHeight="1">
      <c r="A118" s="195"/>
      <c r="B118" s="195"/>
      <c r="C118" s="194"/>
      <c r="D118" s="195"/>
      <c r="E118" s="195"/>
      <c r="F118" s="196"/>
      <c r="G118" s="196"/>
      <c r="H118" s="196"/>
      <c r="I118" s="196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ht="22.5" customHeight="1">
      <c r="A119" s="198"/>
      <c r="B119" s="198"/>
      <c r="C119" s="194"/>
      <c r="D119" s="198"/>
      <c r="E119" s="198"/>
      <c r="F119" s="196"/>
      <c r="G119" s="196"/>
      <c r="H119" s="196"/>
      <c r="I119" s="196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ht="22.5" customHeight="1">
      <c r="A120" s="195"/>
      <c r="B120" s="195"/>
      <c r="C120" s="194"/>
      <c r="D120" s="195"/>
      <c r="E120" s="195"/>
      <c r="F120" s="196"/>
      <c r="G120" s="196"/>
      <c r="H120" s="196"/>
      <c r="I120" s="196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ht="22.5" customHeight="1">
      <c r="A121" s="198"/>
      <c r="B121" s="198"/>
      <c r="C121" s="194"/>
      <c r="D121" s="198"/>
      <c r="E121" s="198"/>
      <c r="F121" s="196"/>
      <c r="G121" s="196"/>
      <c r="H121" s="196"/>
      <c r="I121" s="196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ht="22.5" customHeight="1">
      <c r="A122" s="195"/>
      <c r="B122" s="195"/>
      <c r="C122" s="194"/>
      <c r="D122" s="195"/>
      <c r="E122" s="195"/>
      <c r="F122" s="196"/>
      <c r="G122" s="196"/>
      <c r="H122" s="196"/>
      <c r="I122" s="196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ht="22.5" customHeight="1">
      <c r="A123" s="198"/>
      <c r="B123" s="198"/>
      <c r="C123" s="194"/>
      <c r="D123" s="198"/>
      <c r="E123" s="198"/>
      <c r="F123" s="196"/>
      <c r="G123" s="196"/>
      <c r="H123" s="196"/>
      <c r="I123" s="196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ht="22.5" customHeight="1">
      <c r="A124" s="195"/>
      <c r="B124" s="195"/>
      <c r="C124" s="194"/>
      <c r="D124" s="195"/>
      <c r="E124" s="195"/>
      <c r="F124" s="196"/>
      <c r="G124" s="196"/>
      <c r="H124" s="196"/>
      <c r="I124" s="196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ht="22.5" customHeight="1">
      <c r="A125" s="198"/>
      <c r="B125" s="198"/>
      <c r="C125" s="194"/>
      <c r="D125" s="198"/>
      <c r="E125" s="198"/>
      <c r="F125" s="196"/>
      <c r="G125" s="196"/>
      <c r="H125" s="196"/>
      <c r="I125" s="196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ht="22.5" customHeight="1">
      <c r="A126" s="195"/>
      <c r="B126" s="195"/>
      <c r="C126" s="194"/>
      <c r="D126" s="195"/>
      <c r="E126" s="195"/>
      <c r="F126" s="196"/>
      <c r="G126" s="196"/>
      <c r="H126" s="196"/>
      <c r="I126" s="196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ht="22.5" customHeight="1">
      <c r="A127" s="198"/>
      <c r="B127" s="198"/>
      <c r="C127" s="194"/>
      <c r="D127" s="198"/>
      <c r="E127" s="198"/>
      <c r="F127" s="196"/>
      <c r="G127" s="196"/>
      <c r="H127" s="196"/>
      <c r="I127" s="196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ht="22.5" customHeight="1">
      <c r="A128" s="195"/>
      <c r="B128" s="195"/>
      <c r="C128" s="194"/>
      <c r="D128" s="195"/>
      <c r="E128" s="195"/>
      <c r="F128" s="196"/>
      <c r="G128" s="196"/>
      <c r="H128" s="196"/>
      <c r="I128" s="196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ht="22.5" customHeight="1">
      <c r="A129" s="198"/>
      <c r="B129" s="198"/>
      <c r="C129" s="194"/>
      <c r="D129" s="198"/>
      <c r="E129" s="198"/>
      <c r="F129" s="196"/>
      <c r="G129" s="196"/>
      <c r="H129" s="196"/>
      <c r="I129" s="196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ht="22.5" customHeight="1">
      <c r="A130" s="195"/>
      <c r="B130" s="195"/>
      <c r="C130" s="194"/>
      <c r="D130" s="195"/>
      <c r="E130" s="195"/>
      <c r="F130" s="196"/>
      <c r="G130" s="196"/>
      <c r="H130" s="196"/>
      <c r="I130" s="196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ht="22.5" customHeight="1">
      <c r="A131" s="198"/>
      <c r="B131" s="198"/>
      <c r="C131" s="194"/>
      <c r="D131" s="198"/>
      <c r="E131" s="198"/>
      <c r="F131" s="196"/>
      <c r="G131" s="196"/>
      <c r="H131" s="196"/>
      <c r="I131" s="196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ht="22.5" customHeight="1">
      <c r="A132" s="195"/>
      <c r="B132" s="195"/>
      <c r="C132" s="194"/>
      <c r="D132" s="195"/>
      <c r="E132" s="195"/>
      <c r="F132" s="196"/>
      <c r="G132" s="196"/>
      <c r="H132" s="196"/>
      <c r="I132" s="196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ht="22.5" customHeight="1">
      <c r="A133" s="198"/>
      <c r="B133" s="198"/>
      <c r="C133" s="194"/>
      <c r="D133" s="198"/>
      <c r="E133" s="198"/>
      <c r="F133" s="196"/>
      <c r="G133" s="196"/>
      <c r="H133" s="196"/>
      <c r="I133" s="196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ht="22.5" customHeight="1">
      <c r="A134" s="195"/>
      <c r="B134" s="195"/>
      <c r="C134" s="194"/>
      <c r="D134" s="195"/>
      <c r="E134" s="195"/>
      <c r="F134" s="196"/>
      <c r="G134" s="196"/>
      <c r="H134" s="196"/>
      <c r="I134" s="196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ht="22.5" customHeight="1">
      <c r="A135" s="198"/>
      <c r="B135" s="198"/>
      <c r="C135" s="194"/>
      <c r="D135" s="198"/>
      <c r="E135" s="198"/>
      <c r="F135" s="196"/>
      <c r="G135" s="196"/>
      <c r="H135" s="196"/>
      <c r="I135" s="196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ht="22.5" customHeight="1">
      <c r="A136" s="195"/>
      <c r="B136" s="195"/>
      <c r="C136" s="194"/>
      <c r="D136" s="195"/>
      <c r="E136" s="195"/>
      <c r="F136" s="196"/>
      <c r="G136" s="196"/>
      <c r="H136" s="196"/>
      <c r="I136" s="196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ht="22.5" customHeight="1">
      <c r="A137" s="198"/>
      <c r="B137" s="198"/>
      <c r="C137" s="194"/>
      <c r="D137" s="198"/>
      <c r="E137" s="198"/>
      <c r="F137" s="196"/>
      <c r="G137" s="196"/>
      <c r="H137" s="196"/>
      <c r="I137" s="196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ht="22.5" customHeight="1">
      <c r="A138" s="195"/>
      <c r="B138" s="195"/>
      <c r="C138" s="194"/>
      <c r="D138" s="195"/>
      <c r="E138" s="195"/>
      <c r="F138" s="196"/>
      <c r="G138" s="196"/>
      <c r="H138" s="196"/>
      <c r="I138" s="196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ht="22.5" customHeight="1">
      <c r="A139" s="198"/>
      <c r="B139" s="198"/>
      <c r="C139" s="194"/>
      <c r="D139" s="198"/>
      <c r="E139" s="198"/>
      <c r="F139" s="196"/>
      <c r="G139" s="196"/>
      <c r="H139" s="196"/>
      <c r="I139" s="196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ht="22.5" customHeight="1">
      <c r="A140" s="195"/>
      <c r="B140" s="195"/>
      <c r="C140" s="194"/>
      <c r="D140" s="195"/>
      <c r="E140" s="195"/>
      <c r="F140" s="196"/>
      <c r="G140" s="196"/>
      <c r="H140" s="196"/>
      <c r="I140" s="196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ht="22.5" customHeight="1">
      <c r="A141" s="198"/>
      <c r="B141" s="198"/>
      <c r="C141" s="194"/>
      <c r="D141" s="198"/>
      <c r="E141" s="198"/>
      <c r="F141" s="196"/>
      <c r="G141" s="196"/>
      <c r="H141" s="196"/>
      <c r="I141" s="196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ht="22.5" customHeight="1">
      <c r="A142" s="195"/>
      <c r="B142" s="195"/>
      <c r="C142" s="194"/>
      <c r="D142" s="195"/>
      <c r="E142" s="195"/>
      <c r="F142" s="196"/>
      <c r="G142" s="196"/>
      <c r="H142" s="196"/>
      <c r="I142" s="196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ht="22.5" customHeight="1">
      <c r="A143" s="198"/>
      <c r="B143" s="198"/>
      <c r="C143" s="194"/>
      <c r="D143" s="198"/>
      <c r="E143" s="198"/>
      <c r="F143" s="196"/>
      <c r="G143" s="196"/>
      <c r="H143" s="196"/>
      <c r="I143" s="196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ht="22.5" customHeight="1">
      <c r="A144" s="195"/>
      <c r="B144" s="195"/>
      <c r="C144" s="194"/>
      <c r="D144" s="195"/>
      <c r="E144" s="195"/>
      <c r="F144" s="196"/>
      <c r="G144" s="196"/>
      <c r="H144" s="196"/>
      <c r="I144" s="196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ht="22.5" customHeight="1">
      <c r="A145" s="198"/>
      <c r="B145" s="198"/>
      <c r="C145" s="194"/>
      <c r="D145" s="198"/>
      <c r="E145" s="198"/>
      <c r="F145" s="196"/>
      <c r="G145" s="196"/>
      <c r="H145" s="196"/>
      <c r="I145" s="196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ht="22.5" customHeight="1">
      <c r="A146" s="195"/>
      <c r="B146" s="195"/>
      <c r="C146" s="194"/>
      <c r="D146" s="195"/>
      <c r="E146" s="195"/>
      <c r="F146" s="196"/>
      <c r="G146" s="196"/>
      <c r="H146" s="196"/>
      <c r="I146" s="196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ht="22.5" customHeight="1">
      <c r="A147" s="198"/>
      <c r="B147" s="198"/>
      <c r="C147" s="194"/>
      <c r="D147" s="198"/>
      <c r="E147" s="198"/>
      <c r="F147" s="196"/>
      <c r="G147" s="196"/>
      <c r="H147" s="196"/>
      <c r="I147" s="196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 ht="22.5" customHeight="1">
      <c r="A148" s="195"/>
      <c r="B148" s="195"/>
      <c r="C148" s="194"/>
      <c r="D148" s="195"/>
      <c r="E148" s="195"/>
      <c r="F148" s="196"/>
      <c r="G148" s="196"/>
      <c r="H148" s="196"/>
      <c r="I148" s="196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 ht="22.5" customHeight="1">
      <c r="A149" s="198"/>
      <c r="B149" s="198"/>
      <c r="C149" s="194"/>
      <c r="D149" s="198"/>
      <c r="E149" s="198"/>
      <c r="F149" s="196"/>
      <c r="G149" s="196"/>
      <c r="H149" s="196"/>
      <c r="I149" s="196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ht="22.5" customHeight="1">
      <c r="A150" s="195"/>
      <c r="B150" s="195"/>
      <c r="C150" s="194"/>
      <c r="D150" s="195"/>
      <c r="E150" s="195"/>
      <c r="F150" s="196"/>
      <c r="G150" s="196"/>
      <c r="H150" s="196"/>
      <c r="I150" s="196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 ht="22.5" customHeight="1">
      <c r="A151" s="198"/>
      <c r="B151" s="198"/>
      <c r="C151" s="194"/>
      <c r="D151" s="198"/>
      <c r="E151" s="198"/>
      <c r="F151" s="196"/>
      <c r="G151" s="196"/>
      <c r="H151" s="196"/>
      <c r="I151" s="196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 ht="22.5" customHeight="1">
      <c r="A152" s="195"/>
      <c r="B152" s="195"/>
      <c r="C152" s="194"/>
      <c r="D152" s="195"/>
      <c r="E152" s="195"/>
      <c r="F152" s="196"/>
      <c r="G152" s="196"/>
      <c r="H152" s="196"/>
      <c r="I152" s="196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 ht="22.5" customHeight="1">
      <c r="A153" s="198"/>
      <c r="B153" s="198"/>
      <c r="C153" s="194"/>
      <c r="D153" s="198"/>
      <c r="E153" s="198"/>
      <c r="F153" s="196"/>
      <c r="G153" s="196"/>
      <c r="H153" s="196"/>
      <c r="I153" s="196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 ht="22.5" customHeight="1">
      <c r="A154" s="195"/>
      <c r="B154" s="195"/>
      <c r="C154" s="194"/>
      <c r="D154" s="195"/>
      <c r="E154" s="195"/>
      <c r="F154" s="196"/>
      <c r="G154" s="196"/>
      <c r="H154" s="196"/>
      <c r="I154" s="196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ht="22.5" customHeight="1">
      <c r="A155" s="198"/>
      <c r="B155" s="198"/>
      <c r="C155" s="194"/>
      <c r="D155" s="198"/>
      <c r="E155" s="198"/>
      <c r="F155" s="196"/>
      <c r="G155" s="196"/>
      <c r="H155" s="196"/>
      <c r="I155" s="196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ht="22.5" customHeight="1">
      <c r="A156" s="195"/>
      <c r="B156" s="195"/>
      <c r="C156" s="194"/>
      <c r="D156" s="195"/>
      <c r="E156" s="195"/>
      <c r="F156" s="196"/>
      <c r="G156" s="196"/>
      <c r="H156" s="196"/>
      <c r="I156" s="196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ht="22.5" customHeight="1">
      <c r="A157" s="198"/>
      <c r="B157" s="198"/>
      <c r="C157" s="194"/>
      <c r="D157" s="198"/>
      <c r="E157" s="198"/>
      <c r="F157" s="196"/>
      <c r="G157" s="196"/>
      <c r="H157" s="196"/>
      <c r="I157" s="196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ht="22.5" customHeight="1">
      <c r="A158" s="195"/>
      <c r="B158" s="195"/>
      <c r="C158" s="194"/>
      <c r="D158" s="195"/>
      <c r="E158" s="195"/>
      <c r="F158" s="196"/>
      <c r="G158" s="196"/>
      <c r="H158" s="196"/>
      <c r="I158" s="196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ht="22.5" customHeight="1">
      <c r="A159" s="198"/>
      <c r="B159" s="198"/>
      <c r="C159" s="194"/>
      <c r="D159" s="198"/>
      <c r="E159" s="198"/>
      <c r="F159" s="196"/>
      <c r="G159" s="196"/>
      <c r="H159" s="196"/>
      <c r="I159" s="196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ht="22.5" customHeight="1">
      <c r="A160" s="195"/>
      <c r="B160" s="195"/>
      <c r="C160" s="194"/>
      <c r="D160" s="195"/>
      <c r="E160" s="195"/>
      <c r="F160" s="196"/>
      <c r="G160" s="196"/>
      <c r="H160" s="196"/>
      <c r="I160" s="196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ht="22.5" customHeight="1">
      <c r="A161" s="198"/>
      <c r="B161" s="198"/>
      <c r="C161" s="194"/>
      <c r="D161" s="198"/>
      <c r="E161" s="198"/>
      <c r="F161" s="196"/>
      <c r="G161" s="196"/>
      <c r="H161" s="196"/>
      <c r="I161" s="196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ht="22.5" customHeight="1">
      <c r="A162" s="195"/>
      <c r="B162" s="195"/>
      <c r="C162" s="194"/>
      <c r="D162" s="195"/>
      <c r="E162" s="195"/>
      <c r="F162" s="196"/>
      <c r="G162" s="196"/>
      <c r="H162" s="196"/>
      <c r="I162" s="196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ht="22.5" customHeight="1">
      <c r="A163" s="198"/>
      <c r="B163" s="198"/>
      <c r="C163" s="194"/>
      <c r="D163" s="198"/>
      <c r="E163" s="198"/>
      <c r="F163" s="196"/>
      <c r="G163" s="196"/>
      <c r="H163" s="196"/>
      <c r="I163" s="196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ht="22.5" customHeight="1">
      <c r="A164" s="195"/>
      <c r="B164" s="195"/>
      <c r="C164" s="194"/>
      <c r="D164" s="195"/>
      <c r="E164" s="195"/>
      <c r="F164" s="196"/>
      <c r="G164" s="196"/>
      <c r="H164" s="196"/>
      <c r="I164" s="196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ht="22.5" customHeight="1">
      <c r="A165" s="198"/>
      <c r="B165" s="198"/>
      <c r="C165" s="194"/>
      <c r="D165" s="198"/>
      <c r="E165" s="198"/>
      <c r="F165" s="196"/>
      <c r="G165" s="196"/>
      <c r="H165" s="196"/>
      <c r="I165" s="196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ht="22.5" customHeight="1">
      <c r="A166" s="195"/>
      <c r="B166" s="195"/>
      <c r="C166" s="194"/>
      <c r="D166" s="195"/>
      <c r="E166" s="195"/>
      <c r="F166" s="196"/>
      <c r="G166" s="196"/>
      <c r="H166" s="196"/>
      <c r="I166" s="196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ht="22.5" customHeight="1">
      <c r="A167" s="198"/>
      <c r="B167" s="198"/>
      <c r="C167" s="194"/>
      <c r="D167" s="198"/>
      <c r="E167" s="198"/>
      <c r="F167" s="196"/>
      <c r="G167" s="196"/>
      <c r="H167" s="196"/>
      <c r="I167" s="196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ht="22.5" customHeight="1">
      <c r="A168" s="195"/>
      <c r="B168" s="195"/>
      <c r="C168" s="194"/>
      <c r="D168" s="195"/>
      <c r="E168" s="195"/>
      <c r="F168" s="196"/>
      <c r="G168" s="196"/>
      <c r="H168" s="196"/>
      <c r="I168" s="196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ht="22.5" customHeight="1">
      <c r="A169" s="198"/>
      <c r="B169" s="198"/>
      <c r="C169" s="194"/>
      <c r="D169" s="198"/>
      <c r="E169" s="198"/>
      <c r="F169" s="196"/>
      <c r="G169" s="196"/>
      <c r="H169" s="196"/>
      <c r="I169" s="196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ht="22.5" customHeight="1">
      <c r="A170" s="195"/>
      <c r="B170" s="195"/>
      <c r="C170" s="194"/>
      <c r="D170" s="195"/>
      <c r="E170" s="195"/>
      <c r="F170" s="196"/>
      <c r="G170" s="196"/>
      <c r="H170" s="196"/>
      <c r="I170" s="196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ht="22.5" customHeight="1">
      <c r="A171" s="198"/>
      <c r="B171" s="198"/>
      <c r="C171" s="194"/>
      <c r="D171" s="198"/>
      <c r="E171" s="198"/>
      <c r="F171" s="196"/>
      <c r="G171" s="196"/>
      <c r="H171" s="196"/>
      <c r="I171" s="196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ht="22.5" customHeight="1">
      <c r="A172" s="195"/>
      <c r="B172" s="195"/>
      <c r="C172" s="194"/>
      <c r="D172" s="195"/>
      <c r="E172" s="195"/>
      <c r="F172" s="196"/>
      <c r="G172" s="196"/>
      <c r="H172" s="196"/>
      <c r="I172" s="196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ht="22.5" customHeight="1">
      <c r="A173" s="198"/>
      <c r="B173" s="198"/>
      <c r="C173" s="194"/>
      <c r="D173" s="198"/>
      <c r="E173" s="198"/>
      <c r="F173" s="196"/>
      <c r="G173" s="196"/>
      <c r="H173" s="196"/>
      <c r="I173" s="196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ht="22.5" customHeight="1">
      <c r="A174" s="195"/>
      <c r="B174" s="195"/>
      <c r="C174" s="194"/>
      <c r="D174" s="195"/>
      <c r="E174" s="195"/>
      <c r="F174" s="196"/>
      <c r="G174" s="196"/>
      <c r="H174" s="196"/>
      <c r="I174" s="196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ht="22.5" customHeight="1">
      <c r="A175" s="198"/>
      <c r="B175" s="198"/>
      <c r="C175" s="194"/>
      <c r="D175" s="198"/>
      <c r="E175" s="198"/>
      <c r="F175" s="196"/>
      <c r="G175" s="196"/>
      <c r="H175" s="196"/>
      <c r="I175" s="196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ht="22.5" customHeight="1">
      <c r="A176" s="195"/>
      <c r="B176" s="195"/>
      <c r="C176" s="194"/>
      <c r="D176" s="195"/>
      <c r="E176" s="195"/>
      <c r="F176" s="196"/>
      <c r="G176" s="196"/>
      <c r="H176" s="196"/>
      <c r="I176" s="196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ht="22.5" customHeight="1">
      <c r="A177" s="198"/>
      <c r="B177" s="198"/>
      <c r="C177" s="194"/>
      <c r="D177" s="198"/>
      <c r="E177" s="198"/>
      <c r="F177" s="196"/>
      <c r="G177" s="196"/>
      <c r="H177" s="196"/>
      <c r="I177" s="196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ht="22.5" customHeight="1">
      <c r="A178" s="195"/>
      <c r="B178" s="195"/>
      <c r="C178" s="194"/>
      <c r="D178" s="195"/>
      <c r="E178" s="195"/>
      <c r="F178" s="196"/>
      <c r="G178" s="196"/>
      <c r="H178" s="196"/>
      <c r="I178" s="196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ht="22.5" customHeight="1">
      <c r="A179" s="198"/>
      <c r="B179" s="198"/>
      <c r="C179" s="194"/>
      <c r="D179" s="198"/>
      <c r="E179" s="198"/>
      <c r="F179" s="196"/>
      <c r="G179" s="196"/>
      <c r="H179" s="196"/>
      <c r="I179" s="196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ht="22.5" customHeight="1">
      <c r="A180" s="195"/>
      <c r="B180" s="195"/>
      <c r="C180" s="194"/>
      <c r="D180" s="195"/>
      <c r="E180" s="195"/>
      <c r="F180" s="196"/>
      <c r="G180" s="196"/>
      <c r="H180" s="196"/>
      <c r="I180" s="196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ht="22.5" customHeight="1">
      <c r="A181" s="198"/>
      <c r="B181" s="198"/>
      <c r="C181" s="194"/>
      <c r="D181" s="198"/>
      <c r="E181" s="198"/>
      <c r="F181" s="196"/>
      <c r="G181" s="196"/>
      <c r="H181" s="196"/>
      <c r="I181" s="196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ht="22.5" customHeight="1">
      <c r="A182" s="195"/>
      <c r="B182" s="195"/>
      <c r="C182" s="194"/>
      <c r="D182" s="195"/>
      <c r="E182" s="195"/>
      <c r="F182" s="196"/>
      <c r="G182" s="196"/>
      <c r="H182" s="196"/>
      <c r="I182" s="196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ht="22.5" customHeight="1">
      <c r="A183" s="198"/>
      <c r="B183" s="198"/>
      <c r="C183" s="194"/>
      <c r="D183" s="198"/>
      <c r="E183" s="198"/>
      <c r="F183" s="196"/>
      <c r="G183" s="196"/>
      <c r="H183" s="196"/>
      <c r="I183" s="196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ht="22.5" customHeight="1">
      <c r="A184" s="195"/>
      <c r="B184" s="195"/>
      <c r="C184" s="194"/>
      <c r="D184" s="195"/>
      <c r="E184" s="195"/>
      <c r="F184" s="196"/>
      <c r="G184" s="196"/>
      <c r="H184" s="196"/>
      <c r="I184" s="196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ht="22.5" customHeight="1">
      <c r="A185" s="198"/>
      <c r="B185" s="198"/>
      <c r="C185" s="194"/>
      <c r="D185" s="198"/>
      <c r="E185" s="198"/>
      <c r="F185" s="196"/>
      <c r="G185" s="196"/>
      <c r="H185" s="196"/>
      <c r="I185" s="196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ht="22.5" customHeight="1">
      <c r="A186" s="195"/>
      <c r="B186" s="195"/>
      <c r="C186" s="194"/>
      <c r="D186" s="195"/>
      <c r="E186" s="195"/>
      <c r="F186" s="196"/>
      <c r="G186" s="196"/>
      <c r="H186" s="196"/>
      <c r="I186" s="196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ht="22.5" customHeight="1">
      <c r="A187" s="198"/>
      <c r="B187" s="198"/>
      <c r="C187" s="194"/>
      <c r="D187" s="198"/>
      <c r="E187" s="198"/>
      <c r="F187" s="196"/>
      <c r="G187" s="196"/>
      <c r="H187" s="196"/>
      <c r="I187" s="196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ht="22.5" customHeight="1">
      <c r="A188" s="195"/>
      <c r="B188" s="195"/>
      <c r="C188" s="194"/>
      <c r="D188" s="195"/>
      <c r="E188" s="195"/>
      <c r="F188" s="196"/>
      <c r="G188" s="196"/>
      <c r="H188" s="196"/>
      <c r="I188" s="196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ht="22.5" customHeight="1">
      <c r="A189" s="198"/>
      <c r="B189" s="198"/>
      <c r="C189" s="194"/>
      <c r="D189" s="198"/>
      <c r="E189" s="198"/>
      <c r="F189" s="196"/>
      <c r="G189" s="196"/>
      <c r="H189" s="196"/>
      <c r="I189" s="196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ht="22.5" customHeight="1">
      <c r="A190" s="195"/>
      <c r="B190" s="195"/>
      <c r="C190" s="194"/>
      <c r="D190" s="195"/>
      <c r="E190" s="195"/>
      <c r="F190" s="196"/>
      <c r="G190" s="196"/>
      <c r="H190" s="196"/>
      <c r="I190" s="196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ht="22.5" customHeight="1">
      <c r="A191" s="198"/>
      <c r="B191" s="198"/>
      <c r="C191" s="194"/>
      <c r="D191" s="198"/>
      <c r="E191" s="198"/>
      <c r="F191" s="196"/>
      <c r="G191" s="196"/>
      <c r="H191" s="196"/>
      <c r="I191" s="196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ht="22.5" customHeight="1">
      <c r="A192" s="195"/>
      <c r="B192" s="195"/>
      <c r="C192" s="194"/>
      <c r="D192" s="195"/>
      <c r="E192" s="195"/>
      <c r="F192" s="196"/>
      <c r="G192" s="196"/>
      <c r="H192" s="196"/>
      <c r="I192" s="196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ht="22.5" customHeight="1">
      <c r="A193" s="198"/>
      <c r="B193" s="198"/>
      <c r="C193" s="194"/>
      <c r="D193" s="198"/>
      <c r="E193" s="198"/>
      <c r="F193" s="196"/>
      <c r="G193" s="196"/>
      <c r="H193" s="196"/>
      <c r="I193" s="196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ht="22.5" customHeight="1">
      <c r="A194" s="195"/>
      <c r="B194" s="195"/>
      <c r="C194" s="194"/>
      <c r="D194" s="195"/>
      <c r="E194" s="195"/>
      <c r="F194" s="196"/>
      <c r="G194" s="196"/>
      <c r="H194" s="196"/>
      <c r="I194" s="196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ht="22.5" customHeight="1">
      <c r="A195" s="198"/>
      <c r="B195" s="198"/>
      <c r="C195" s="194"/>
      <c r="D195" s="198"/>
      <c r="E195" s="198"/>
      <c r="F195" s="196"/>
      <c r="G195" s="196"/>
      <c r="H195" s="196"/>
      <c r="I195" s="196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ht="22.5" customHeight="1">
      <c r="A196" s="195"/>
      <c r="B196" s="195"/>
      <c r="C196" s="194"/>
      <c r="D196" s="195"/>
      <c r="E196" s="195"/>
      <c r="F196" s="196"/>
      <c r="G196" s="196"/>
      <c r="H196" s="196"/>
      <c r="I196" s="196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ht="22.5" customHeight="1">
      <c r="A197" s="198"/>
      <c r="B197" s="198"/>
      <c r="C197" s="194"/>
      <c r="D197" s="198"/>
      <c r="E197" s="198"/>
      <c r="F197" s="196"/>
      <c r="G197" s="196"/>
      <c r="H197" s="196"/>
      <c r="I197" s="196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ht="22.5" customHeight="1">
      <c r="A198" s="195"/>
      <c r="B198" s="195"/>
      <c r="C198" s="194"/>
      <c r="D198" s="195"/>
      <c r="E198" s="195"/>
      <c r="F198" s="196"/>
      <c r="G198" s="196"/>
      <c r="H198" s="196"/>
      <c r="I198" s="196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ht="22.5" customHeight="1">
      <c r="A199" s="198"/>
      <c r="B199" s="198"/>
      <c r="C199" s="194"/>
      <c r="D199" s="198"/>
      <c r="E199" s="198"/>
      <c r="F199" s="196"/>
      <c r="G199" s="196"/>
      <c r="H199" s="196"/>
      <c r="I199" s="196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ht="22.5" customHeight="1">
      <c r="A200" s="195"/>
      <c r="B200" s="195"/>
      <c r="C200" s="194"/>
      <c r="D200" s="195"/>
      <c r="E200" s="195"/>
      <c r="F200" s="196"/>
      <c r="G200" s="196"/>
      <c r="H200" s="196"/>
      <c r="I200" s="196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ht="22.5" customHeight="1">
      <c r="A201" s="198"/>
      <c r="B201" s="198"/>
      <c r="C201" s="194"/>
      <c r="D201" s="198"/>
      <c r="E201" s="198"/>
      <c r="F201" s="196"/>
      <c r="G201" s="196"/>
      <c r="H201" s="196"/>
      <c r="I201" s="196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ht="22.5" customHeight="1">
      <c r="A202" s="195"/>
      <c r="B202" s="195"/>
      <c r="C202" s="194"/>
      <c r="D202" s="195"/>
      <c r="E202" s="195"/>
      <c r="F202" s="196"/>
      <c r="G202" s="196"/>
      <c r="H202" s="196"/>
      <c r="I202" s="196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ht="22.5" customHeight="1">
      <c r="A203" s="198"/>
      <c r="B203" s="198"/>
      <c r="C203" s="194"/>
      <c r="D203" s="198"/>
      <c r="E203" s="198"/>
      <c r="F203" s="196"/>
      <c r="G203" s="196"/>
      <c r="H203" s="196"/>
      <c r="I203" s="196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ht="22.5" customHeight="1">
      <c r="A204" s="195"/>
      <c r="B204" s="195"/>
      <c r="C204" s="194"/>
      <c r="D204" s="195"/>
      <c r="E204" s="195"/>
      <c r="F204" s="196"/>
      <c r="G204" s="196"/>
      <c r="H204" s="196"/>
      <c r="I204" s="196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ht="22.5" customHeight="1">
      <c r="A205" s="198"/>
      <c r="B205" s="198"/>
      <c r="C205" s="194"/>
      <c r="D205" s="198"/>
      <c r="E205" s="198"/>
      <c r="F205" s="196"/>
      <c r="G205" s="196"/>
      <c r="H205" s="196"/>
      <c r="I205" s="196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ht="22.5" customHeight="1">
      <c r="A206" s="195"/>
      <c r="B206" s="195"/>
      <c r="C206" s="194"/>
      <c r="D206" s="195"/>
      <c r="E206" s="195"/>
      <c r="F206" s="196"/>
      <c r="G206" s="196"/>
      <c r="H206" s="196"/>
      <c r="I206" s="196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ht="22.5" customHeight="1">
      <c r="A207" s="198"/>
      <c r="B207" s="198"/>
      <c r="C207" s="194"/>
      <c r="D207" s="198"/>
      <c r="E207" s="198"/>
      <c r="F207" s="196"/>
      <c r="G207" s="196"/>
      <c r="H207" s="196"/>
      <c r="I207" s="196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ht="22.5" customHeight="1">
      <c r="A208" s="195"/>
      <c r="B208" s="195"/>
      <c r="C208" s="194"/>
      <c r="D208" s="195"/>
      <c r="E208" s="195"/>
      <c r="F208" s="196"/>
      <c r="G208" s="196"/>
      <c r="H208" s="196"/>
      <c r="I208" s="196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ht="22.5" customHeight="1">
      <c r="A209" s="198"/>
      <c r="B209" s="198"/>
      <c r="C209" s="194"/>
      <c r="D209" s="198"/>
      <c r="E209" s="198"/>
      <c r="F209" s="196"/>
      <c r="G209" s="196"/>
      <c r="H209" s="196"/>
      <c r="I209" s="196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ht="22.5" customHeight="1">
      <c r="A210" s="195"/>
      <c r="B210" s="195"/>
      <c r="C210" s="194"/>
      <c r="D210" s="195"/>
      <c r="E210" s="195"/>
      <c r="F210" s="196"/>
      <c r="G210" s="196"/>
      <c r="H210" s="196"/>
      <c r="I210" s="196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ht="22.5" customHeight="1">
      <c r="A211" s="198"/>
      <c r="B211" s="198"/>
      <c r="C211" s="194"/>
      <c r="D211" s="198"/>
      <c r="E211" s="198"/>
      <c r="F211" s="196"/>
      <c r="G211" s="196"/>
      <c r="H211" s="196"/>
      <c r="I211" s="196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ht="22.5" customHeight="1">
      <c r="A212" s="195"/>
      <c r="B212" s="195"/>
      <c r="C212" s="194"/>
      <c r="D212" s="195"/>
      <c r="E212" s="195"/>
      <c r="F212" s="196"/>
      <c r="G212" s="196"/>
      <c r="H212" s="196"/>
      <c r="I212" s="196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ht="22.5" customHeight="1">
      <c r="A213" s="198"/>
      <c r="B213" s="198"/>
      <c r="C213" s="194"/>
      <c r="D213" s="198"/>
      <c r="E213" s="198"/>
      <c r="F213" s="196"/>
      <c r="G213" s="196"/>
      <c r="H213" s="196"/>
      <c r="I213" s="196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ht="22.5" customHeight="1">
      <c r="A214" s="195"/>
      <c r="B214" s="195"/>
      <c r="C214" s="194"/>
      <c r="D214" s="195"/>
      <c r="E214" s="195"/>
      <c r="F214" s="196"/>
      <c r="G214" s="196"/>
      <c r="H214" s="196"/>
      <c r="I214" s="196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ht="22.5" customHeight="1">
      <c r="A215" s="198"/>
      <c r="B215" s="198"/>
      <c r="C215" s="194"/>
      <c r="D215" s="198"/>
      <c r="E215" s="198"/>
      <c r="F215" s="196"/>
      <c r="G215" s="196"/>
      <c r="H215" s="196"/>
      <c r="I215" s="196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ht="22.5" customHeight="1">
      <c r="A216" s="195"/>
      <c r="B216" s="195"/>
      <c r="C216" s="194"/>
      <c r="D216" s="195"/>
      <c r="E216" s="195"/>
      <c r="F216" s="196"/>
      <c r="G216" s="196"/>
      <c r="H216" s="196"/>
      <c r="I216" s="196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ht="22.5" customHeight="1">
      <c r="A217" s="198"/>
      <c r="B217" s="198"/>
      <c r="C217" s="194"/>
      <c r="D217" s="198"/>
      <c r="E217" s="198"/>
      <c r="F217" s="196"/>
      <c r="G217" s="196"/>
      <c r="H217" s="196"/>
      <c r="I217" s="196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ht="22.5" customHeight="1">
      <c r="A218" s="195"/>
      <c r="B218" s="195"/>
      <c r="C218" s="194"/>
      <c r="D218" s="195"/>
      <c r="E218" s="195"/>
      <c r="F218" s="196"/>
      <c r="G218" s="196"/>
      <c r="H218" s="196"/>
      <c r="I218" s="196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ht="22.5" customHeight="1">
      <c r="A219" s="198"/>
      <c r="B219" s="198"/>
      <c r="C219" s="194"/>
      <c r="D219" s="198"/>
      <c r="E219" s="198"/>
      <c r="F219" s="196"/>
      <c r="G219" s="196"/>
      <c r="H219" s="196"/>
      <c r="I219" s="196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ht="22.5" customHeight="1">
      <c r="A220" s="195"/>
      <c r="B220" s="195"/>
      <c r="C220" s="194"/>
      <c r="D220" s="195"/>
      <c r="E220" s="195"/>
      <c r="F220" s="196"/>
      <c r="G220" s="196"/>
      <c r="H220" s="196"/>
      <c r="I220" s="196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 ht="22.5" customHeight="1">
      <c r="A221" s="198"/>
      <c r="B221" s="198"/>
      <c r="C221" s="194"/>
      <c r="D221" s="198"/>
      <c r="E221" s="198"/>
      <c r="F221" s="196"/>
      <c r="G221" s="196"/>
      <c r="H221" s="196"/>
      <c r="I221" s="196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 ht="22.5" customHeight="1">
      <c r="A222" s="195"/>
      <c r="B222" s="195"/>
      <c r="C222" s="194"/>
      <c r="D222" s="195"/>
      <c r="E222" s="195"/>
      <c r="F222" s="196"/>
      <c r="G222" s="196"/>
      <c r="H222" s="196"/>
      <c r="I222" s="196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ht="22.5" customHeight="1">
      <c r="A223" s="198"/>
      <c r="B223" s="198"/>
      <c r="C223" s="194"/>
      <c r="D223" s="198"/>
      <c r="E223" s="198"/>
      <c r="F223" s="196"/>
      <c r="G223" s="196"/>
      <c r="H223" s="196"/>
      <c r="I223" s="196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 ht="22.5" customHeight="1">
      <c r="A224" s="195"/>
      <c r="B224" s="195"/>
      <c r="C224" s="194"/>
      <c r="D224" s="195"/>
      <c r="E224" s="195"/>
      <c r="F224" s="196"/>
      <c r="G224" s="196"/>
      <c r="H224" s="196"/>
      <c r="I224" s="196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 ht="22.5" customHeight="1">
      <c r="A225" s="198"/>
      <c r="B225" s="198"/>
      <c r="C225" s="194"/>
      <c r="D225" s="198"/>
      <c r="E225" s="198"/>
      <c r="F225" s="196"/>
      <c r="G225" s="196"/>
      <c r="H225" s="196"/>
      <c r="I225" s="196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 ht="22.5" customHeight="1">
      <c r="A226" s="195"/>
      <c r="B226" s="195"/>
      <c r="C226" s="194"/>
      <c r="D226" s="195"/>
      <c r="E226" s="195"/>
      <c r="F226" s="196"/>
      <c r="G226" s="196"/>
      <c r="H226" s="196"/>
      <c r="I226" s="196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 ht="22.5" customHeight="1">
      <c r="A227" s="198"/>
      <c r="B227" s="198"/>
      <c r="C227" s="194"/>
      <c r="D227" s="198"/>
      <c r="E227" s="198"/>
      <c r="F227" s="196"/>
      <c r="G227" s="196"/>
      <c r="H227" s="196"/>
      <c r="I227" s="196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 ht="22.5" customHeight="1">
      <c r="A228" s="195"/>
      <c r="B228" s="195"/>
      <c r="C228" s="194"/>
      <c r="D228" s="195"/>
      <c r="E228" s="195"/>
      <c r="F228" s="196"/>
      <c r="G228" s="196"/>
      <c r="H228" s="196"/>
      <c r="I228" s="196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 ht="22.5" customHeight="1">
      <c r="A229" s="198"/>
      <c r="B229" s="198"/>
      <c r="C229" s="194"/>
      <c r="D229" s="198"/>
      <c r="E229" s="198"/>
      <c r="F229" s="196"/>
      <c r="G229" s="196"/>
      <c r="H229" s="196"/>
      <c r="I229" s="196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 ht="22.5" customHeight="1">
      <c r="A230" s="195"/>
      <c r="B230" s="195"/>
      <c r="C230" s="194"/>
      <c r="D230" s="195"/>
      <c r="E230" s="195"/>
      <c r="F230" s="196"/>
      <c r="G230" s="196"/>
      <c r="H230" s="196"/>
      <c r="I230" s="196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 ht="22.5" customHeight="1">
      <c r="A231" s="198"/>
      <c r="B231" s="198"/>
      <c r="C231" s="194"/>
      <c r="D231" s="198"/>
      <c r="E231" s="198"/>
      <c r="F231" s="196"/>
      <c r="G231" s="196"/>
      <c r="H231" s="196"/>
      <c r="I231" s="196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 ht="22.5" customHeight="1">
      <c r="A232" s="195"/>
      <c r="B232" s="195"/>
      <c r="C232" s="194"/>
      <c r="D232" s="195"/>
      <c r="E232" s="195"/>
      <c r="F232" s="196"/>
      <c r="G232" s="196"/>
      <c r="H232" s="196"/>
      <c r="I232" s="196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 ht="22.5" customHeight="1">
      <c r="A233" s="198"/>
      <c r="B233" s="198"/>
      <c r="C233" s="194"/>
      <c r="D233" s="198"/>
      <c r="E233" s="198"/>
      <c r="F233" s="196"/>
      <c r="G233" s="196"/>
      <c r="H233" s="196"/>
      <c r="I233" s="196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 ht="22.5" customHeight="1">
      <c r="A234" s="195"/>
      <c r="B234" s="195"/>
      <c r="C234" s="194"/>
      <c r="D234" s="195"/>
      <c r="E234" s="195"/>
      <c r="F234" s="196"/>
      <c r="G234" s="196"/>
      <c r="H234" s="196"/>
      <c r="I234" s="196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 ht="22.5" customHeight="1">
      <c r="A235" s="198"/>
      <c r="B235" s="198"/>
      <c r="C235" s="194"/>
      <c r="D235" s="198"/>
      <c r="E235" s="198"/>
      <c r="F235" s="196"/>
      <c r="G235" s="196"/>
      <c r="H235" s="196"/>
      <c r="I235" s="196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 ht="22.5" customHeight="1">
      <c r="A236" s="195"/>
      <c r="B236" s="195"/>
      <c r="C236" s="194"/>
      <c r="D236" s="195"/>
      <c r="E236" s="195"/>
      <c r="F236" s="196"/>
      <c r="G236" s="196"/>
      <c r="H236" s="196"/>
      <c r="I236" s="196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 ht="22.5" customHeight="1">
      <c r="A237" s="198"/>
      <c r="B237" s="198"/>
      <c r="C237" s="194"/>
      <c r="D237" s="198"/>
      <c r="E237" s="198"/>
      <c r="F237" s="196"/>
      <c r="G237" s="196"/>
      <c r="H237" s="196"/>
      <c r="I237" s="196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 ht="22.5" customHeight="1">
      <c r="A238" s="195"/>
      <c r="B238" s="195"/>
      <c r="C238" s="194"/>
      <c r="D238" s="195"/>
      <c r="E238" s="195"/>
      <c r="F238" s="196"/>
      <c r="G238" s="196"/>
      <c r="H238" s="196"/>
      <c r="I238" s="196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 ht="22.5" customHeight="1">
      <c r="A239" s="198"/>
      <c r="B239" s="198"/>
      <c r="C239" s="194"/>
      <c r="D239" s="198"/>
      <c r="E239" s="198"/>
      <c r="F239" s="196"/>
      <c r="G239" s="196"/>
      <c r="H239" s="196"/>
      <c r="I239" s="196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 ht="22.5" customHeight="1">
      <c r="A240" s="195"/>
      <c r="B240" s="195"/>
      <c r="C240" s="194"/>
      <c r="D240" s="195"/>
      <c r="E240" s="195"/>
      <c r="F240" s="196"/>
      <c r="G240" s="196"/>
      <c r="H240" s="196"/>
      <c r="I240" s="196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 ht="22.5" customHeight="1">
      <c r="A241" s="198"/>
      <c r="B241" s="198"/>
      <c r="C241" s="194"/>
      <c r="D241" s="198"/>
      <c r="E241" s="198"/>
      <c r="F241" s="196"/>
      <c r="G241" s="196"/>
      <c r="H241" s="196"/>
      <c r="I241" s="196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 ht="22.5" customHeight="1">
      <c r="A242" s="195"/>
      <c r="B242" s="195"/>
      <c r="C242" s="194"/>
      <c r="D242" s="195"/>
      <c r="E242" s="195"/>
      <c r="F242" s="196"/>
      <c r="G242" s="196"/>
      <c r="H242" s="196"/>
      <c r="I242" s="196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 ht="22.5" customHeight="1">
      <c r="A243" s="198"/>
      <c r="B243" s="198"/>
      <c r="C243" s="194"/>
      <c r="D243" s="198"/>
      <c r="E243" s="198"/>
      <c r="F243" s="196"/>
      <c r="G243" s="196"/>
      <c r="H243" s="196"/>
      <c r="I243" s="196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 ht="22.5" customHeight="1">
      <c r="A244" s="195"/>
      <c r="B244" s="195"/>
      <c r="C244" s="194"/>
      <c r="D244" s="195"/>
      <c r="E244" s="195"/>
      <c r="F244" s="196"/>
      <c r="G244" s="196"/>
      <c r="H244" s="196"/>
      <c r="I244" s="196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 ht="22.5" customHeight="1">
      <c r="A245" s="198"/>
      <c r="B245" s="198"/>
      <c r="C245" s="194"/>
      <c r="D245" s="198"/>
      <c r="E245" s="198"/>
      <c r="F245" s="196"/>
      <c r="G245" s="196"/>
      <c r="H245" s="196"/>
      <c r="I245" s="196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 ht="22.5" customHeight="1">
      <c r="A246" s="195"/>
      <c r="B246" s="195"/>
      <c r="C246" s="194"/>
      <c r="D246" s="195"/>
      <c r="E246" s="195"/>
      <c r="F246" s="196"/>
      <c r="G246" s="196"/>
      <c r="H246" s="196"/>
      <c r="I246" s="196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 ht="22.5" customHeight="1">
      <c r="A247" s="198"/>
      <c r="B247" s="198"/>
      <c r="C247" s="194"/>
      <c r="D247" s="198"/>
      <c r="E247" s="198"/>
      <c r="F247" s="196"/>
      <c r="G247" s="196"/>
      <c r="H247" s="196"/>
      <c r="I247" s="196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 ht="22.5" customHeight="1">
      <c r="A248" s="195"/>
      <c r="B248" s="195"/>
      <c r="C248" s="194"/>
      <c r="D248" s="195"/>
      <c r="E248" s="195"/>
      <c r="F248" s="196"/>
      <c r="G248" s="196"/>
      <c r="H248" s="196"/>
      <c r="I248" s="196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 ht="22.5" customHeight="1">
      <c r="A249" s="198"/>
      <c r="B249" s="198"/>
      <c r="C249" s="194"/>
      <c r="D249" s="198"/>
      <c r="E249" s="198"/>
      <c r="F249" s="196"/>
      <c r="G249" s="196"/>
      <c r="H249" s="196"/>
      <c r="I249" s="196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 ht="22.5" customHeight="1">
      <c r="A250" s="195"/>
      <c r="B250" s="195"/>
      <c r="C250" s="194"/>
      <c r="D250" s="195"/>
      <c r="E250" s="195"/>
      <c r="F250" s="196"/>
      <c r="G250" s="196"/>
      <c r="H250" s="196"/>
      <c r="I250" s="196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 ht="22.5" customHeight="1">
      <c r="A251" s="198"/>
      <c r="B251" s="198"/>
      <c r="C251" s="194"/>
      <c r="D251" s="198"/>
      <c r="E251" s="198"/>
      <c r="F251" s="196"/>
      <c r="G251" s="196"/>
      <c r="H251" s="196"/>
      <c r="I251" s="196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ht="22.5" customHeight="1">
      <c r="A252" s="195"/>
      <c r="B252" s="195"/>
      <c r="C252" s="194"/>
      <c r="D252" s="195"/>
      <c r="E252" s="195"/>
      <c r="F252" s="196"/>
      <c r="G252" s="196"/>
      <c r="H252" s="196"/>
      <c r="I252" s="196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ht="22.5" customHeight="1">
      <c r="A253" s="198"/>
      <c r="B253" s="198"/>
      <c r="C253" s="194"/>
      <c r="D253" s="198"/>
      <c r="E253" s="198"/>
      <c r="F253" s="196"/>
      <c r="G253" s="196"/>
      <c r="H253" s="196"/>
      <c r="I253" s="196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86"/>
    <col customWidth="1" min="2" max="2" width="9.0"/>
    <col customWidth="1" min="3" max="3" width="44.43"/>
    <col customWidth="1" min="4" max="4" width="18.86"/>
    <col customWidth="1" min="5" max="5" width="15.57"/>
    <col customWidth="1" min="6" max="6" width="15.14"/>
    <col customWidth="1" min="11" max="11" width="53.14"/>
    <col customWidth="1" min="12" max="13" width="43.0"/>
  </cols>
  <sheetData>
    <row r="1" ht="22.5" customHeight="1">
      <c r="A1" s="201" t="s">
        <v>789</v>
      </c>
      <c r="B1" s="201" t="s">
        <v>154</v>
      </c>
      <c r="C1" s="201" t="s">
        <v>790</v>
      </c>
      <c r="D1" s="201" t="s">
        <v>791</v>
      </c>
      <c r="E1" s="201" t="s">
        <v>792</v>
      </c>
      <c r="F1" s="201" t="s">
        <v>793</v>
      </c>
      <c r="G1" s="201" t="s">
        <v>794</v>
      </c>
      <c r="H1" s="201" t="s">
        <v>795</v>
      </c>
      <c r="I1" s="201" t="s">
        <v>796</v>
      </c>
      <c r="J1" s="201" t="s">
        <v>797</v>
      </c>
      <c r="K1" s="201" t="s">
        <v>798</v>
      </c>
      <c r="L1" s="201" t="s">
        <v>799</v>
      </c>
      <c r="M1" s="201" t="s">
        <v>800</v>
      </c>
      <c r="N1" s="201" t="s">
        <v>801</v>
      </c>
      <c r="O1" s="201" t="s">
        <v>802</v>
      </c>
      <c r="P1" s="201" t="s">
        <v>803</v>
      </c>
      <c r="Q1" s="201" t="s">
        <v>804</v>
      </c>
      <c r="R1" s="201" t="s">
        <v>805</v>
      </c>
      <c r="S1" s="201" t="s">
        <v>806</v>
      </c>
      <c r="T1" s="201" t="s">
        <v>807</v>
      </c>
      <c r="U1" s="201" t="s">
        <v>808</v>
      </c>
      <c r="V1" s="201" t="s">
        <v>809</v>
      </c>
      <c r="W1" s="201" t="s">
        <v>810</v>
      </c>
      <c r="X1" s="201" t="s">
        <v>811</v>
      </c>
      <c r="Y1" s="201" t="s">
        <v>812</v>
      </c>
      <c r="Z1" s="201" t="s">
        <v>813</v>
      </c>
    </row>
    <row r="2" ht="45.75" customHeight="1">
      <c r="A2" s="202">
        <v>1.0</v>
      </c>
      <c r="B2" s="202" t="s">
        <v>814</v>
      </c>
      <c r="C2" s="202" t="s">
        <v>392</v>
      </c>
      <c r="D2" s="202" t="s">
        <v>161</v>
      </c>
      <c r="E2" s="202">
        <v>77.5</v>
      </c>
      <c r="F2" s="202">
        <v>9.0</v>
      </c>
      <c r="G2" s="202">
        <v>9.0</v>
      </c>
      <c r="H2" s="202">
        <v>8.0</v>
      </c>
      <c r="I2" s="202">
        <v>9.0</v>
      </c>
      <c r="J2" s="202">
        <v>10.0</v>
      </c>
      <c r="K2" s="202" t="s">
        <v>815</v>
      </c>
      <c r="L2" s="202" t="s">
        <v>816</v>
      </c>
      <c r="M2" s="202" t="s">
        <v>817</v>
      </c>
      <c r="N2" s="202">
        <v>8.0</v>
      </c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</row>
    <row r="3" ht="55.5" customHeight="1">
      <c r="A3" s="202">
        <v>19.0</v>
      </c>
      <c r="B3" s="202" t="s">
        <v>814</v>
      </c>
      <c r="C3" s="202" t="s">
        <v>163</v>
      </c>
      <c r="D3" s="202" t="s">
        <v>161</v>
      </c>
      <c r="E3" s="202">
        <v>73.0</v>
      </c>
      <c r="F3" s="202">
        <v>9.0</v>
      </c>
      <c r="G3" s="202">
        <v>8.0</v>
      </c>
      <c r="H3" s="202">
        <v>7.0</v>
      </c>
      <c r="I3" s="202">
        <v>8.0</v>
      </c>
      <c r="J3" s="202">
        <v>10.0</v>
      </c>
      <c r="K3" s="202" t="s">
        <v>818</v>
      </c>
      <c r="L3" s="202" t="s">
        <v>819</v>
      </c>
      <c r="M3" s="202" t="s">
        <v>820</v>
      </c>
      <c r="N3" s="202">
        <v>5.0</v>
      </c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 ht="55.5" customHeight="1">
      <c r="A4" s="202">
        <v>3.0</v>
      </c>
      <c r="B4" s="202" t="s">
        <v>814</v>
      </c>
      <c r="C4" s="202" t="s">
        <v>165</v>
      </c>
      <c r="D4" s="202" t="s">
        <v>166</v>
      </c>
      <c r="E4" s="202">
        <v>70.5</v>
      </c>
      <c r="F4" s="202">
        <v>8.0</v>
      </c>
      <c r="G4" s="202">
        <v>7.0</v>
      </c>
      <c r="H4" s="202">
        <v>8.0</v>
      </c>
      <c r="I4" s="202">
        <v>9.0</v>
      </c>
      <c r="J4" s="202">
        <v>8.0</v>
      </c>
      <c r="K4" s="202" t="s">
        <v>821</v>
      </c>
      <c r="L4" s="202" t="s">
        <v>822</v>
      </c>
      <c r="M4" s="202" t="s">
        <v>823</v>
      </c>
      <c r="N4" s="202">
        <v>7.0</v>
      </c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ht="63.75" customHeight="1">
      <c r="A5" s="202">
        <v>4.0</v>
      </c>
      <c r="B5" s="202" t="s">
        <v>824</v>
      </c>
      <c r="C5" s="202" t="s">
        <v>168</v>
      </c>
      <c r="D5" s="202" t="s">
        <v>170</v>
      </c>
      <c r="E5" s="202">
        <v>68.0</v>
      </c>
      <c r="F5" s="202">
        <v>8.0</v>
      </c>
      <c r="G5" s="202">
        <v>8.0</v>
      </c>
      <c r="H5" s="202">
        <v>7.0</v>
      </c>
      <c r="I5" s="202">
        <v>7.0</v>
      </c>
      <c r="J5" s="202">
        <v>5.0</v>
      </c>
      <c r="K5" s="202" t="s">
        <v>825</v>
      </c>
      <c r="L5" s="202" t="s">
        <v>826</v>
      </c>
      <c r="M5" s="202" t="s">
        <v>827</v>
      </c>
      <c r="N5" s="202">
        <v>6.0</v>
      </c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 ht="66.0" customHeight="1">
      <c r="A6" s="202">
        <v>2.0</v>
      </c>
      <c r="B6" s="202" t="s">
        <v>824</v>
      </c>
      <c r="C6" s="202" t="s">
        <v>172</v>
      </c>
      <c r="D6" s="202" t="s">
        <v>170</v>
      </c>
      <c r="E6" s="202">
        <v>62.5</v>
      </c>
      <c r="F6" s="202">
        <v>7.0</v>
      </c>
      <c r="G6" s="202">
        <v>6.0</v>
      </c>
      <c r="H6" s="202">
        <v>6.0</v>
      </c>
      <c r="I6" s="202">
        <v>8.0</v>
      </c>
      <c r="J6" s="202">
        <v>5.0</v>
      </c>
      <c r="K6" s="202" t="s">
        <v>828</v>
      </c>
      <c r="L6" s="202" t="s">
        <v>829</v>
      </c>
      <c r="M6" s="202" t="s">
        <v>817</v>
      </c>
      <c r="N6" s="202">
        <v>5.0</v>
      </c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 ht="54.75" customHeight="1">
      <c r="A7" s="202">
        <v>5.0</v>
      </c>
      <c r="B7" s="202" t="s">
        <v>824</v>
      </c>
      <c r="C7" s="202" t="s">
        <v>174</v>
      </c>
      <c r="D7" s="202" t="s">
        <v>170</v>
      </c>
      <c r="E7" s="202">
        <v>60.0</v>
      </c>
      <c r="F7" s="202">
        <v>7.0</v>
      </c>
      <c r="G7" s="202">
        <v>6.0</v>
      </c>
      <c r="H7" s="202">
        <v>6.0</v>
      </c>
      <c r="I7" s="202">
        <v>6.0</v>
      </c>
      <c r="J7" s="202">
        <v>5.0</v>
      </c>
      <c r="K7" s="202" t="s">
        <v>830</v>
      </c>
      <c r="L7" s="202" t="s">
        <v>831</v>
      </c>
      <c r="M7" s="202" t="s">
        <v>832</v>
      </c>
      <c r="N7" s="202">
        <v>5.0</v>
      </c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ht="22.5" customHeight="1">
      <c r="A8" s="202">
        <v>7.0</v>
      </c>
      <c r="B8" s="202" t="s">
        <v>824</v>
      </c>
      <c r="C8" s="202" t="s">
        <v>833</v>
      </c>
      <c r="D8" s="202" t="s">
        <v>170</v>
      </c>
      <c r="E8" s="202">
        <v>58.5</v>
      </c>
      <c r="F8" s="202">
        <v>8.0</v>
      </c>
      <c r="G8" s="202">
        <v>5.0</v>
      </c>
      <c r="H8" s="202">
        <v>5.0</v>
      </c>
      <c r="I8" s="202">
        <v>7.0</v>
      </c>
      <c r="J8" s="202">
        <v>5.0</v>
      </c>
      <c r="K8" s="202" t="s">
        <v>834</v>
      </c>
      <c r="L8" s="202" t="s">
        <v>835</v>
      </c>
      <c r="M8" s="202" t="s">
        <v>836</v>
      </c>
      <c r="N8" s="202">
        <v>4.0</v>
      </c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</row>
    <row r="9" ht="22.5" customHeight="1">
      <c r="A9" s="202">
        <v>9.0</v>
      </c>
      <c r="B9" s="202" t="s">
        <v>824</v>
      </c>
      <c r="C9" s="202" t="s">
        <v>178</v>
      </c>
      <c r="D9" s="202" t="s">
        <v>170</v>
      </c>
      <c r="E9" s="202">
        <v>56.0</v>
      </c>
      <c r="F9" s="202">
        <v>6.0</v>
      </c>
      <c r="G9" s="202">
        <v>5.0</v>
      </c>
      <c r="H9" s="202">
        <v>7.0</v>
      </c>
      <c r="I9" s="202">
        <v>7.0</v>
      </c>
      <c r="J9" s="202">
        <v>5.0</v>
      </c>
      <c r="K9" s="202" t="s">
        <v>837</v>
      </c>
      <c r="L9" s="202" t="s">
        <v>838</v>
      </c>
      <c r="M9" s="202" t="s">
        <v>823</v>
      </c>
      <c r="N9" s="202">
        <v>6.0</v>
      </c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 ht="22.5" customHeight="1">
      <c r="A10" s="202">
        <v>6.0</v>
      </c>
      <c r="B10" s="202" t="s">
        <v>824</v>
      </c>
      <c r="C10" s="202" t="s">
        <v>839</v>
      </c>
      <c r="D10" s="202" t="s">
        <v>166</v>
      </c>
      <c r="E10" s="202">
        <v>54.0</v>
      </c>
      <c r="F10" s="202">
        <v>7.0</v>
      </c>
      <c r="G10" s="202">
        <v>5.0</v>
      </c>
      <c r="H10" s="202">
        <v>5.0</v>
      </c>
      <c r="I10" s="202">
        <v>6.0</v>
      </c>
      <c r="J10" s="202">
        <v>5.0</v>
      </c>
      <c r="K10" s="202" t="s">
        <v>840</v>
      </c>
      <c r="L10" s="202" t="s">
        <v>841</v>
      </c>
      <c r="M10" s="202" t="s">
        <v>842</v>
      </c>
      <c r="N10" s="202">
        <v>4.0</v>
      </c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</row>
    <row r="11" ht="22.5" customHeight="1">
      <c r="A11" s="202">
        <v>10.0</v>
      </c>
      <c r="B11" s="202" t="s">
        <v>824</v>
      </c>
      <c r="C11" s="202" t="s">
        <v>843</v>
      </c>
      <c r="D11" s="202" t="s">
        <v>170</v>
      </c>
      <c r="E11" s="202">
        <v>52.0</v>
      </c>
      <c r="F11" s="202">
        <v>6.0</v>
      </c>
      <c r="G11" s="202">
        <v>5.0</v>
      </c>
      <c r="H11" s="202">
        <v>5.0</v>
      </c>
      <c r="I11" s="202">
        <v>6.0</v>
      </c>
      <c r="J11" s="202">
        <v>5.0</v>
      </c>
      <c r="K11" s="202" t="s">
        <v>844</v>
      </c>
      <c r="L11" s="202" t="s">
        <v>845</v>
      </c>
      <c r="M11" s="202" t="s">
        <v>846</v>
      </c>
      <c r="N11" s="202">
        <v>4.0</v>
      </c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</row>
    <row r="12" ht="22.5" customHeight="1">
      <c r="A12" s="202">
        <v>18.0</v>
      </c>
      <c r="B12" s="202" t="s">
        <v>824</v>
      </c>
      <c r="C12" s="202" t="s">
        <v>847</v>
      </c>
      <c r="D12" s="202" t="s">
        <v>161</v>
      </c>
      <c r="E12" s="202">
        <v>50.5</v>
      </c>
      <c r="F12" s="202">
        <v>6.0</v>
      </c>
      <c r="G12" s="202">
        <v>4.0</v>
      </c>
      <c r="H12" s="202">
        <v>5.0</v>
      </c>
      <c r="I12" s="202">
        <v>7.0</v>
      </c>
      <c r="J12" s="202">
        <v>5.0</v>
      </c>
      <c r="K12" s="202" t="s">
        <v>848</v>
      </c>
      <c r="L12" s="202" t="s">
        <v>849</v>
      </c>
      <c r="M12" s="202" t="s">
        <v>850</v>
      </c>
      <c r="N12" s="202">
        <v>4.0</v>
      </c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</row>
    <row r="13" ht="22.5" customHeight="1">
      <c r="A13" s="202">
        <v>8.0</v>
      </c>
      <c r="B13" s="202" t="s">
        <v>851</v>
      </c>
      <c r="C13" s="202" t="s">
        <v>186</v>
      </c>
      <c r="D13" s="202" t="s">
        <v>161</v>
      </c>
      <c r="E13" s="202">
        <v>48.0</v>
      </c>
      <c r="F13" s="202">
        <v>5.0</v>
      </c>
      <c r="G13" s="202">
        <v>4.0</v>
      </c>
      <c r="H13" s="202">
        <v>6.0</v>
      </c>
      <c r="I13" s="202">
        <v>6.0</v>
      </c>
      <c r="J13" s="202">
        <v>5.0</v>
      </c>
      <c r="K13" s="202" t="s">
        <v>852</v>
      </c>
      <c r="L13" s="202" t="s">
        <v>853</v>
      </c>
      <c r="M13" s="202" t="s">
        <v>827</v>
      </c>
      <c r="N13" s="202">
        <v>5.0</v>
      </c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</row>
    <row r="14" ht="22.5" customHeight="1">
      <c r="A14" s="202">
        <v>11.0</v>
      </c>
      <c r="B14" s="202" t="s">
        <v>851</v>
      </c>
      <c r="C14" s="202" t="s">
        <v>189</v>
      </c>
      <c r="D14" s="202" t="s">
        <v>190</v>
      </c>
      <c r="E14" s="202">
        <v>46.0</v>
      </c>
      <c r="F14" s="202">
        <v>5.0</v>
      </c>
      <c r="G14" s="202">
        <v>4.0</v>
      </c>
      <c r="H14" s="202">
        <v>5.0</v>
      </c>
      <c r="I14" s="202">
        <v>6.0</v>
      </c>
      <c r="J14" s="202">
        <v>5.0</v>
      </c>
      <c r="K14" s="202" t="s">
        <v>854</v>
      </c>
      <c r="L14" s="202" t="s">
        <v>855</v>
      </c>
      <c r="M14" s="202" t="s">
        <v>817</v>
      </c>
      <c r="N14" s="202">
        <v>4.0</v>
      </c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 ht="22.5" customHeight="1">
      <c r="A15" s="202">
        <v>12.0</v>
      </c>
      <c r="B15" s="202" t="s">
        <v>851</v>
      </c>
      <c r="C15" s="202" t="s">
        <v>192</v>
      </c>
      <c r="D15" s="202" t="s">
        <v>166</v>
      </c>
      <c r="E15" s="202">
        <v>44.5</v>
      </c>
      <c r="F15" s="202">
        <v>6.0</v>
      </c>
      <c r="G15" s="202">
        <v>4.0</v>
      </c>
      <c r="H15" s="202">
        <v>4.0</v>
      </c>
      <c r="I15" s="202">
        <v>5.0</v>
      </c>
      <c r="J15" s="202">
        <v>5.0</v>
      </c>
      <c r="K15" s="202" t="s">
        <v>856</v>
      </c>
      <c r="L15" s="202" t="s">
        <v>857</v>
      </c>
      <c r="M15" s="202" t="s">
        <v>842</v>
      </c>
      <c r="N15" s="202">
        <v>3.0</v>
      </c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 ht="22.5" customHeight="1">
      <c r="A16" s="202">
        <v>13.0</v>
      </c>
      <c r="B16" s="202" t="s">
        <v>851</v>
      </c>
      <c r="C16" s="202" t="s">
        <v>194</v>
      </c>
      <c r="D16" s="202" t="s">
        <v>161</v>
      </c>
      <c r="E16" s="202">
        <v>42.0</v>
      </c>
      <c r="F16" s="202">
        <v>5.0</v>
      </c>
      <c r="G16" s="202">
        <v>5.0</v>
      </c>
      <c r="H16" s="202">
        <v>4.0</v>
      </c>
      <c r="I16" s="202">
        <v>5.0</v>
      </c>
      <c r="J16" s="202">
        <v>0.0</v>
      </c>
      <c r="K16" s="202" t="s">
        <v>858</v>
      </c>
      <c r="L16" s="202" t="s">
        <v>859</v>
      </c>
      <c r="M16" s="202" t="s">
        <v>820</v>
      </c>
      <c r="N16" s="202">
        <v>3.0</v>
      </c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ht="22.5" customHeight="1">
      <c r="A17" s="202">
        <v>16.0</v>
      </c>
      <c r="B17" s="202" t="s">
        <v>851</v>
      </c>
      <c r="C17" s="202" t="s">
        <v>196</v>
      </c>
      <c r="D17" s="202" t="s">
        <v>166</v>
      </c>
      <c r="E17" s="202">
        <v>40.5</v>
      </c>
      <c r="F17" s="202">
        <v>6.0</v>
      </c>
      <c r="G17" s="202">
        <v>4.0</v>
      </c>
      <c r="H17" s="202">
        <v>4.0</v>
      </c>
      <c r="I17" s="202">
        <v>4.0</v>
      </c>
      <c r="J17" s="202">
        <v>5.0</v>
      </c>
      <c r="K17" s="202" t="s">
        <v>860</v>
      </c>
      <c r="L17" s="202" t="s">
        <v>861</v>
      </c>
      <c r="M17" s="202" t="s">
        <v>827</v>
      </c>
      <c r="N17" s="202">
        <v>3.0</v>
      </c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</row>
    <row r="18" ht="22.5" customHeight="1">
      <c r="A18" s="202">
        <v>14.0</v>
      </c>
      <c r="B18" s="202" t="s">
        <v>851</v>
      </c>
      <c r="C18" s="202" t="s">
        <v>862</v>
      </c>
      <c r="D18" s="202" t="s">
        <v>170</v>
      </c>
      <c r="E18" s="202">
        <v>38.0</v>
      </c>
      <c r="F18" s="202">
        <v>5.0</v>
      </c>
      <c r="G18" s="202">
        <v>3.0</v>
      </c>
      <c r="H18" s="202">
        <v>3.0</v>
      </c>
      <c r="I18" s="202">
        <v>5.0</v>
      </c>
      <c r="J18" s="202">
        <v>5.0</v>
      </c>
      <c r="K18" s="202" t="s">
        <v>863</v>
      </c>
      <c r="L18" s="202" t="s">
        <v>864</v>
      </c>
      <c r="M18" s="202" t="s">
        <v>865</v>
      </c>
      <c r="N18" s="202">
        <v>2.0</v>
      </c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</row>
    <row r="19" ht="22.5" customHeight="1">
      <c r="A19" s="202">
        <v>20.0</v>
      </c>
      <c r="B19" s="202" t="s">
        <v>851</v>
      </c>
      <c r="C19" s="202" t="s">
        <v>200</v>
      </c>
      <c r="D19" s="202" t="s">
        <v>170</v>
      </c>
      <c r="E19" s="202">
        <v>36.5</v>
      </c>
      <c r="F19" s="202">
        <v>4.0</v>
      </c>
      <c r="G19" s="202">
        <v>3.0</v>
      </c>
      <c r="H19" s="202">
        <v>4.0</v>
      </c>
      <c r="I19" s="202">
        <v>5.0</v>
      </c>
      <c r="J19" s="202">
        <v>5.0</v>
      </c>
      <c r="K19" s="202" t="s">
        <v>866</v>
      </c>
      <c r="L19" s="202" t="s">
        <v>867</v>
      </c>
      <c r="M19" s="202" t="s">
        <v>823</v>
      </c>
      <c r="N19" s="202">
        <v>3.0</v>
      </c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</row>
    <row r="20" ht="22.5" customHeight="1">
      <c r="A20" s="202">
        <v>15.0</v>
      </c>
      <c r="B20" s="202" t="s">
        <v>851</v>
      </c>
      <c r="C20" s="202" t="s">
        <v>868</v>
      </c>
      <c r="D20" s="202" t="s">
        <v>190</v>
      </c>
      <c r="E20" s="202">
        <v>35.0</v>
      </c>
      <c r="F20" s="202">
        <v>4.0</v>
      </c>
      <c r="G20" s="202">
        <v>3.0</v>
      </c>
      <c r="H20" s="202">
        <v>4.0</v>
      </c>
      <c r="I20" s="202">
        <v>5.0</v>
      </c>
      <c r="J20" s="202">
        <v>0.0</v>
      </c>
      <c r="K20" s="202" t="s">
        <v>869</v>
      </c>
      <c r="L20" s="202" t="s">
        <v>870</v>
      </c>
      <c r="M20" s="202" t="s">
        <v>865</v>
      </c>
      <c r="N20" s="202">
        <v>3.0</v>
      </c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</row>
    <row r="21" ht="22.5" customHeight="1">
      <c r="A21" s="202">
        <v>21.0</v>
      </c>
      <c r="B21" s="202" t="s">
        <v>851</v>
      </c>
      <c r="C21" s="202" t="s">
        <v>871</v>
      </c>
      <c r="D21" s="202" t="s">
        <v>161</v>
      </c>
      <c r="E21" s="202">
        <v>34.0</v>
      </c>
      <c r="F21" s="202">
        <v>4.0</v>
      </c>
      <c r="G21" s="202">
        <v>3.0</v>
      </c>
      <c r="H21" s="202">
        <v>4.0</v>
      </c>
      <c r="I21" s="202">
        <v>4.0</v>
      </c>
      <c r="J21" s="202">
        <v>0.0</v>
      </c>
      <c r="K21" s="202" t="s">
        <v>872</v>
      </c>
      <c r="L21" s="202" t="s">
        <v>873</v>
      </c>
      <c r="M21" s="202" t="s">
        <v>836</v>
      </c>
      <c r="N21" s="202">
        <v>3.0</v>
      </c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</row>
    <row r="22" ht="22.5" customHeight="1">
      <c r="A22" s="202">
        <v>17.0</v>
      </c>
      <c r="B22" s="202" t="s">
        <v>851</v>
      </c>
      <c r="C22" s="202" t="s">
        <v>874</v>
      </c>
      <c r="D22" s="202" t="s">
        <v>190</v>
      </c>
      <c r="E22" s="202">
        <v>32.5</v>
      </c>
      <c r="F22" s="202">
        <v>4.0</v>
      </c>
      <c r="G22" s="202">
        <v>2.0</v>
      </c>
      <c r="H22" s="202">
        <v>4.0</v>
      </c>
      <c r="I22" s="202">
        <v>4.0</v>
      </c>
      <c r="J22" s="202">
        <v>5.0</v>
      </c>
      <c r="K22" s="202" t="s">
        <v>875</v>
      </c>
      <c r="L22" s="202" t="s">
        <v>876</v>
      </c>
      <c r="M22" s="202" t="s">
        <v>836</v>
      </c>
      <c r="N22" s="202">
        <v>3.0</v>
      </c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</row>
    <row r="23" ht="22.5" customHeight="1">
      <c r="A23" s="202">
        <v>22.0</v>
      </c>
      <c r="B23" s="202" t="s">
        <v>851</v>
      </c>
      <c r="C23" s="202" t="s">
        <v>877</v>
      </c>
      <c r="D23" s="202" t="s">
        <v>190</v>
      </c>
      <c r="E23" s="202">
        <v>30.0</v>
      </c>
      <c r="F23" s="202">
        <v>4.0</v>
      </c>
      <c r="G23" s="202">
        <v>2.0</v>
      </c>
      <c r="H23" s="202">
        <v>4.0</v>
      </c>
      <c r="I23" s="202">
        <v>3.0</v>
      </c>
      <c r="J23" s="202">
        <v>0.0</v>
      </c>
      <c r="K23" s="202" t="s">
        <v>878</v>
      </c>
      <c r="L23" s="202" t="s">
        <v>879</v>
      </c>
      <c r="M23" s="202" t="s">
        <v>827</v>
      </c>
      <c r="N23" s="202">
        <v>3.0</v>
      </c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</row>
    <row r="24" ht="22.5" customHeight="1">
      <c r="A24" s="203"/>
      <c r="B24" s="203"/>
      <c r="C24" s="204"/>
      <c r="D24" s="204"/>
      <c r="E24" s="203"/>
      <c r="F24" s="203"/>
      <c r="G24" s="203"/>
      <c r="H24" s="203"/>
      <c r="I24" s="203"/>
      <c r="J24" s="203"/>
      <c r="K24" s="204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22.5" customHeight="1">
      <c r="A25" s="203"/>
      <c r="B25" s="203"/>
      <c r="C25" s="204"/>
      <c r="D25" s="204"/>
      <c r="E25" s="203"/>
      <c r="F25" s="203"/>
      <c r="G25" s="203"/>
      <c r="H25" s="203"/>
      <c r="I25" s="203"/>
      <c r="J25" s="203"/>
      <c r="K25" s="204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22.5" customHeight="1">
      <c r="A26" s="203"/>
      <c r="B26" s="203"/>
      <c r="C26" s="204"/>
      <c r="D26" s="204"/>
      <c r="E26" s="203"/>
      <c r="F26" s="203"/>
      <c r="G26" s="203"/>
      <c r="H26" s="203"/>
      <c r="I26" s="203"/>
      <c r="J26" s="203"/>
      <c r="K26" s="204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22.5" customHeight="1">
      <c r="A27" s="203"/>
      <c r="B27" s="203"/>
      <c r="C27" s="204"/>
      <c r="D27" s="204"/>
      <c r="E27" s="203"/>
      <c r="F27" s="203"/>
      <c r="G27" s="203"/>
      <c r="H27" s="203"/>
      <c r="I27" s="203"/>
      <c r="J27" s="203"/>
      <c r="K27" s="204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22.5" customHeight="1">
      <c r="A28" s="203"/>
      <c r="B28" s="203"/>
      <c r="C28" s="204"/>
      <c r="D28" s="204"/>
      <c r="E28" s="203"/>
      <c r="F28" s="203"/>
      <c r="G28" s="203"/>
      <c r="H28" s="203"/>
      <c r="I28" s="203"/>
      <c r="J28" s="203"/>
      <c r="K28" s="204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22.5" customHeight="1">
      <c r="A29" s="203"/>
      <c r="B29" s="203"/>
      <c r="C29" s="204"/>
      <c r="D29" s="204"/>
      <c r="E29" s="203"/>
      <c r="F29" s="203"/>
      <c r="G29" s="203"/>
      <c r="H29" s="203"/>
      <c r="I29" s="203"/>
      <c r="J29" s="203"/>
      <c r="K29" s="204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22.5" customHeight="1">
      <c r="A30" s="203"/>
      <c r="B30" s="203"/>
      <c r="C30" s="204"/>
      <c r="D30" s="204"/>
      <c r="E30" s="203"/>
      <c r="F30" s="203"/>
      <c r="G30" s="203"/>
      <c r="H30" s="203"/>
      <c r="I30" s="203"/>
      <c r="J30" s="203"/>
      <c r="K30" s="204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22.5" customHeight="1">
      <c r="A31" s="203"/>
      <c r="B31" s="203"/>
      <c r="C31" s="204"/>
      <c r="D31" s="204"/>
      <c r="E31" s="203"/>
      <c r="F31" s="203"/>
      <c r="G31" s="203"/>
      <c r="H31" s="203"/>
      <c r="I31" s="203"/>
      <c r="J31" s="203"/>
      <c r="K31" s="204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22.5" customHeight="1">
      <c r="A32" s="203"/>
      <c r="B32" s="203"/>
      <c r="C32" s="204"/>
      <c r="D32" s="204"/>
      <c r="E32" s="203"/>
      <c r="F32" s="203"/>
      <c r="G32" s="203"/>
      <c r="H32" s="203"/>
      <c r="I32" s="203"/>
      <c r="J32" s="203"/>
      <c r="K32" s="204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22.5" customHeight="1">
      <c r="A33" s="203"/>
      <c r="B33" s="203"/>
      <c r="C33" s="204"/>
      <c r="D33" s="204"/>
      <c r="E33" s="203"/>
      <c r="F33" s="203"/>
      <c r="G33" s="203"/>
      <c r="H33" s="203"/>
      <c r="I33" s="203"/>
      <c r="J33" s="203"/>
      <c r="K33" s="204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22.5" customHeight="1">
      <c r="A34" s="203"/>
      <c r="B34" s="203"/>
      <c r="C34" s="204"/>
      <c r="D34" s="204"/>
      <c r="E34" s="203"/>
      <c r="F34" s="203"/>
      <c r="G34" s="203"/>
      <c r="H34" s="203"/>
      <c r="I34" s="203"/>
      <c r="J34" s="203"/>
      <c r="K34" s="204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22.5" customHeight="1">
      <c r="A35" s="203"/>
      <c r="B35" s="203"/>
      <c r="C35" s="204"/>
      <c r="D35" s="204"/>
      <c r="E35" s="203"/>
      <c r="F35" s="203"/>
      <c r="G35" s="203"/>
      <c r="H35" s="203"/>
      <c r="I35" s="203"/>
      <c r="J35" s="203"/>
      <c r="K35" s="204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22.5" customHeight="1">
      <c r="A36" s="203"/>
      <c r="B36" s="203"/>
      <c r="C36" s="204"/>
      <c r="D36" s="204"/>
      <c r="E36" s="203"/>
      <c r="F36" s="203"/>
      <c r="G36" s="203"/>
      <c r="H36" s="203"/>
      <c r="I36" s="203"/>
      <c r="J36" s="203"/>
      <c r="K36" s="204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22.5" customHeight="1">
      <c r="A37" s="203"/>
      <c r="B37" s="203"/>
      <c r="C37" s="204"/>
      <c r="D37" s="204"/>
      <c r="E37" s="203"/>
      <c r="F37" s="203"/>
      <c r="G37" s="203"/>
      <c r="H37" s="203"/>
      <c r="I37" s="203"/>
      <c r="J37" s="203"/>
      <c r="K37" s="204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22.5" customHeight="1">
      <c r="A38" s="203"/>
      <c r="B38" s="203"/>
      <c r="C38" s="204"/>
      <c r="D38" s="204"/>
      <c r="E38" s="203"/>
      <c r="F38" s="203"/>
      <c r="G38" s="203"/>
      <c r="H38" s="203"/>
      <c r="I38" s="203"/>
      <c r="J38" s="203"/>
      <c r="K38" s="204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22.5" customHeight="1">
      <c r="A39" s="203"/>
      <c r="B39" s="203"/>
      <c r="C39" s="204"/>
      <c r="D39" s="204"/>
      <c r="E39" s="203"/>
      <c r="F39" s="203"/>
      <c r="G39" s="203"/>
      <c r="H39" s="203"/>
      <c r="I39" s="203"/>
      <c r="J39" s="203"/>
      <c r="K39" s="204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22.5" customHeight="1">
      <c r="A40" s="203"/>
      <c r="B40" s="203"/>
      <c r="C40" s="204"/>
      <c r="D40" s="204"/>
      <c r="E40" s="203"/>
      <c r="F40" s="203"/>
      <c r="G40" s="203"/>
      <c r="H40" s="203"/>
      <c r="I40" s="203"/>
      <c r="J40" s="203"/>
      <c r="K40" s="204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22.5" customHeight="1">
      <c r="A41" s="203"/>
      <c r="B41" s="203"/>
      <c r="C41" s="204"/>
      <c r="D41" s="204"/>
      <c r="E41" s="203"/>
      <c r="F41" s="203"/>
      <c r="G41" s="203"/>
      <c r="H41" s="203"/>
      <c r="I41" s="203"/>
      <c r="J41" s="203"/>
      <c r="K41" s="204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22.5" customHeight="1">
      <c r="A42" s="203"/>
      <c r="B42" s="203"/>
      <c r="C42" s="204"/>
      <c r="D42" s="204"/>
      <c r="E42" s="203"/>
      <c r="F42" s="203"/>
      <c r="G42" s="203"/>
      <c r="H42" s="203"/>
      <c r="I42" s="203"/>
      <c r="J42" s="203"/>
      <c r="K42" s="204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22.5" customHeight="1">
      <c r="A43" s="203"/>
      <c r="B43" s="203"/>
      <c r="C43" s="204"/>
      <c r="D43" s="204"/>
      <c r="E43" s="203"/>
      <c r="F43" s="203"/>
      <c r="G43" s="203"/>
      <c r="H43" s="203"/>
      <c r="I43" s="203"/>
      <c r="J43" s="203"/>
      <c r="K43" s="204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22.5" customHeight="1">
      <c r="A44" s="203"/>
      <c r="B44" s="203"/>
      <c r="C44" s="204"/>
      <c r="D44" s="204"/>
      <c r="E44" s="203"/>
      <c r="F44" s="203"/>
      <c r="G44" s="203"/>
      <c r="H44" s="203"/>
      <c r="I44" s="203"/>
      <c r="J44" s="203"/>
      <c r="K44" s="204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22.5" customHeight="1">
      <c r="A45" s="203"/>
      <c r="B45" s="203"/>
      <c r="C45" s="204"/>
      <c r="D45" s="204"/>
      <c r="E45" s="203"/>
      <c r="F45" s="203"/>
      <c r="G45" s="203"/>
      <c r="H45" s="203"/>
      <c r="I45" s="203"/>
      <c r="J45" s="203"/>
      <c r="K45" s="204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22.5" customHeight="1">
      <c r="A46" s="203"/>
      <c r="B46" s="203"/>
      <c r="C46" s="204"/>
      <c r="D46" s="204"/>
      <c r="E46" s="203"/>
      <c r="F46" s="203"/>
      <c r="G46" s="203"/>
      <c r="H46" s="203"/>
      <c r="I46" s="203"/>
      <c r="J46" s="203"/>
      <c r="K46" s="204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22.5" customHeight="1">
      <c r="A47" s="203"/>
      <c r="B47" s="203"/>
      <c r="C47" s="204"/>
      <c r="D47" s="204"/>
      <c r="E47" s="203"/>
      <c r="F47" s="203"/>
      <c r="G47" s="203"/>
      <c r="H47" s="203"/>
      <c r="I47" s="203"/>
      <c r="J47" s="203"/>
      <c r="K47" s="204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22.5" customHeight="1">
      <c r="A48" s="203"/>
      <c r="B48" s="203"/>
      <c r="C48" s="204"/>
      <c r="D48" s="204"/>
      <c r="E48" s="203"/>
      <c r="F48" s="203"/>
      <c r="G48" s="203"/>
      <c r="H48" s="203"/>
      <c r="I48" s="203"/>
      <c r="J48" s="203"/>
      <c r="K48" s="204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22.5" customHeight="1">
      <c r="A49" s="203"/>
      <c r="B49" s="203"/>
      <c r="C49" s="204"/>
      <c r="D49" s="204"/>
      <c r="E49" s="203"/>
      <c r="F49" s="203"/>
      <c r="G49" s="203"/>
      <c r="H49" s="203"/>
      <c r="I49" s="203"/>
      <c r="J49" s="203"/>
      <c r="K49" s="204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22.5" customHeight="1">
      <c r="A50" s="203"/>
      <c r="B50" s="203"/>
      <c r="C50" s="204"/>
      <c r="D50" s="204"/>
      <c r="E50" s="203"/>
      <c r="F50" s="203"/>
      <c r="G50" s="203"/>
      <c r="H50" s="203"/>
      <c r="I50" s="203"/>
      <c r="J50" s="203"/>
      <c r="K50" s="204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22.5" customHeight="1">
      <c r="A51" s="203"/>
      <c r="B51" s="203"/>
      <c r="C51" s="204"/>
      <c r="D51" s="204"/>
      <c r="E51" s="203"/>
      <c r="F51" s="203"/>
      <c r="G51" s="203"/>
      <c r="H51" s="203"/>
      <c r="I51" s="203"/>
      <c r="J51" s="203"/>
      <c r="K51" s="204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22.5" customHeight="1">
      <c r="A52" s="203"/>
      <c r="B52" s="203"/>
      <c r="C52" s="204"/>
      <c r="D52" s="204"/>
      <c r="E52" s="203"/>
      <c r="F52" s="203"/>
      <c r="G52" s="203"/>
      <c r="H52" s="203"/>
      <c r="I52" s="203"/>
      <c r="J52" s="203"/>
      <c r="K52" s="204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22.5" customHeight="1">
      <c r="A53" s="203"/>
      <c r="B53" s="203"/>
      <c r="C53" s="204"/>
      <c r="D53" s="204"/>
      <c r="E53" s="203"/>
      <c r="F53" s="203"/>
      <c r="G53" s="203"/>
      <c r="H53" s="203"/>
      <c r="I53" s="203"/>
      <c r="J53" s="203"/>
      <c r="K53" s="204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22.5" customHeight="1">
      <c r="A54" s="203"/>
      <c r="B54" s="203"/>
      <c r="C54" s="204"/>
      <c r="D54" s="204"/>
      <c r="E54" s="203"/>
      <c r="F54" s="203"/>
      <c r="G54" s="203"/>
      <c r="H54" s="203"/>
      <c r="I54" s="203"/>
      <c r="J54" s="203"/>
      <c r="K54" s="204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22.5" customHeight="1">
      <c r="A55" s="203"/>
      <c r="B55" s="203"/>
      <c r="C55" s="204"/>
      <c r="D55" s="204"/>
      <c r="E55" s="203"/>
      <c r="F55" s="203"/>
      <c r="G55" s="203"/>
      <c r="H55" s="203"/>
      <c r="I55" s="203"/>
      <c r="J55" s="203"/>
      <c r="K55" s="204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22.5" customHeight="1">
      <c r="A56" s="203"/>
      <c r="B56" s="203"/>
      <c r="C56" s="204"/>
      <c r="D56" s="204"/>
      <c r="E56" s="203"/>
      <c r="F56" s="203"/>
      <c r="G56" s="203"/>
      <c r="H56" s="203"/>
      <c r="I56" s="203"/>
      <c r="J56" s="203"/>
      <c r="K56" s="204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22.5" customHeight="1">
      <c r="A57" s="203"/>
      <c r="B57" s="203"/>
      <c r="C57" s="204"/>
      <c r="D57" s="204"/>
      <c r="E57" s="203"/>
      <c r="F57" s="203"/>
      <c r="G57" s="203"/>
      <c r="H57" s="203"/>
      <c r="I57" s="203"/>
      <c r="J57" s="203"/>
      <c r="K57" s="204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22.5" customHeight="1">
      <c r="A58" s="203"/>
      <c r="B58" s="203"/>
      <c r="C58" s="204"/>
      <c r="D58" s="204"/>
      <c r="E58" s="203"/>
      <c r="F58" s="203"/>
      <c r="G58" s="203"/>
      <c r="H58" s="203"/>
      <c r="I58" s="203"/>
      <c r="J58" s="203"/>
      <c r="K58" s="204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22.5" customHeight="1">
      <c r="A59" s="203"/>
      <c r="B59" s="203"/>
      <c r="C59" s="204"/>
      <c r="D59" s="204"/>
      <c r="E59" s="203"/>
      <c r="F59" s="203"/>
      <c r="G59" s="203"/>
      <c r="H59" s="203"/>
      <c r="I59" s="203"/>
      <c r="J59" s="203"/>
      <c r="K59" s="204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22.5" customHeight="1">
      <c r="A60" s="203"/>
      <c r="B60" s="203"/>
      <c r="C60" s="204"/>
      <c r="D60" s="204"/>
      <c r="E60" s="203"/>
      <c r="F60" s="203"/>
      <c r="G60" s="203"/>
      <c r="H60" s="203"/>
      <c r="I60" s="203"/>
      <c r="J60" s="203"/>
      <c r="K60" s="204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22.5" customHeight="1">
      <c r="A61" s="203"/>
      <c r="B61" s="203"/>
      <c r="C61" s="204"/>
      <c r="D61" s="204"/>
      <c r="E61" s="203"/>
      <c r="F61" s="203"/>
      <c r="G61" s="203"/>
      <c r="H61" s="203"/>
      <c r="I61" s="203"/>
      <c r="J61" s="203"/>
      <c r="K61" s="204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22.5" customHeight="1">
      <c r="A62" s="203"/>
      <c r="B62" s="203"/>
      <c r="C62" s="204"/>
      <c r="D62" s="204"/>
      <c r="E62" s="203"/>
      <c r="F62" s="203"/>
      <c r="G62" s="203"/>
      <c r="H62" s="203"/>
      <c r="I62" s="203"/>
      <c r="J62" s="203"/>
      <c r="K62" s="204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22.5" customHeight="1">
      <c r="A63" s="203"/>
      <c r="B63" s="203"/>
      <c r="C63" s="204"/>
      <c r="D63" s="204"/>
      <c r="E63" s="203"/>
      <c r="F63" s="203"/>
      <c r="G63" s="203"/>
      <c r="H63" s="203"/>
      <c r="I63" s="203"/>
      <c r="J63" s="203"/>
      <c r="K63" s="204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22.5" customHeight="1">
      <c r="A64" s="203"/>
      <c r="B64" s="203"/>
      <c r="C64" s="204"/>
      <c r="D64" s="204"/>
      <c r="E64" s="203"/>
      <c r="F64" s="203"/>
      <c r="G64" s="203"/>
      <c r="H64" s="203"/>
      <c r="I64" s="203"/>
      <c r="J64" s="203"/>
      <c r="K64" s="204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22.5" customHeight="1">
      <c r="A65" s="203"/>
      <c r="B65" s="203"/>
      <c r="C65" s="204"/>
      <c r="D65" s="204"/>
      <c r="E65" s="203"/>
      <c r="F65" s="203"/>
      <c r="G65" s="203"/>
      <c r="H65" s="203"/>
      <c r="I65" s="203"/>
      <c r="J65" s="203"/>
      <c r="K65" s="204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22.5" customHeight="1">
      <c r="A66" s="203"/>
      <c r="B66" s="203"/>
      <c r="C66" s="204"/>
      <c r="D66" s="204"/>
      <c r="E66" s="203"/>
      <c r="F66" s="203"/>
      <c r="G66" s="203"/>
      <c r="H66" s="203"/>
      <c r="I66" s="203"/>
      <c r="J66" s="203"/>
      <c r="K66" s="204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22.5" customHeight="1">
      <c r="A67" s="203"/>
      <c r="B67" s="203"/>
      <c r="C67" s="204"/>
      <c r="D67" s="204"/>
      <c r="E67" s="203"/>
      <c r="F67" s="203"/>
      <c r="G67" s="203"/>
      <c r="H67" s="203"/>
      <c r="I67" s="203"/>
      <c r="J67" s="203"/>
      <c r="K67" s="204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22.5" customHeight="1">
      <c r="A68" s="203"/>
      <c r="B68" s="203"/>
      <c r="C68" s="204"/>
      <c r="D68" s="204"/>
      <c r="E68" s="203"/>
      <c r="F68" s="203"/>
      <c r="G68" s="203"/>
      <c r="H68" s="203"/>
      <c r="I68" s="203"/>
      <c r="J68" s="203"/>
      <c r="K68" s="204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22.5" customHeight="1">
      <c r="A69" s="203"/>
      <c r="B69" s="203"/>
      <c r="C69" s="204"/>
      <c r="D69" s="204"/>
      <c r="E69" s="203"/>
      <c r="F69" s="203"/>
      <c r="G69" s="203"/>
      <c r="H69" s="203"/>
      <c r="I69" s="203"/>
      <c r="J69" s="203"/>
      <c r="K69" s="204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22.5" customHeight="1">
      <c r="A70" s="203"/>
      <c r="B70" s="203"/>
      <c r="C70" s="204"/>
      <c r="D70" s="204"/>
      <c r="E70" s="203"/>
      <c r="F70" s="203"/>
      <c r="G70" s="203"/>
      <c r="H70" s="203"/>
      <c r="I70" s="203"/>
      <c r="J70" s="203"/>
      <c r="K70" s="204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22.5" customHeight="1">
      <c r="A71" s="203"/>
      <c r="B71" s="203"/>
      <c r="C71" s="204"/>
      <c r="D71" s="204"/>
      <c r="E71" s="203"/>
      <c r="F71" s="203"/>
      <c r="G71" s="203"/>
      <c r="H71" s="203"/>
      <c r="I71" s="203"/>
      <c r="J71" s="203"/>
      <c r="K71" s="204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22.5" customHeight="1">
      <c r="A72" s="203"/>
      <c r="B72" s="203"/>
      <c r="C72" s="204"/>
      <c r="D72" s="204"/>
      <c r="E72" s="203"/>
      <c r="F72" s="203"/>
      <c r="G72" s="203"/>
      <c r="H72" s="203"/>
      <c r="I72" s="203"/>
      <c r="J72" s="203"/>
      <c r="K72" s="204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22.5" customHeight="1">
      <c r="A73" s="203"/>
      <c r="B73" s="203"/>
      <c r="C73" s="204"/>
      <c r="D73" s="204"/>
      <c r="E73" s="203"/>
      <c r="F73" s="203"/>
      <c r="G73" s="203"/>
      <c r="H73" s="203"/>
      <c r="I73" s="203"/>
      <c r="J73" s="203"/>
      <c r="K73" s="204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22.5" customHeight="1">
      <c r="A74" s="203"/>
      <c r="B74" s="203"/>
      <c r="C74" s="204"/>
      <c r="D74" s="204"/>
      <c r="E74" s="203"/>
      <c r="F74" s="203"/>
      <c r="G74" s="203"/>
      <c r="H74" s="203"/>
      <c r="I74" s="203"/>
      <c r="J74" s="203"/>
      <c r="K74" s="204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22.5" customHeight="1">
      <c r="A75" s="203"/>
      <c r="B75" s="203"/>
      <c r="C75" s="204"/>
      <c r="D75" s="204"/>
      <c r="E75" s="203"/>
      <c r="F75" s="203"/>
      <c r="G75" s="203"/>
      <c r="H75" s="203"/>
      <c r="I75" s="203"/>
      <c r="J75" s="203"/>
      <c r="K75" s="204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22.5" customHeight="1">
      <c r="A76" s="203"/>
      <c r="B76" s="203"/>
      <c r="C76" s="204"/>
      <c r="D76" s="204"/>
      <c r="E76" s="203"/>
      <c r="F76" s="203"/>
      <c r="G76" s="203"/>
      <c r="H76" s="203"/>
      <c r="I76" s="203"/>
      <c r="J76" s="203"/>
      <c r="K76" s="204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22.5" customHeight="1">
      <c r="A77" s="203"/>
      <c r="B77" s="203"/>
      <c r="C77" s="204"/>
      <c r="D77" s="204"/>
      <c r="E77" s="203"/>
      <c r="F77" s="203"/>
      <c r="G77" s="203"/>
      <c r="H77" s="203"/>
      <c r="I77" s="203"/>
      <c r="J77" s="203"/>
      <c r="K77" s="204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22.5" customHeight="1">
      <c r="A78" s="203"/>
      <c r="B78" s="203"/>
      <c r="C78" s="204"/>
      <c r="D78" s="204"/>
      <c r="E78" s="203"/>
      <c r="F78" s="203"/>
      <c r="G78" s="203"/>
      <c r="H78" s="203"/>
      <c r="I78" s="203"/>
      <c r="J78" s="203"/>
      <c r="K78" s="204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22.5" customHeight="1">
      <c r="A79" s="203"/>
      <c r="B79" s="203"/>
      <c r="C79" s="204"/>
      <c r="D79" s="204"/>
      <c r="E79" s="203"/>
      <c r="F79" s="203"/>
      <c r="G79" s="203"/>
      <c r="H79" s="203"/>
      <c r="I79" s="203"/>
      <c r="J79" s="203"/>
      <c r="K79" s="204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22.5" customHeight="1">
      <c r="A80" s="203"/>
      <c r="B80" s="203"/>
      <c r="C80" s="204"/>
      <c r="D80" s="204"/>
      <c r="E80" s="203"/>
      <c r="F80" s="203"/>
      <c r="G80" s="203"/>
      <c r="H80" s="203"/>
      <c r="I80" s="203"/>
      <c r="J80" s="203"/>
      <c r="K80" s="204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22.5" customHeight="1">
      <c r="A81" s="203"/>
      <c r="B81" s="203"/>
      <c r="C81" s="204"/>
      <c r="D81" s="204"/>
      <c r="E81" s="203"/>
      <c r="F81" s="203"/>
      <c r="G81" s="203"/>
      <c r="H81" s="203"/>
      <c r="I81" s="203"/>
      <c r="J81" s="203"/>
      <c r="K81" s="204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22.5" customHeight="1">
      <c r="A82" s="203"/>
      <c r="B82" s="203"/>
      <c r="C82" s="204"/>
      <c r="D82" s="204"/>
      <c r="E82" s="203"/>
      <c r="F82" s="203"/>
      <c r="G82" s="203"/>
      <c r="H82" s="203"/>
      <c r="I82" s="203"/>
      <c r="J82" s="203"/>
      <c r="K82" s="204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22.5" customHeight="1">
      <c r="A83" s="203"/>
      <c r="B83" s="203"/>
      <c r="C83" s="204"/>
      <c r="D83" s="204"/>
      <c r="E83" s="203"/>
      <c r="F83" s="203"/>
      <c r="G83" s="203"/>
      <c r="H83" s="203"/>
      <c r="I83" s="203"/>
      <c r="J83" s="203"/>
      <c r="K83" s="204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22.5" customHeight="1">
      <c r="A84" s="203"/>
      <c r="B84" s="203"/>
      <c r="C84" s="204"/>
      <c r="D84" s="204"/>
      <c r="E84" s="203"/>
      <c r="F84" s="203"/>
      <c r="G84" s="203"/>
      <c r="H84" s="203"/>
      <c r="I84" s="203"/>
      <c r="J84" s="203"/>
      <c r="K84" s="204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22.5" customHeight="1">
      <c r="A85" s="203"/>
      <c r="B85" s="203"/>
      <c r="C85" s="204"/>
      <c r="D85" s="204"/>
      <c r="E85" s="203"/>
      <c r="F85" s="203"/>
      <c r="G85" s="203"/>
      <c r="H85" s="203"/>
      <c r="I85" s="203"/>
      <c r="J85" s="203"/>
      <c r="K85" s="204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22.5" customHeight="1">
      <c r="A86" s="203"/>
      <c r="B86" s="203"/>
      <c r="C86" s="204"/>
      <c r="D86" s="204"/>
      <c r="E86" s="203"/>
      <c r="F86" s="203"/>
      <c r="G86" s="203"/>
      <c r="H86" s="203"/>
      <c r="I86" s="203"/>
      <c r="J86" s="203"/>
      <c r="K86" s="204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22.5" customHeight="1">
      <c r="A87" s="203"/>
      <c r="B87" s="203"/>
      <c r="C87" s="204"/>
      <c r="D87" s="204"/>
      <c r="E87" s="203"/>
      <c r="F87" s="203"/>
      <c r="G87" s="203"/>
      <c r="H87" s="203"/>
      <c r="I87" s="203"/>
      <c r="J87" s="203"/>
      <c r="K87" s="204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22.5" customHeight="1">
      <c r="A88" s="203"/>
      <c r="B88" s="203"/>
      <c r="C88" s="204"/>
      <c r="D88" s="204"/>
      <c r="E88" s="203"/>
      <c r="F88" s="203"/>
      <c r="G88" s="203"/>
      <c r="H88" s="203"/>
      <c r="I88" s="203"/>
      <c r="J88" s="203"/>
      <c r="K88" s="204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22.5" customHeight="1">
      <c r="A89" s="203"/>
      <c r="B89" s="203"/>
      <c r="C89" s="204"/>
      <c r="D89" s="204"/>
      <c r="E89" s="203"/>
      <c r="F89" s="203"/>
      <c r="G89" s="203"/>
      <c r="H89" s="203"/>
      <c r="I89" s="203"/>
      <c r="J89" s="203"/>
      <c r="K89" s="204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22.5" customHeight="1">
      <c r="A90" s="203"/>
      <c r="B90" s="203"/>
      <c r="C90" s="204"/>
      <c r="D90" s="204"/>
      <c r="E90" s="203"/>
      <c r="F90" s="203"/>
      <c r="G90" s="203"/>
      <c r="H90" s="203"/>
      <c r="I90" s="203"/>
      <c r="J90" s="203"/>
      <c r="K90" s="204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22.5" customHeight="1">
      <c r="A91" s="203"/>
      <c r="B91" s="203"/>
      <c r="C91" s="204"/>
      <c r="D91" s="204"/>
      <c r="E91" s="203"/>
      <c r="F91" s="203"/>
      <c r="G91" s="203"/>
      <c r="H91" s="203"/>
      <c r="I91" s="203"/>
      <c r="J91" s="203"/>
      <c r="K91" s="204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22.5" customHeight="1">
      <c r="A92" s="203"/>
      <c r="B92" s="203"/>
      <c r="C92" s="204"/>
      <c r="D92" s="204"/>
      <c r="E92" s="203"/>
      <c r="F92" s="203"/>
      <c r="G92" s="203"/>
      <c r="H92" s="203"/>
      <c r="I92" s="203"/>
      <c r="J92" s="203"/>
      <c r="K92" s="204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22.5" customHeight="1">
      <c r="A93" s="203"/>
      <c r="B93" s="203"/>
      <c r="C93" s="204"/>
      <c r="D93" s="204"/>
      <c r="E93" s="203"/>
      <c r="F93" s="203"/>
      <c r="G93" s="203"/>
      <c r="H93" s="203"/>
      <c r="I93" s="203"/>
      <c r="J93" s="203"/>
      <c r="K93" s="204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22.5" customHeight="1">
      <c r="A94" s="203"/>
      <c r="B94" s="203"/>
      <c r="C94" s="204"/>
      <c r="D94" s="204"/>
      <c r="E94" s="203"/>
      <c r="F94" s="203"/>
      <c r="G94" s="203"/>
      <c r="H94" s="203"/>
      <c r="I94" s="203"/>
      <c r="J94" s="203"/>
      <c r="K94" s="204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22.5" customHeight="1">
      <c r="A95" s="203"/>
      <c r="B95" s="203"/>
      <c r="C95" s="204"/>
      <c r="D95" s="204"/>
      <c r="E95" s="203"/>
      <c r="F95" s="203"/>
      <c r="G95" s="203"/>
      <c r="H95" s="203"/>
      <c r="I95" s="203"/>
      <c r="J95" s="203"/>
      <c r="K95" s="204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22.5" customHeight="1">
      <c r="A96" s="203"/>
      <c r="B96" s="203"/>
      <c r="C96" s="204"/>
      <c r="D96" s="204"/>
      <c r="E96" s="203"/>
      <c r="F96" s="203"/>
      <c r="G96" s="203"/>
      <c r="H96" s="203"/>
      <c r="I96" s="203"/>
      <c r="J96" s="203"/>
      <c r="K96" s="204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22.5" customHeight="1">
      <c r="A97" s="203"/>
      <c r="B97" s="203"/>
      <c r="C97" s="204"/>
      <c r="D97" s="204"/>
      <c r="E97" s="203"/>
      <c r="F97" s="203"/>
      <c r="G97" s="203"/>
      <c r="H97" s="203"/>
      <c r="I97" s="203"/>
      <c r="J97" s="203"/>
      <c r="K97" s="204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22.5" customHeight="1">
      <c r="A98" s="203"/>
      <c r="B98" s="203"/>
      <c r="C98" s="204"/>
      <c r="D98" s="204"/>
      <c r="E98" s="203"/>
      <c r="F98" s="203"/>
      <c r="G98" s="203"/>
      <c r="H98" s="203"/>
      <c r="I98" s="203"/>
      <c r="J98" s="203"/>
      <c r="K98" s="204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22.5" customHeight="1">
      <c r="A99" s="203"/>
      <c r="B99" s="203"/>
      <c r="C99" s="204"/>
      <c r="D99" s="204"/>
      <c r="E99" s="203"/>
      <c r="F99" s="203"/>
      <c r="G99" s="203"/>
      <c r="H99" s="203"/>
      <c r="I99" s="203"/>
      <c r="J99" s="203"/>
      <c r="K99" s="204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22.5" customHeight="1">
      <c r="A100" s="203"/>
      <c r="B100" s="203"/>
      <c r="C100" s="204"/>
      <c r="D100" s="204"/>
      <c r="E100" s="203"/>
      <c r="F100" s="203"/>
      <c r="G100" s="203"/>
      <c r="H100" s="203"/>
      <c r="I100" s="203"/>
      <c r="J100" s="203"/>
      <c r="K100" s="204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22.5" customHeight="1">
      <c r="A101" s="203"/>
      <c r="B101" s="203"/>
      <c r="C101" s="204"/>
      <c r="D101" s="204"/>
      <c r="E101" s="203"/>
      <c r="F101" s="203"/>
      <c r="G101" s="203"/>
      <c r="H101" s="203"/>
      <c r="I101" s="203"/>
      <c r="J101" s="203"/>
      <c r="K101" s="204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22.5" customHeight="1">
      <c r="A102" s="203"/>
      <c r="B102" s="203"/>
      <c r="C102" s="204"/>
      <c r="D102" s="204"/>
      <c r="E102" s="203"/>
      <c r="F102" s="203"/>
      <c r="G102" s="203"/>
      <c r="H102" s="203"/>
      <c r="I102" s="203"/>
      <c r="J102" s="203"/>
      <c r="K102" s="204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22.5" customHeight="1">
      <c r="A103" s="203"/>
      <c r="B103" s="203"/>
      <c r="C103" s="204"/>
      <c r="D103" s="204"/>
      <c r="E103" s="203"/>
      <c r="F103" s="203"/>
      <c r="G103" s="203"/>
      <c r="H103" s="203"/>
      <c r="I103" s="203"/>
      <c r="J103" s="203"/>
      <c r="K103" s="204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22.5" customHeight="1">
      <c r="A104" s="203"/>
      <c r="B104" s="203"/>
      <c r="C104" s="204"/>
      <c r="D104" s="204"/>
      <c r="E104" s="203"/>
      <c r="F104" s="203"/>
      <c r="G104" s="203"/>
      <c r="H104" s="203"/>
      <c r="I104" s="203"/>
      <c r="J104" s="203"/>
      <c r="K104" s="204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22.5" customHeight="1">
      <c r="A105" s="203"/>
      <c r="B105" s="203"/>
      <c r="C105" s="204"/>
      <c r="D105" s="204"/>
      <c r="E105" s="203"/>
      <c r="F105" s="203"/>
      <c r="G105" s="203"/>
      <c r="H105" s="203"/>
      <c r="I105" s="203"/>
      <c r="J105" s="203"/>
      <c r="K105" s="204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22.5" customHeight="1">
      <c r="A106" s="203"/>
      <c r="B106" s="203"/>
      <c r="C106" s="204"/>
      <c r="D106" s="204"/>
      <c r="E106" s="203"/>
      <c r="F106" s="203"/>
      <c r="G106" s="203"/>
      <c r="H106" s="203"/>
      <c r="I106" s="203"/>
      <c r="J106" s="203"/>
      <c r="K106" s="204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22.5" customHeight="1">
      <c r="A107" s="203"/>
      <c r="B107" s="203"/>
      <c r="C107" s="204"/>
      <c r="D107" s="204"/>
      <c r="E107" s="203"/>
      <c r="F107" s="203"/>
      <c r="G107" s="203"/>
      <c r="H107" s="203"/>
      <c r="I107" s="203"/>
      <c r="J107" s="203"/>
      <c r="K107" s="204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22.5" customHeight="1">
      <c r="A108" s="203"/>
      <c r="B108" s="203"/>
      <c r="C108" s="204"/>
      <c r="D108" s="204"/>
      <c r="E108" s="203"/>
      <c r="F108" s="203"/>
      <c r="G108" s="203"/>
      <c r="H108" s="203"/>
      <c r="I108" s="203"/>
      <c r="J108" s="203"/>
      <c r="K108" s="204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22.5" customHeight="1">
      <c r="A109" s="203"/>
      <c r="B109" s="203"/>
      <c r="C109" s="204"/>
      <c r="D109" s="204"/>
      <c r="E109" s="203"/>
      <c r="F109" s="203"/>
      <c r="G109" s="203"/>
      <c r="H109" s="203"/>
      <c r="I109" s="203"/>
      <c r="J109" s="203"/>
      <c r="K109" s="204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22.5" customHeight="1">
      <c r="A110" s="203"/>
      <c r="B110" s="203"/>
      <c r="C110" s="204"/>
      <c r="D110" s="204"/>
      <c r="E110" s="203"/>
      <c r="F110" s="203"/>
      <c r="G110" s="203"/>
      <c r="H110" s="203"/>
      <c r="I110" s="203"/>
      <c r="J110" s="203"/>
      <c r="K110" s="204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22.5" customHeight="1">
      <c r="A111" s="203"/>
      <c r="B111" s="203"/>
      <c r="C111" s="204"/>
      <c r="D111" s="204"/>
      <c r="E111" s="203"/>
      <c r="F111" s="203"/>
      <c r="G111" s="203"/>
      <c r="H111" s="203"/>
      <c r="I111" s="203"/>
      <c r="J111" s="203"/>
      <c r="K111" s="204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22.5" customHeight="1">
      <c r="A112" s="203"/>
      <c r="B112" s="203"/>
      <c r="C112" s="204"/>
      <c r="D112" s="204"/>
      <c r="E112" s="203"/>
      <c r="F112" s="203"/>
      <c r="G112" s="203"/>
      <c r="H112" s="203"/>
      <c r="I112" s="203"/>
      <c r="J112" s="203"/>
      <c r="K112" s="204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22.5" customHeight="1">
      <c r="A113" s="203"/>
      <c r="B113" s="203"/>
      <c r="C113" s="204"/>
      <c r="D113" s="204"/>
      <c r="E113" s="203"/>
      <c r="F113" s="203"/>
      <c r="G113" s="203"/>
      <c r="H113" s="203"/>
      <c r="I113" s="203"/>
      <c r="J113" s="203"/>
      <c r="K113" s="204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22.5" customHeight="1">
      <c r="A114" s="203"/>
      <c r="B114" s="203"/>
      <c r="C114" s="204"/>
      <c r="D114" s="204"/>
      <c r="E114" s="203"/>
      <c r="F114" s="203"/>
      <c r="G114" s="203"/>
      <c r="H114" s="203"/>
      <c r="I114" s="203"/>
      <c r="J114" s="203"/>
      <c r="K114" s="204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22.5" customHeight="1">
      <c r="A115" s="203"/>
      <c r="B115" s="203"/>
      <c r="C115" s="204"/>
      <c r="D115" s="204"/>
      <c r="E115" s="203"/>
      <c r="F115" s="203"/>
      <c r="G115" s="203"/>
      <c r="H115" s="203"/>
      <c r="I115" s="203"/>
      <c r="J115" s="203"/>
      <c r="K115" s="204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22.5" customHeight="1">
      <c r="A116" s="203"/>
      <c r="B116" s="203"/>
      <c r="C116" s="204"/>
      <c r="D116" s="204"/>
      <c r="E116" s="203"/>
      <c r="F116" s="203"/>
      <c r="G116" s="203"/>
      <c r="H116" s="203"/>
      <c r="I116" s="203"/>
      <c r="J116" s="203"/>
      <c r="K116" s="204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22.5" customHeight="1">
      <c r="A117" s="203"/>
      <c r="B117" s="203"/>
      <c r="C117" s="204"/>
      <c r="D117" s="204"/>
      <c r="E117" s="203"/>
      <c r="F117" s="203"/>
      <c r="G117" s="203"/>
      <c r="H117" s="203"/>
      <c r="I117" s="203"/>
      <c r="J117" s="203"/>
      <c r="K117" s="204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22.5" customHeight="1">
      <c r="A118" s="203"/>
      <c r="B118" s="203"/>
      <c r="C118" s="204"/>
      <c r="D118" s="204"/>
      <c r="E118" s="203"/>
      <c r="F118" s="203"/>
      <c r="G118" s="203"/>
      <c r="H118" s="203"/>
      <c r="I118" s="203"/>
      <c r="J118" s="203"/>
      <c r="K118" s="204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22.5" customHeight="1">
      <c r="A119" s="203"/>
      <c r="B119" s="203"/>
      <c r="C119" s="204"/>
      <c r="D119" s="204"/>
      <c r="E119" s="203"/>
      <c r="F119" s="203"/>
      <c r="G119" s="203"/>
      <c r="H119" s="203"/>
      <c r="I119" s="203"/>
      <c r="J119" s="203"/>
      <c r="K119" s="204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22.5" customHeight="1">
      <c r="A120" s="203"/>
      <c r="B120" s="203"/>
      <c r="C120" s="204"/>
      <c r="D120" s="204"/>
      <c r="E120" s="203"/>
      <c r="F120" s="203"/>
      <c r="G120" s="203"/>
      <c r="H120" s="203"/>
      <c r="I120" s="203"/>
      <c r="J120" s="203"/>
      <c r="K120" s="204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22.5" customHeight="1">
      <c r="A121" s="203"/>
      <c r="B121" s="203"/>
      <c r="C121" s="204"/>
      <c r="D121" s="204"/>
      <c r="E121" s="203"/>
      <c r="F121" s="203"/>
      <c r="G121" s="203"/>
      <c r="H121" s="203"/>
      <c r="I121" s="203"/>
      <c r="J121" s="203"/>
      <c r="K121" s="204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22.5" customHeight="1">
      <c r="A122" s="203"/>
      <c r="B122" s="203"/>
      <c r="C122" s="204"/>
      <c r="D122" s="204"/>
      <c r="E122" s="203"/>
      <c r="F122" s="203"/>
      <c r="G122" s="203"/>
      <c r="H122" s="203"/>
      <c r="I122" s="203"/>
      <c r="J122" s="203"/>
      <c r="K122" s="204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22.5" customHeight="1">
      <c r="A123" s="203"/>
      <c r="B123" s="203"/>
      <c r="C123" s="204"/>
      <c r="D123" s="204"/>
      <c r="E123" s="203"/>
      <c r="F123" s="203"/>
      <c r="G123" s="203"/>
      <c r="H123" s="203"/>
      <c r="I123" s="203"/>
      <c r="J123" s="203"/>
      <c r="K123" s="204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22.5" customHeight="1">
      <c r="A124" s="203"/>
      <c r="B124" s="203"/>
      <c r="C124" s="204"/>
      <c r="D124" s="204"/>
      <c r="E124" s="203"/>
      <c r="F124" s="203"/>
      <c r="G124" s="203"/>
      <c r="H124" s="203"/>
      <c r="I124" s="203"/>
      <c r="J124" s="203"/>
      <c r="K124" s="204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22.5" customHeight="1">
      <c r="A125" s="203"/>
      <c r="B125" s="203"/>
      <c r="C125" s="204"/>
      <c r="D125" s="204"/>
      <c r="E125" s="203"/>
      <c r="F125" s="203"/>
      <c r="G125" s="203"/>
      <c r="H125" s="203"/>
      <c r="I125" s="203"/>
      <c r="J125" s="203"/>
      <c r="K125" s="204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22.5" customHeight="1">
      <c r="A126" s="203"/>
      <c r="B126" s="203"/>
      <c r="C126" s="204"/>
      <c r="D126" s="204"/>
      <c r="E126" s="203"/>
      <c r="F126" s="203"/>
      <c r="G126" s="203"/>
      <c r="H126" s="203"/>
      <c r="I126" s="203"/>
      <c r="J126" s="203"/>
      <c r="K126" s="204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22.5" customHeight="1">
      <c r="A127" s="203"/>
      <c r="B127" s="203"/>
      <c r="C127" s="204"/>
      <c r="D127" s="204"/>
      <c r="E127" s="203"/>
      <c r="F127" s="203"/>
      <c r="G127" s="203"/>
      <c r="H127" s="203"/>
      <c r="I127" s="203"/>
      <c r="J127" s="203"/>
      <c r="K127" s="204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22.5" customHeight="1">
      <c r="A128" s="203"/>
      <c r="B128" s="203"/>
      <c r="C128" s="204"/>
      <c r="D128" s="204"/>
      <c r="E128" s="203"/>
      <c r="F128" s="203"/>
      <c r="G128" s="203"/>
      <c r="H128" s="203"/>
      <c r="I128" s="203"/>
      <c r="J128" s="203"/>
      <c r="K128" s="204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22.5" customHeight="1">
      <c r="A129" s="203"/>
      <c r="B129" s="203"/>
      <c r="C129" s="204"/>
      <c r="D129" s="204"/>
      <c r="E129" s="203"/>
      <c r="F129" s="203"/>
      <c r="G129" s="203"/>
      <c r="H129" s="203"/>
      <c r="I129" s="203"/>
      <c r="J129" s="203"/>
      <c r="K129" s="204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22.5" customHeight="1">
      <c r="A130" s="203"/>
      <c r="B130" s="203"/>
      <c r="C130" s="204"/>
      <c r="D130" s="204"/>
      <c r="E130" s="203"/>
      <c r="F130" s="203"/>
      <c r="G130" s="203"/>
      <c r="H130" s="203"/>
      <c r="I130" s="203"/>
      <c r="J130" s="203"/>
      <c r="K130" s="204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22.5" customHeight="1">
      <c r="A131" s="203"/>
      <c r="B131" s="203"/>
      <c r="C131" s="204"/>
      <c r="D131" s="204"/>
      <c r="E131" s="203"/>
      <c r="F131" s="203"/>
      <c r="G131" s="203"/>
      <c r="H131" s="203"/>
      <c r="I131" s="203"/>
      <c r="J131" s="203"/>
      <c r="K131" s="204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22.5" customHeight="1">
      <c r="A132" s="203"/>
      <c r="B132" s="203"/>
      <c r="C132" s="204"/>
      <c r="D132" s="204"/>
      <c r="E132" s="203"/>
      <c r="F132" s="203"/>
      <c r="G132" s="203"/>
      <c r="H132" s="203"/>
      <c r="I132" s="203"/>
      <c r="J132" s="203"/>
      <c r="K132" s="204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22.5" customHeight="1">
      <c r="A133" s="203"/>
      <c r="B133" s="203"/>
      <c r="C133" s="204"/>
      <c r="D133" s="204"/>
      <c r="E133" s="203"/>
      <c r="F133" s="203"/>
      <c r="G133" s="203"/>
      <c r="H133" s="203"/>
      <c r="I133" s="203"/>
      <c r="J133" s="203"/>
      <c r="K133" s="204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22.5" customHeight="1">
      <c r="A134" s="203"/>
      <c r="B134" s="203"/>
      <c r="C134" s="204"/>
      <c r="D134" s="204"/>
      <c r="E134" s="203"/>
      <c r="F134" s="203"/>
      <c r="G134" s="203"/>
      <c r="H134" s="203"/>
      <c r="I134" s="203"/>
      <c r="J134" s="203"/>
      <c r="K134" s="204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22.5" customHeight="1">
      <c r="A135" s="203"/>
      <c r="B135" s="203"/>
      <c r="C135" s="204"/>
      <c r="D135" s="204"/>
      <c r="E135" s="203"/>
      <c r="F135" s="203"/>
      <c r="G135" s="203"/>
      <c r="H135" s="203"/>
      <c r="I135" s="203"/>
      <c r="J135" s="203"/>
      <c r="K135" s="204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22.5" customHeight="1">
      <c r="A136" s="203"/>
      <c r="B136" s="203"/>
      <c r="C136" s="204"/>
      <c r="D136" s="204"/>
      <c r="E136" s="203"/>
      <c r="F136" s="203"/>
      <c r="G136" s="203"/>
      <c r="H136" s="203"/>
      <c r="I136" s="203"/>
      <c r="J136" s="203"/>
      <c r="K136" s="204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22.5" customHeight="1">
      <c r="A137" s="203"/>
      <c r="B137" s="203"/>
      <c r="C137" s="204"/>
      <c r="D137" s="204"/>
      <c r="E137" s="203"/>
      <c r="F137" s="203"/>
      <c r="G137" s="203"/>
      <c r="H137" s="203"/>
      <c r="I137" s="203"/>
      <c r="J137" s="203"/>
      <c r="K137" s="204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22.5" customHeight="1">
      <c r="A138" s="203"/>
      <c r="B138" s="203"/>
      <c r="C138" s="204"/>
      <c r="D138" s="204"/>
      <c r="E138" s="203"/>
      <c r="F138" s="203"/>
      <c r="G138" s="203"/>
      <c r="H138" s="203"/>
      <c r="I138" s="203"/>
      <c r="J138" s="203"/>
      <c r="K138" s="204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22.5" customHeight="1">
      <c r="A139" s="203"/>
      <c r="B139" s="203"/>
      <c r="C139" s="204"/>
      <c r="D139" s="204"/>
      <c r="E139" s="203"/>
      <c r="F139" s="203"/>
      <c r="G139" s="203"/>
      <c r="H139" s="203"/>
      <c r="I139" s="203"/>
      <c r="J139" s="203"/>
      <c r="K139" s="204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22.5" customHeight="1">
      <c r="A140" s="203"/>
      <c r="B140" s="203"/>
      <c r="C140" s="204"/>
      <c r="D140" s="204"/>
      <c r="E140" s="203"/>
      <c r="F140" s="203"/>
      <c r="G140" s="203"/>
      <c r="H140" s="203"/>
      <c r="I140" s="203"/>
      <c r="J140" s="203"/>
      <c r="K140" s="204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22.5" customHeight="1">
      <c r="A141" s="203"/>
      <c r="B141" s="203"/>
      <c r="C141" s="204"/>
      <c r="D141" s="204"/>
      <c r="E141" s="203"/>
      <c r="F141" s="203"/>
      <c r="G141" s="203"/>
      <c r="H141" s="203"/>
      <c r="I141" s="203"/>
      <c r="J141" s="203"/>
      <c r="K141" s="204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22.5" customHeight="1">
      <c r="A142" s="203"/>
      <c r="B142" s="203"/>
      <c r="C142" s="204"/>
      <c r="D142" s="204"/>
      <c r="E142" s="203"/>
      <c r="F142" s="203"/>
      <c r="G142" s="203"/>
      <c r="H142" s="203"/>
      <c r="I142" s="203"/>
      <c r="J142" s="203"/>
      <c r="K142" s="204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22.5" customHeight="1">
      <c r="A143" s="203"/>
      <c r="B143" s="203"/>
      <c r="C143" s="204"/>
      <c r="D143" s="204"/>
      <c r="E143" s="203"/>
      <c r="F143" s="203"/>
      <c r="G143" s="203"/>
      <c r="H143" s="203"/>
      <c r="I143" s="203"/>
      <c r="J143" s="203"/>
      <c r="K143" s="204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22.5" customHeight="1">
      <c r="A144" s="203"/>
      <c r="B144" s="203"/>
      <c r="C144" s="204"/>
      <c r="D144" s="204"/>
      <c r="E144" s="203"/>
      <c r="F144" s="203"/>
      <c r="G144" s="203"/>
      <c r="H144" s="203"/>
      <c r="I144" s="203"/>
      <c r="J144" s="203"/>
      <c r="K144" s="204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22.5" customHeight="1">
      <c r="A145" s="203"/>
      <c r="B145" s="203"/>
      <c r="C145" s="204"/>
      <c r="D145" s="204"/>
      <c r="E145" s="203"/>
      <c r="F145" s="203"/>
      <c r="G145" s="203"/>
      <c r="H145" s="203"/>
      <c r="I145" s="203"/>
      <c r="J145" s="203"/>
      <c r="K145" s="204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22.5" customHeight="1">
      <c r="A146" s="203"/>
      <c r="B146" s="203"/>
      <c r="C146" s="204"/>
      <c r="D146" s="204"/>
      <c r="E146" s="203"/>
      <c r="F146" s="203"/>
      <c r="G146" s="203"/>
      <c r="H146" s="203"/>
      <c r="I146" s="203"/>
      <c r="J146" s="203"/>
      <c r="K146" s="204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22.5" customHeight="1">
      <c r="A147" s="203"/>
      <c r="B147" s="203"/>
      <c r="C147" s="204"/>
      <c r="D147" s="204"/>
      <c r="E147" s="203"/>
      <c r="F147" s="203"/>
      <c r="G147" s="203"/>
      <c r="H147" s="203"/>
      <c r="I147" s="203"/>
      <c r="J147" s="203"/>
      <c r="K147" s="204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22.5" customHeight="1">
      <c r="A148" s="203"/>
      <c r="B148" s="203"/>
      <c r="C148" s="204"/>
      <c r="D148" s="204"/>
      <c r="E148" s="203"/>
      <c r="F148" s="203"/>
      <c r="G148" s="203"/>
      <c r="H148" s="203"/>
      <c r="I148" s="203"/>
      <c r="J148" s="203"/>
      <c r="K148" s="204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22.5" customHeight="1">
      <c r="A149" s="203"/>
      <c r="B149" s="203"/>
      <c r="C149" s="204"/>
      <c r="D149" s="204"/>
      <c r="E149" s="203"/>
      <c r="F149" s="203"/>
      <c r="G149" s="203"/>
      <c r="H149" s="203"/>
      <c r="I149" s="203"/>
      <c r="J149" s="203"/>
      <c r="K149" s="204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22.5" customHeight="1">
      <c r="A150" s="203"/>
      <c r="B150" s="203"/>
      <c r="C150" s="204"/>
      <c r="D150" s="204"/>
      <c r="E150" s="203"/>
      <c r="F150" s="203"/>
      <c r="G150" s="203"/>
      <c r="H150" s="203"/>
      <c r="I150" s="203"/>
      <c r="J150" s="203"/>
      <c r="K150" s="204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22.5" customHeight="1">
      <c r="A151" s="203"/>
      <c r="B151" s="203"/>
      <c r="C151" s="204"/>
      <c r="D151" s="204"/>
      <c r="E151" s="203"/>
      <c r="F151" s="203"/>
      <c r="G151" s="203"/>
      <c r="H151" s="203"/>
      <c r="I151" s="203"/>
      <c r="J151" s="203"/>
      <c r="K151" s="204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22.5" customHeight="1">
      <c r="A152" s="203"/>
      <c r="B152" s="203"/>
      <c r="C152" s="204"/>
      <c r="D152" s="204"/>
      <c r="E152" s="203"/>
      <c r="F152" s="203"/>
      <c r="G152" s="203"/>
      <c r="H152" s="203"/>
      <c r="I152" s="203"/>
      <c r="J152" s="203"/>
      <c r="K152" s="204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22.5" customHeight="1">
      <c r="A153" s="203"/>
      <c r="B153" s="203"/>
      <c r="C153" s="204"/>
      <c r="D153" s="204"/>
      <c r="E153" s="203"/>
      <c r="F153" s="203"/>
      <c r="G153" s="203"/>
      <c r="H153" s="203"/>
      <c r="I153" s="203"/>
      <c r="J153" s="203"/>
      <c r="K153" s="204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22.5" customHeight="1">
      <c r="A154" s="203"/>
      <c r="B154" s="203"/>
      <c r="C154" s="204"/>
      <c r="D154" s="204"/>
      <c r="E154" s="203"/>
      <c r="F154" s="203"/>
      <c r="G154" s="203"/>
      <c r="H154" s="203"/>
      <c r="I154" s="203"/>
      <c r="J154" s="203"/>
      <c r="K154" s="204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22.5" customHeight="1">
      <c r="A155" s="203"/>
      <c r="B155" s="203"/>
      <c r="C155" s="204"/>
      <c r="D155" s="204"/>
      <c r="E155" s="203"/>
      <c r="F155" s="203"/>
      <c r="G155" s="203"/>
      <c r="H155" s="203"/>
      <c r="I155" s="203"/>
      <c r="J155" s="203"/>
      <c r="K155" s="204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22.5" customHeight="1">
      <c r="A156" s="203"/>
      <c r="B156" s="203"/>
      <c r="C156" s="204"/>
      <c r="D156" s="204"/>
      <c r="E156" s="203"/>
      <c r="F156" s="203"/>
      <c r="G156" s="203"/>
      <c r="H156" s="203"/>
      <c r="I156" s="203"/>
      <c r="J156" s="203"/>
      <c r="K156" s="204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22.5" customHeight="1">
      <c r="A157" s="203"/>
      <c r="B157" s="203"/>
      <c r="C157" s="204"/>
      <c r="D157" s="204"/>
      <c r="E157" s="203"/>
      <c r="F157" s="203"/>
      <c r="G157" s="203"/>
      <c r="H157" s="203"/>
      <c r="I157" s="203"/>
      <c r="J157" s="203"/>
      <c r="K157" s="204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22.5" customHeight="1">
      <c r="A158" s="203"/>
      <c r="B158" s="203"/>
      <c r="C158" s="204"/>
      <c r="D158" s="204"/>
      <c r="E158" s="203"/>
      <c r="F158" s="203"/>
      <c r="G158" s="203"/>
      <c r="H158" s="203"/>
      <c r="I158" s="203"/>
      <c r="J158" s="203"/>
      <c r="K158" s="204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22.5" customHeight="1">
      <c r="A159" s="203"/>
      <c r="B159" s="203"/>
      <c r="C159" s="204"/>
      <c r="D159" s="204"/>
      <c r="E159" s="203"/>
      <c r="F159" s="203"/>
      <c r="G159" s="203"/>
      <c r="H159" s="203"/>
      <c r="I159" s="203"/>
      <c r="J159" s="203"/>
      <c r="K159" s="204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22.5" customHeight="1">
      <c r="A160" s="203"/>
      <c r="B160" s="203"/>
      <c r="C160" s="204"/>
      <c r="D160" s="204"/>
      <c r="E160" s="203"/>
      <c r="F160" s="203"/>
      <c r="G160" s="203"/>
      <c r="H160" s="203"/>
      <c r="I160" s="203"/>
      <c r="J160" s="203"/>
      <c r="K160" s="204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22.5" customHeight="1">
      <c r="A161" s="203"/>
      <c r="B161" s="203"/>
      <c r="C161" s="204"/>
      <c r="D161" s="204"/>
      <c r="E161" s="203"/>
      <c r="F161" s="203"/>
      <c r="G161" s="203"/>
      <c r="H161" s="203"/>
      <c r="I161" s="203"/>
      <c r="J161" s="203"/>
      <c r="K161" s="204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22.5" customHeight="1">
      <c r="A162" s="203"/>
      <c r="B162" s="203"/>
      <c r="C162" s="204"/>
      <c r="D162" s="204"/>
      <c r="E162" s="203"/>
      <c r="F162" s="203"/>
      <c r="G162" s="203"/>
      <c r="H162" s="203"/>
      <c r="I162" s="203"/>
      <c r="J162" s="203"/>
      <c r="K162" s="204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22.5" customHeight="1">
      <c r="A163" s="203"/>
      <c r="B163" s="203"/>
      <c r="C163" s="204"/>
      <c r="D163" s="204"/>
      <c r="E163" s="203"/>
      <c r="F163" s="203"/>
      <c r="G163" s="203"/>
      <c r="H163" s="203"/>
      <c r="I163" s="203"/>
      <c r="J163" s="203"/>
      <c r="K163" s="204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22.5" customHeight="1">
      <c r="A164" s="203"/>
      <c r="B164" s="203"/>
      <c r="C164" s="204"/>
      <c r="D164" s="204"/>
      <c r="E164" s="203"/>
      <c r="F164" s="203"/>
      <c r="G164" s="203"/>
      <c r="H164" s="203"/>
      <c r="I164" s="203"/>
      <c r="J164" s="203"/>
      <c r="K164" s="204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22.5" customHeight="1">
      <c r="A165" s="203"/>
      <c r="B165" s="203"/>
      <c r="C165" s="204"/>
      <c r="D165" s="204"/>
      <c r="E165" s="203"/>
      <c r="F165" s="203"/>
      <c r="G165" s="203"/>
      <c r="H165" s="203"/>
      <c r="I165" s="203"/>
      <c r="J165" s="203"/>
      <c r="K165" s="204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22.5" customHeight="1">
      <c r="A166" s="203"/>
      <c r="B166" s="203"/>
      <c r="C166" s="204"/>
      <c r="D166" s="204"/>
      <c r="E166" s="203"/>
      <c r="F166" s="203"/>
      <c r="G166" s="203"/>
      <c r="H166" s="203"/>
      <c r="I166" s="203"/>
      <c r="J166" s="203"/>
      <c r="K166" s="204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22.5" customHeight="1">
      <c r="A167" s="203"/>
      <c r="B167" s="203"/>
      <c r="C167" s="204"/>
      <c r="D167" s="204"/>
      <c r="E167" s="203"/>
      <c r="F167" s="203"/>
      <c r="G167" s="203"/>
      <c r="H167" s="203"/>
      <c r="I167" s="203"/>
      <c r="J167" s="203"/>
      <c r="K167" s="204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22.5" customHeight="1">
      <c r="A168" s="203"/>
      <c r="B168" s="203"/>
      <c r="C168" s="204"/>
      <c r="D168" s="204"/>
      <c r="E168" s="203"/>
      <c r="F168" s="203"/>
      <c r="G168" s="203"/>
      <c r="H168" s="203"/>
      <c r="I168" s="203"/>
      <c r="J168" s="203"/>
      <c r="K168" s="204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22.5" customHeight="1">
      <c r="A169" s="203"/>
      <c r="B169" s="203"/>
      <c r="C169" s="204"/>
      <c r="D169" s="204"/>
      <c r="E169" s="203"/>
      <c r="F169" s="203"/>
      <c r="G169" s="203"/>
      <c r="H169" s="203"/>
      <c r="I169" s="203"/>
      <c r="J169" s="203"/>
      <c r="K169" s="204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22.5" customHeight="1">
      <c r="A170" s="203"/>
      <c r="B170" s="203"/>
      <c r="C170" s="204"/>
      <c r="D170" s="204"/>
      <c r="E170" s="203"/>
      <c r="F170" s="203"/>
      <c r="G170" s="203"/>
      <c r="H170" s="203"/>
      <c r="I170" s="203"/>
      <c r="J170" s="203"/>
      <c r="K170" s="204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22.5" customHeight="1">
      <c r="A171" s="203"/>
      <c r="B171" s="203"/>
      <c r="C171" s="204"/>
      <c r="D171" s="204"/>
      <c r="E171" s="203"/>
      <c r="F171" s="203"/>
      <c r="G171" s="203"/>
      <c r="H171" s="203"/>
      <c r="I171" s="203"/>
      <c r="J171" s="203"/>
      <c r="K171" s="204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22.5" customHeight="1">
      <c r="A172" s="203"/>
      <c r="B172" s="203"/>
      <c r="C172" s="204"/>
      <c r="D172" s="204"/>
      <c r="E172" s="203"/>
      <c r="F172" s="203"/>
      <c r="G172" s="203"/>
      <c r="H172" s="203"/>
      <c r="I172" s="203"/>
      <c r="J172" s="203"/>
      <c r="K172" s="204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22.5" customHeight="1">
      <c r="A173" s="203"/>
      <c r="B173" s="203"/>
      <c r="C173" s="204"/>
      <c r="D173" s="204"/>
      <c r="E173" s="203"/>
      <c r="F173" s="203"/>
      <c r="G173" s="203"/>
      <c r="H173" s="203"/>
      <c r="I173" s="203"/>
      <c r="J173" s="203"/>
      <c r="K173" s="204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22.5" customHeight="1">
      <c r="A174" s="203"/>
      <c r="B174" s="203"/>
      <c r="C174" s="204"/>
      <c r="D174" s="204"/>
      <c r="E174" s="203"/>
      <c r="F174" s="203"/>
      <c r="G174" s="203"/>
      <c r="H174" s="203"/>
      <c r="I174" s="203"/>
      <c r="J174" s="203"/>
      <c r="K174" s="204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22.5" customHeight="1">
      <c r="A175" s="203"/>
      <c r="B175" s="203"/>
      <c r="C175" s="204"/>
      <c r="D175" s="204"/>
      <c r="E175" s="203"/>
      <c r="F175" s="203"/>
      <c r="G175" s="203"/>
      <c r="H175" s="203"/>
      <c r="I175" s="203"/>
      <c r="J175" s="203"/>
      <c r="K175" s="204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22.5" customHeight="1">
      <c r="A176" s="203"/>
      <c r="B176" s="203"/>
      <c r="C176" s="204"/>
      <c r="D176" s="204"/>
      <c r="E176" s="203"/>
      <c r="F176" s="203"/>
      <c r="G176" s="203"/>
      <c r="H176" s="203"/>
      <c r="I176" s="203"/>
      <c r="J176" s="203"/>
      <c r="K176" s="204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22.5" customHeight="1">
      <c r="A177" s="203"/>
      <c r="B177" s="203"/>
      <c r="C177" s="204"/>
      <c r="D177" s="204"/>
      <c r="E177" s="203"/>
      <c r="F177" s="203"/>
      <c r="G177" s="203"/>
      <c r="H177" s="203"/>
      <c r="I177" s="203"/>
      <c r="J177" s="203"/>
      <c r="K177" s="204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22.5" customHeight="1">
      <c r="A178" s="203"/>
      <c r="B178" s="203"/>
      <c r="C178" s="204"/>
      <c r="D178" s="204"/>
      <c r="E178" s="203"/>
      <c r="F178" s="203"/>
      <c r="G178" s="203"/>
      <c r="H178" s="203"/>
      <c r="I178" s="203"/>
      <c r="J178" s="203"/>
      <c r="K178" s="204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22.5" customHeight="1">
      <c r="A179" s="203"/>
      <c r="B179" s="203"/>
      <c r="C179" s="204"/>
      <c r="D179" s="204"/>
      <c r="E179" s="203"/>
      <c r="F179" s="203"/>
      <c r="G179" s="203"/>
      <c r="H179" s="203"/>
      <c r="I179" s="203"/>
      <c r="J179" s="203"/>
      <c r="K179" s="204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22.5" customHeight="1">
      <c r="A180" s="203"/>
      <c r="B180" s="203"/>
      <c r="C180" s="204"/>
      <c r="D180" s="204"/>
      <c r="E180" s="203"/>
      <c r="F180" s="203"/>
      <c r="G180" s="203"/>
      <c r="H180" s="203"/>
      <c r="I180" s="203"/>
      <c r="J180" s="203"/>
      <c r="K180" s="204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22.5" customHeight="1">
      <c r="A181" s="203"/>
      <c r="B181" s="203"/>
      <c r="C181" s="204"/>
      <c r="D181" s="204"/>
      <c r="E181" s="203"/>
      <c r="F181" s="203"/>
      <c r="G181" s="203"/>
      <c r="H181" s="203"/>
      <c r="I181" s="203"/>
      <c r="J181" s="203"/>
      <c r="K181" s="204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22.5" customHeight="1">
      <c r="A182" s="203"/>
      <c r="B182" s="203"/>
      <c r="C182" s="204"/>
      <c r="D182" s="204"/>
      <c r="E182" s="203"/>
      <c r="F182" s="203"/>
      <c r="G182" s="203"/>
      <c r="H182" s="203"/>
      <c r="I182" s="203"/>
      <c r="J182" s="203"/>
      <c r="K182" s="204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22.5" customHeight="1">
      <c r="A183" s="203"/>
      <c r="B183" s="203"/>
      <c r="C183" s="204"/>
      <c r="D183" s="204"/>
      <c r="E183" s="203"/>
      <c r="F183" s="203"/>
      <c r="G183" s="203"/>
      <c r="H183" s="203"/>
      <c r="I183" s="203"/>
      <c r="J183" s="203"/>
      <c r="K183" s="204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22.5" customHeight="1">
      <c r="A184" s="203"/>
      <c r="B184" s="203"/>
      <c r="C184" s="204"/>
      <c r="D184" s="204"/>
      <c r="E184" s="203"/>
      <c r="F184" s="203"/>
      <c r="G184" s="203"/>
      <c r="H184" s="203"/>
      <c r="I184" s="203"/>
      <c r="J184" s="203"/>
      <c r="K184" s="204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22.5" customHeight="1">
      <c r="A185" s="203"/>
      <c r="B185" s="203"/>
      <c r="C185" s="204"/>
      <c r="D185" s="204"/>
      <c r="E185" s="203"/>
      <c r="F185" s="203"/>
      <c r="G185" s="203"/>
      <c r="H185" s="203"/>
      <c r="I185" s="203"/>
      <c r="J185" s="203"/>
      <c r="K185" s="204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22.5" customHeight="1">
      <c r="A186" s="203"/>
      <c r="B186" s="203"/>
      <c r="C186" s="204"/>
      <c r="D186" s="204"/>
      <c r="E186" s="203"/>
      <c r="F186" s="203"/>
      <c r="G186" s="203"/>
      <c r="H186" s="203"/>
      <c r="I186" s="203"/>
      <c r="J186" s="203"/>
      <c r="K186" s="204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22.5" customHeight="1">
      <c r="A187" s="203"/>
      <c r="B187" s="203"/>
      <c r="C187" s="204"/>
      <c r="D187" s="204"/>
      <c r="E187" s="203"/>
      <c r="F187" s="203"/>
      <c r="G187" s="203"/>
      <c r="H187" s="203"/>
      <c r="I187" s="203"/>
      <c r="J187" s="203"/>
      <c r="K187" s="204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22.5" customHeight="1">
      <c r="A188" s="203"/>
      <c r="B188" s="203"/>
      <c r="C188" s="204"/>
      <c r="D188" s="204"/>
      <c r="E188" s="203"/>
      <c r="F188" s="203"/>
      <c r="G188" s="203"/>
      <c r="H188" s="203"/>
      <c r="I188" s="203"/>
      <c r="J188" s="203"/>
      <c r="K188" s="204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22.5" customHeight="1">
      <c r="A189" s="203"/>
      <c r="B189" s="203"/>
      <c r="C189" s="204"/>
      <c r="D189" s="204"/>
      <c r="E189" s="203"/>
      <c r="F189" s="203"/>
      <c r="G189" s="203"/>
      <c r="H189" s="203"/>
      <c r="I189" s="203"/>
      <c r="J189" s="203"/>
      <c r="K189" s="204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22.5" customHeight="1">
      <c r="A190" s="203"/>
      <c r="B190" s="203"/>
      <c r="C190" s="204"/>
      <c r="D190" s="204"/>
      <c r="E190" s="203"/>
      <c r="F190" s="203"/>
      <c r="G190" s="203"/>
      <c r="H190" s="203"/>
      <c r="I190" s="203"/>
      <c r="J190" s="203"/>
      <c r="K190" s="204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22.5" customHeight="1">
      <c r="A191" s="203"/>
      <c r="B191" s="203"/>
      <c r="C191" s="204"/>
      <c r="D191" s="204"/>
      <c r="E191" s="203"/>
      <c r="F191" s="203"/>
      <c r="G191" s="203"/>
      <c r="H191" s="203"/>
      <c r="I191" s="203"/>
      <c r="J191" s="203"/>
      <c r="K191" s="204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22.5" customHeight="1">
      <c r="A192" s="203"/>
      <c r="B192" s="203"/>
      <c r="C192" s="204"/>
      <c r="D192" s="204"/>
      <c r="E192" s="203"/>
      <c r="F192" s="203"/>
      <c r="G192" s="203"/>
      <c r="H192" s="203"/>
      <c r="I192" s="203"/>
      <c r="J192" s="203"/>
      <c r="K192" s="204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22.5" customHeight="1">
      <c r="A193" s="203"/>
      <c r="B193" s="203"/>
      <c r="C193" s="204"/>
      <c r="D193" s="204"/>
      <c r="E193" s="203"/>
      <c r="F193" s="203"/>
      <c r="G193" s="203"/>
      <c r="H193" s="203"/>
      <c r="I193" s="203"/>
      <c r="J193" s="203"/>
      <c r="K193" s="204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22.5" customHeight="1">
      <c r="A194" s="203"/>
      <c r="B194" s="203"/>
      <c r="C194" s="204"/>
      <c r="D194" s="204"/>
      <c r="E194" s="203"/>
      <c r="F194" s="203"/>
      <c r="G194" s="203"/>
      <c r="H194" s="203"/>
      <c r="I194" s="203"/>
      <c r="J194" s="203"/>
      <c r="K194" s="204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22.5" customHeight="1">
      <c r="A195" s="203"/>
      <c r="B195" s="203"/>
      <c r="C195" s="204"/>
      <c r="D195" s="204"/>
      <c r="E195" s="203"/>
      <c r="F195" s="203"/>
      <c r="G195" s="203"/>
      <c r="H195" s="203"/>
      <c r="I195" s="203"/>
      <c r="J195" s="203"/>
      <c r="K195" s="204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22.5" customHeight="1">
      <c r="A196" s="203"/>
      <c r="B196" s="203"/>
      <c r="C196" s="204"/>
      <c r="D196" s="204"/>
      <c r="E196" s="203"/>
      <c r="F196" s="203"/>
      <c r="G196" s="203"/>
      <c r="H196" s="203"/>
      <c r="I196" s="203"/>
      <c r="J196" s="203"/>
      <c r="K196" s="204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22.5" customHeight="1">
      <c r="A197" s="203"/>
      <c r="B197" s="203"/>
      <c r="C197" s="204"/>
      <c r="D197" s="204"/>
      <c r="E197" s="203"/>
      <c r="F197" s="203"/>
      <c r="G197" s="203"/>
      <c r="H197" s="203"/>
      <c r="I197" s="203"/>
      <c r="J197" s="203"/>
      <c r="K197" s="204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22.5" customHeight="1">
      <c r="A198" s="203"/>
      <c r="B198" s="203"/>
      <c r="C198" s="204"/>
      <c r="D198" s="204"/>
      <c r="E198" s="203"/>
      <c r="F198" s="203"/>
      <c r="G198" s="203"/>
      <c r="H198" s="203"/>
      <c r="I198" s="203"/>
      <c r="J198" s="203"/>
      <c r="K198" s="204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22.5" customHeight="1">
      <c r="A199" s="203"/>
      <c r="B199" s="203"/>
      <c r="C199" s="204"/>
      <c r="D199" s="204"/>
      <c r="E199" s="203"/>
      <c r="F199" s="203"/>
      <c r="G199" s="203"/>
      <c r="H199" s="203"/>
      <c r="I199" s="203"/>
      <c r="J199" s="203"/>
      <c r="K199" s="204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22.5" customHeight="1">
      <c r="A200" s="203"/>
      <c r="B200" s="203"/>
      <c r="C200" s="204"/>
      <c r="D200" s="204"/>
      <c r="E200" s="203"/>
      <c r="F200" s="203"/>
      <c r="G200" s="203"/>
      <c r="H200" s="203"/>
      <c r="I200" s="203"/>
      <c r="J200" s="203"/>
      <c r="K200" s="204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22.5" customHeight="1">
      <c r="A201" s="203"/>
      <c r="B201" s="203"/>
      <c r="C201" s="204"/>
      <c r="D201" s="204"/>
      <c r="E201" s="203"/>
      <c r="F201" s="203"/>
      <c r="G201" s="203"/>
      <c r="H201" s="203"/>
      <c r="I201" s="203"/>
      <c r="J201" s="203"/>
      <c r="K201" s="204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22.5" customHeight="1">
      <c r="A202" s="203"/>
      <c r="B202" s="203"/>
      <c r="C202" s="204"/>
      <c r="D202" s="204"/>
      <c r="E202" s="203"/>
      <c r="F202" s="203"/>
      <c r="G202" s="203"/>
      <c r="H202" s="203"/>
      <c r="I202" s="203"/>
      <c r="J202" s="203"/>
      <c r="K202" s="204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22.5" customHeight="1">
      <c r="A203" s="203"/>
      <c r="B203" s="203"/>
      <c r="C203" s="204"/>
      <c r="D203" s="204"/>
      <c r="E203" s="203"/>
      <c r="F203" s="203"/>
      <c r="G203" s="203"/>
      <c r="H203" s="203"/>
      <c r="I203" s="203"/>
      <c r="J203" s="203"/>
      <c r="K203" s="204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22.5" customHeight="1">
      <c r="A204" s="203"/>
      <c r="B204" s="203"/>
      <c r="C204" s="204"/>
      <c r="D204" s="204"/>
      <c r="E204" s="203"/>
      <c r="F204" s="203"/>
      <c r="G204" s="203"/>
      <c r="H204" s="203"/>
      <c r="I204" s="203"/>
      <c r="J204" s="203"/>
      <c r="K204" s="204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22.5" customHeight="1">
      <c r="A205" s="203"/>
      <c r="B205" s="203"/>
      <c r="C205" s="204"/>
      <c r="D205" s="204"/>
      <c r="E205" s="203"/>
      <c r="F205" s="203"/>
      <c r="G205" s="203"/>
      <c r="H205" s="203"/>
      <c r="I205" s="203"/>
      <c r="J205" s="203"/>
      <c r="K205" s="204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22.5" customHeight="1">
      <c r="A206" s="203"/>
      <c r="B206" s="203"/>
      <c r="C206" s="204"/>
      <c r="D206" s="204"/>
      <c r="E206" s="203"/>
      <c r="F206" s="203"/>
      <c r="G206" s="203"/>
      <c r="H206" s="203"/>
      <c r="I206" s="203"/>
      <c r="J206" s="203"/>
      <c r="K206" s="204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22.5" customHeight="1">
      <c r="A207" s="203"/>
      <c r="B207" s="203"/>
      <c r="C207" s="204"/>
      <c r="D207" s="204"/>
      <c r="E207" s="203"/>
      <c r="F207" s="203"/>
      <c r="G207" s="203"/>
      <c r="H207" s="203"/>
      <c r="I207" s="203"/>
      <c r="J207" s="203"/>
      <c r="K207" s="204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22.5" customHeight="1">
      <c r="A208" s="203"/>
      <c r="B208" s="203"/>
      <c r="C208" s="204"/>
      <c r="D208" s="204"/>
      <c r="E208" s="203"/>
      <c r="F208" s="203"/>
      <c r="G208" s="203"/>
      <c r="H208" s="203"/>
      <c r="I208" s="203"/>
      <c r="J208" s="203"/>
      <c r="K208" s="204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22.5" customHeight="1">
      <c r="A209" s="203"/>
      <c r="B209" s="203"/>
      <c r="C209" s="204"/>
      <c r="D209" s="204"/>
      <c r="E209" s="203"/>
      <c r="F209" s="203"/>
      <c r="G209" s="203"/>
      <c r="H209" s="203"/>
      <c r="I209" s="203"/>
      <c r="J209" s="203"/>
      <c r="K209" s="204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22.5" customHeight="1">
      <c r="A210" s="203"/>
      <c r="B210" s="203"/>
      <c r="C210" s="204"/>
      <c r="D210" s="204"/>
      <c r="E210" s="203"/>
      <c r="F210" s="203"/>
      <c r="G210" s="203"/>
      <c r="H210" s="203"/>
      <c r="I210" s="203"/>
      <c r="J210" s="203"/>
      <c r="K210" s="204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22.5" customHeight="1">
      <c r="A211" s="203"/>
      <c r="B211" s="203"/>
      <c r="C211" s="204"/>
      <c r="D211" s="204"/>
      <c r="E211" s="203"/>
      <c r="F211" s="203"/>
      <c r="G211" s="203"/>
      <c r="H211" s="203"/>
      <c r="I211" s="203"/>
      <c r="J211" s="203"/>
      <c r="K211" s="204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22.5" customHeight="1">
      <c r="A212" s="203"/>
      <c r="B212" s="203"/>
      <c r="C212" s="204"/>
      <c r="D212" s="204"/>
      <c r="E212" s="203"/>
      <c r="F212" s="203"/>
      <c r="G212" s="203"/>
      <c r="H212" s="203"/>
      <c r="I212" s="203"/>
      <c r="J212" s="203"/>
      <c r="K212" s="204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22.5" customHeight="1">
      <c r="A213" s="203"/>
      <c r="B213" s="203"/>
      <c r="C213" s="204"/>
      <c r="D213" s="204"/>
      <c r="E213" s="203"/>
      <c r="F213" s="203"/>
      <c r="G213" s="203"/>
      <c r="H213" s="203"/>
      <c r="I213" s="203"/>
      <c r="J213" s="203"/>
      <c r="K213" s="204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22.5" customHeight="1">
      <c r="A214" s="203"/>
      <c r="B214" s="203"/>
      <c r="C214" s="204"/>
      <c r="D214" s="204"/>
      <c r="E214" s="203"/>
      <c r="F214" s="203"/>
      <c r="G214" s="203"/>
      <c r="H214" s="203"/>
      <c r="I214" s="203"/>
      <c r="J214" s="203"/>
      <c r="K214" s="204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22.5" customHeight="1">
      <c r="A215" s="203"/>
      <c r="B215" s="203"/>
      <c r="C215" s="204"/>
      <c r="D215" s="204"/>
      <c r="E215" s="203"/>
      <c r="F215" s="203"/>
      <c r="G215" s="203"/>
      <c r="H215" s="203"/>
      <c r="I215" s="203"/>
      <c r="J215" s="203"/>
      <c r="K215" s="204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22.5" customHeight="1">
      <c r="A216" s="203"/>
      <c r="B216" s="203"/>
      <c r="C216" s="204"/>
      <c r="D216" s="204"/>
      <c r="E216" s="203"/>
      <c r="F216" s="203"/>
      <c r="G216" s="203"/>
      <c r="H216" s="203"/>
      <c r="I216" s="203"/>
      <c r="J216" s="203"/>
      <c r="K216" s="204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22.5" customHeight="1">
      <c r="A217" s="203"/>
      <c r="B217" s="203"/>
      <c r="C217" s="204"/>
      <c r="D217" s="204"/>
      <c r="E217" s="203"/>
      <c r="F217" s="203"/>
      <c r="G217" s="203"/>
      <c r="H217" s="203"/>
      <c r="I217" s="203"/>
      <c r="J217" s="203"/>
      <c r="K217" s="204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22.5" customHeight="1">
      <c r="A218" s="203"/>
      <c r="B218" s="203"/>
      <c r="C218" s="204"/>
      <c r="D218" s="204"/>
      <c r="E218" s="203"/>
      <c r="F218" s="203"/>
      <c r="G218" s="203"/>
      <c r="H218" s="203"/>
      <c r="I218" s="203"/>
      <c r="J218" s="203"/>
      <c r="K218" s="204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22.5" customHeight="1">
      <c r="A219" s="203"/>
      <c r="B219" s="203"/>
      <c r="C219" s="204"/>
      <c r="D219" s="204"/>
      <c r="E219" s="203"/>
      <c r="F219" s="203"/>
      <c r="G219" s="203"/>
      <c r="H219" s="203"/>
      <c r="I219" s="203"/>
      <c r="J219" s="203"/>
      <c r="K219" s="204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22.5" customHeight="1">
      <c r="A220" s="203"/>
      <c r="B220" s="203"/>
      <c r="C220" s="204"/>
      <c r="D220" s="204"/>
      <c r="E220" s="203"/>
      <c r="F220" s="203"/>
      <c r="G220" s="203"/>
      <c r="H220" s="203"/>
      <c r="I220" s="203"/>
      <c r="J220" s="203"/>
      <c r="K220" s="204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22.5" customHeight="1">
      <c r="A221" s="203"/>
      <c r="B221" s="203"/>
      <c r="C221" s="204"/>
      <c r="D221" s="204"/>
      <c r="E221" s="203"/>
      <c r="F221" s="203"/>
      <c r="G221" s="203"/>
      <c r="H221" s="203"/>
      <c r="I221" s="203"/>
      <c r="J221" s="203"/>
      <c r="K221" s="204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22.5" customHeight="1">
      <c r="A222" s="203"/>
      <c r="B222" s="203"/>
      <c r="C222" s="204"/>
      <c r="D222" s="204"/>
      <c r="E222" s="203"/>
      <c r="F222" s="203"/>
      <c r="G222" s="203"/>
      <c r="H222" s="203"/>
      <c r="I222" s="203"/>
      <c r="J222" s="203"/>
      <c r="K222" s="204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22.5" customHeight="1">
      <c r="A223" s="203"/>
      <c r="B223" s="203"/>
      <c r="C223" s="204"/>
      <c r="D223" s="204"/>
      <c r="E223" s="203"/>
      <c r="F223" s="203"/>
      <c r="G223" s="203"/>
      <c r="H223" s="203"/>
      <c r="I223" s="203"/>
      <c r="J223" s="203"/>
      <c r="K223" s="204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44"/>
      <c r="B224" s="44"/>
      <c r="C224" s="44"/>
      <c r="D224" s="44"/>
      <c r="E224" s="44"/>
      <c r="F224" s="44"/>
      <c r="K224" s="44"/>
      <c r="L224" s="44"/>
      <c r="M224" s="44"/>
    </row>
    <row r="225" ht="15.75" customHeight="1">
      <c r="A225" s="44"/>
      <c r="B225" s="44"/>
      <c r="C225" s="44"/>
      <c r="D225" s="44"/>
      <c r="E225" s="44"/>
      <c r="F225" s="44"/>
      <c r="K225" s="44"/>
      <c r="L225" s="44"/>
      <c r="M225" s="44"/>
    </row>
    <row r="226" ht="15.75" customHeight="1">
      <c r="A226" s="44"/>
      <c r="B226" s="44"/>
      <c r="C226" s="44"/>
      <c r="D226" s="44"/>
      <c r="E226" s="44"/>
      <c r="F226" s="44"/>
      <c r="K226" s="44"/>
      <c r="L226" s="44"/>
      <c r="M226" s="44"/>
    </row>
    <row r="227" ht="15.75" customHeight="1">
      <c r="A227" s="44"/>
      <c r="B227" s="44"/>
      <c r="C227" s="44"/>
      <c r="D227" s="44"/>
      <c r="E227" s="44"/>
      <c r="F227" s="44"/>
      <c r="K227" s="44"/>
      <c r="L227" s="44"/>
      <c r="M227" s="44"/>
    </row>
    <row r="228" ht="15.75" customHeight="1">
      <c r="A228" s="44"/>
      <c r="B228" s="44"/>
      <c r="C228" s="44"/>
      <c r="D228" s="44"/>
      <c r="E228" s="44"/>
      <c r="F228" s="44"/>
      <c r="K228" s="44"/>
      <c r="L228" s="44"/>
      <c r="M228" s="44"/>
    </row>
    <row r="229" ht="15.75" customHeight="1">
      <c r="A229" s="44"/>
      <c r="B229" s="44"/>
      <c r="C229" s="44"/>
      <c r="D229" s="44"/>
      <c r="E229" s="44"/>
      <c r="F229" s="44"/>
      <c r="K229" s="44"/>
      <c r="L229" s="44"/>
      <c r="M229" s="44"/>
    </row>
    <row r="230" ht="15.75" customHeight="1">
      <c r="A230" s="44"/>
      <c r="B230" s="44"/>
      <c r="C230" s="44"/>
      <c r="D230" s="44"/>
      <c r="E230" s="44"/>
      <c r="F230" s="44"/>
      <c r="K230" s="44"/>
      <c r="L230" s="44"/>
      <c r="M230" s="44"/>
    </row>
    <row r="231" ht="15.75" customHeight="1">
      <c r="A231" s="44"/>
      <c r="B231" s="44"/>
      <c r="C231" s="44"/>
      <c r="D231" s="44"/>
      <c r="E231" s="44"/>
      <c r="F231" s="44"/>
      <c r="K231" s="44"/>
      <c r="L231" s="44"/>
      <c r="M231" s="44"/>
    </row>
    <row r="232" ht="15.75" customHeight="1">
      <c r="A232" s="44"/>
      <c r="B232" s="44"/>
      <c r="C232" s="44"/>
      <c r="D232" s="44"/>
      <c r="E232" s="44"/>
      <c r="F232" s="44"/>
      <c r="K232" s="44"/>
      <c r="L232" s="44"/>
      <c r="M232" s="44"/>
    </row>
    <row r="233" ht="15.75" customHeight="1">
      <c r="A233" s="44"/>
      <c r="B233" s="44"/>
      <c r="C233" s="44"/>
      <c r="D233" s="44"/>
      <c r="E233" s="44"/>
      <c r="F233" s="44"/>
      <c r="K233" s="44"/>
      <c r="L233" s="44"/>
      <c r="M233" s="44"/>
    </row>
    <row r="234" ht="15.75" customHeight="1">
      <c r="A234" s="44"/>
      <c r="B234" s="44"/>
      <c r="C234" s="44"/>
      <c r="D234" s="44"/>
      <c r="E234" s="44"/>
      <c r="F234" s="44"/>
      <c r="K234" s="44"/>
      <c r="L234" s="44"/>
      <c r="M234" s="44"/>
    </row>
    <row r="235" ht="15.75" customHeight="1">
      <c r="A235" s="44"/>
      <c r="B235" s="44"/>
      <c r="C235" s="44"/>
      <c r="D235" s="44"/>
      <c r="E235" s="44"/>
      <c r="F235" s="44"/>
      <c r="K235" s="44"/>
      <c r="L235" s="44"/>
      <c r="M235" s="44"/>
    </row>
    <row r="236" ht="15.75" customHeight="1">
      <c r="A236" s="44"/>
      <c r="B236" s="44"/>
      <c r="C236" s="44"/>
      <c r="D236" s="44"/>
      <c r="E236" s="44"/>
      <c r="F236" s="44"/>
      <c r="K236" s="44"/>
      <c r="L236" s="44"/>
      <c r="M236" s="44"/>
    </row>
    <row r="237" ht="15.75" customHeight="1">
      <c r="A237" s="44"/>
      <c r="B237" s="44"/>
      <c r="C237" s="44"/>
      <c r="D237" s="44"/>
      <c r="E237" s="44"/>
      <c r="F237" s="44"/>
      <c r="K237" s="44"/>
      <c r="L237" s="44"/>
      <c r="M237" s="44"/>
    </row>
    <row r="238" ht="15.75" customHeight="1">
      <c r="A238" s="44"/>
      <c r="B238" s="44"/>
      <c r="C238" s="44"/>
      <c r="D238" s="44"/>
      <c r="E238" s="44"/>
      <c r="F238" s="44"/>
      <c r="K238" s="44"/>
      <c r="L238" s="44"/>
      <c r="M238" s="44"/>
    </row>
    <row r="239" ht="15.75" customHeight="1">
      <c r="A239" s="44"/>
      <c r="B239" s="44"/>
      <c r="C239" s="44"/>
      <c r="D239" s="44"/>
      <c r="E239" s="44"/>
      <c r="F239" s="44"/>
      <c r="K239" s="44"/>
      <c r="L239" s="44"/>
      <c r="M239" s="44"/>
    </row>
    <row r="240" ht="15.75" customHeight="1">
      <c r="A240" s="44"/>
      <c r="B240" s="44"/>
      <c r="C240" s="44"/>
      <c r="D240" s="44"/>
      <c r="E240" s="44"/>
      <c r="F240" s="44"/>
      <c r="K240" s="44"/>
      <c r="L240" s="44"/>
      <c r="M240" s="44"/>
    </row>
    <row r="241" ht="15.75" customHeight="1">
      <c r="A241" s="44"/>
      <c r="B241" s="44"/>
      <c r="C241" s="44"/>
      <c r="D241" s="44"/>
      <c r="E241" s="44"/>
      <c r="F241" s="44"/>
      <c r="K241" s="44"/>
      <c r="L241" s="44"/>
      <c r="M241" s="44"/>
    </row>
    <row r="242" ht="15.75" customHeight="1">
      <c r="A242" s="44"/>
      <c r="B242" s="44"/>
      <c r="C242" s="44"/>
      <c r="D242" s="44"/>
      <c r="E242" s="44"/>
      <c r="F242" s="44"/>
      <c r="K242" s="44"/>
      <c r="L242" s="44"/>
      <c r="M242" s="44"/>
    </row>
    <row r="243" ht="15.75" customHeight="1">
      <c r="A243" s="44"/>
      <c r="B243" s="44"/>
      <c r="C243" s="44"/>
      <c r="D243" s="44"/>
      <c r="E243" s="44"/>
      <c r="F243" s="44"/>
      <c r="K243" s="44"/>
      <c r="L243" s="44"/>
      <c r="M243" s="44"/>
    </row>
    <row r="244" ht="15.75" customHeight="1">
      <c r="A244" s="44"/>
      <c r="B244" s="44"/>
      <c r="C244" s="44"/>
      <c r="D244" s="44"/>
      <c r="E244" s="44"/>
      <c r="F244" s="44"/>
      <c r="K244" s="44"/>
      <c r="L244" s="44"/>
      <c r="M244" s="44"/>
    </row>
    <row r="245" ht="15.75" customHeight="1">
      <c r="A245" s="44"/>
      <c r="B245" s="44"/>
      <c r="C245" s="44"/>
      <c r="D245" s="44"/>
      <c r="E245" s="44"/>
      <c r="F245" s="44"/>
      <c r="K245" s="44"/>
      <c r="L245" s="44"/>
      <c r="M245" s="44"/>
    </row>
    <row r="246" ht="15.75" customHeight="1">
      <c r="A246" s="44"/>
      <c r="B246" s="44"/>
      <c r="C246" s="44"/>
      <c r="D246" s="44"/>
      <c r="E246" s="44"/>
      <c r="F246" s="44"/>
      <c r="K246" s="44"/>
      <c r="L246" s="44"/>
      <c r="M246" s="44"/>
    </row>
    <row r="247" ht="15.75" customHeight="1">
      <c r="A247" s="44"/>
      <c r="B247" s="44"/>
      <c r="C247" s="44"/>
      <c r="D247" s="44"/>
      <c r="E247" s="44"/>
      <c r="F247" s="44"/>
      <c r="K247" s="44"/>
      <c r="L247" s="44"/>
      <c r="M247" s="44"/>
    </row>
    <row r="248" ht="15.75" customHeight="1">
      <c r="A248" s="44"/>
      <c r="B248" s="44"/>
      <c r="C248" s="44"/>
      <c r="D248" s="44"/>
      <c r="E248" s="44"/>
      <c r="F248" s="44"/>
      <c r="K248" s="44"/>
      <c r="L248" s="44"/>
      <c r="M248" s="44"/>
    </row>
    <row r="249" ht="15.75" customHeight="1">
      <c r="A249" s="44"/>
      <c r="B249" s="44"/>
      <c r="C249" s="44"/>
      <c r="D249" s="44"/>
      <c r="E249" s="44"/>
      <c r="F249" s="44"/>
      <c r="K249" s="44"/>
      <c r="L249" s="44"/>
      <c r="M249" s="44"/>
    </row>
    <row r="250" ht="15.75" customHeight="1">
      <c r="A250" s="44"/>
      <c r="B250" s="44"/>
      <c r="C250" s="44"/>
      <c r="D250" s="44"/>
      <c r="E250" s="44"/>
      <c r="F250" s="44"/>
      <c r="K250" s="44"/>
      <c r="L250" s="44"/>
      <c r="M250" s="44"/>
    </row>
    <row r="251" ht="15.75" customHeight="1">
      <c r="A251" s="44"/>
      <c r="B251" s="44"/>
      <c r="C251" s="44"/>
      <c r="D251" s="44"/>
      <c r="E251" s="44"/>
      <c r="F251" s="44"/>
      <c r="K251" s="44"/>
      <c r="L251" s="44"/>
      <c r="M251" s="44"/>
    </row>
    <row r="252" ht="15.75" customHeight="1">
      <c r="A252" s="44"/>
      <c r="B252" s="44"/>
      <c r="C252" s="44"/>
      <c r="D252" s="44"/>
      <c r="E252" s="44"/>
      <c r="F252" s="44"/>
      <c r="K252" s="44"/>
      <c r="L252" s="44"/>
      <c r="M252" s="44"/>
    </row>
    <row r="253" ht="15.75" customHeight="1">
      <c r="A253" s="44"/>
      <c r="B253" s="44"/>
      <c r="C253" s="44"/>
      <c r="D253" s="44"/>
      <c r="E253" s="44"/>
      <c r="F253" s="44"/>
      <c r="K253" s="44"/>
      <c r="L253" s="44"/>
      <c r="M253" s="44"/>
    </row>
    <row r="254" ht="15.75" customHeight="1">
      <c r="A254" s="44"/>
      <c r="B254" s="44"/>
      <c r="C254" s="44"/>
      <c r="D254" s="44"/>
      <c r="E254" s="44"/>
      <c r="F254" s="44"/>
      <c r="K254" s="44"/>
      <c r="L254" s="44"/>
      <c r="M254" s="44"/>
    </row>
    <row r="255" ht="15.75" customHeight="1">
      <c r="A255" s="44"/>
      <c r="B255" s="44"/>
      <c r="C255" s="44"/>
      <c r="D255" s="44"/>
      <c r="E255" s="44"/>
      <c r="F255" s="44"/>
      <c r="K255" s="44"/>
      <c r="L255" s="44"/>
      <c r="M255" s="44"/>
    </row>
    <row r="256" ht="15.75" customHeight="1">
      <c r="A256" s="44"/>
      <c r="B256" s="44"/>
      <c r="C256" s="44"/>
      <c r="D256" s="44"/>
      <c r="E256" s="44"/>
      <c r="F256" s="44"/>
      <c r="K256" s="44"/>
      <c r="L256" s="44"/>
      <c r="M256" s="44"/>
    </row>
    <row r="257" ht="15.75" customHeight="1">
      <c r="A257" s="44"/>
      <c r="B257" s="44"/>
      <c r="C257" s="44"/>
      <c r="D257" s="44"/>
      <c r="E257" s="44"/>
      <c r="F257" s="44"/>
      <c r="K257" s="44"/>
      <c r="L257" s="44"/>
      <c r="M257" s="44"/>
    </row>
    <row r="258" ht="15.75" customHeight="1">
      <c r="A258" s="44"/>
      <c r="B258" s="44"/>
      <c r="C258" s="44"/>
      <c r="D258" s="44"/>
      <c r="E258" s="44"/>
      <c r="F258" s="44"/>
      <c r="K258" s="44"/>
      <c r="L258" s="44"/>
      <c r="M258" s="44"/>
    </row>
    <row r="259" ht="15.75" customHeight="1">
      <c r="A259" s="44"/>
      <c r="B259" s="44"/>
      <c r="C259" s="44"/>
      <c r="D259" s="44"/>
      <c r="E259" s="44"/>
      <c r="F259" s="44"/>
      <c r="K259" s="44"/>
      <c r="L259" s="44"/>
      <c r="M259" s="44"/>
    </row>
    <row r="260" ht="15.75" customHeight="1">
      <c r="A260" s="44"/>
      <c r="B260" s="44"/>
      <c r="C260" s="44"/>
      <c r="D260" s="44"/>
      <c r="E260" s="44"/>
      <c r="F260" s="44"/>
      <c r="K260" s="44"/>
      <c r="L260" s="44"/>
      <c r="M260" s="44"/>
    </row>
    <row r="261" ht="15.75" customHeight="1">
      <c r="A261" s="44"/>
      <c r="B261" s="44"/>
      <c r="C261" s="44"/>
      <c r="D261" s="44"/>
      <c r="E261" s="44"/>
      <c r="F261" s="44"/>
      <c r="K261" s="44"/>
      <c r="L261" s="44"/>
      <c r="M261" s="44"/>
    </row>
    <row r="262" ht="15.75" customHeight="1">
      <c r="A262" s="44"/>
      <c r="B262" s="44"/>
      <c r="C262" s="44"/>
      <c r="D262" s="44"/>
      <c r="E262" s="44"/>
      <c r="F262" s="44"/>
      <c r="K262" s="44"/>
      <c r="L262" s="44"/>
      <c r="M262" s="44"/>
    </row>
    <row r="263" ht="15.75" customHeight="1">
      <c r="A263" s="44"/>
      <c r="B263" s="44"/>
      <c r="C263" s="44"/>
      <c r="D263" s="44"/>
      <c r="E263" s="44"/>
      <c r="F263" s="44"/>
      <c r="K263" s="44"/>
      <c r="L263" s="44"/>
      <c r="M263" s="44"/>
    </row>
    <row r="264" ht="15.75" customHeight="1">
      <c r="A264" s="44"/>
      <c r="B264" s="44"/>
      <c r="C264" s="44"/>
      <c r="D264" s="44"/>
      <c r="E264" s="44"/>
      <c r="F264" s="44"/>
      <c r="K264" s="44"/>
      <c r="L264" s="44"/>
      <c r="M264" s="44"/>
    </row>
    <row r="265" ht="15.75" customHeight="1">
      <c r="A265" s="44"/>
      <c r="B265" s="44"/>
      <c r="C265" s="44"/>
      <c r="D265" s="44"/>
      <c r="E265" s="44"/>
      <c r="F265" s="44"/>
      <c r="K265" s="44"/>
      <c r="L265" s="44"/>
      <c r="M265" s="44"/>
    </row>
    <row r="266" ht="15.75" customHeight="1">
      <c r="A266" s="44"/>
      <c r="B266" s="44"/>
      <c r="C266" s="44"/>
      <c r="D266" s="44"/>
      <c r="E266" s="44"/>
      <c r="F266" s="44"/>
      <c r="K266" s="44"/>
      <c r="L266" s="44"/>
      <c r="M266" s="44"/>
    </row>
    <row r="267" ht="15.75" customHeight="1">
      <c r="A267" s="44"/>
      <c r="B267" s="44"/>
      <c r="C267" s="44"/>
      <c r="D267" s="44"/>
      <c r="E267" s="44"/>
      <c r="F267" s="44"/>
      <c r="K267" s="44"/>
      <c r="L267" s="44"/>
      <c r="M267" s="44"/>
    </row>
    <row r="268" ht="15.75" customHeight="1">
      <c r="A268" s="44"/>
      <c r="B268" s="44"/>
      <c r="C268" s="44"/>
      <c r="D268" s="44"/>
      <c r="E268" s="44"/>
      <c r="F268" s="44"/>
      <c r="K268" s="44"/>
      <c r="L268" s="44"/>
      <c r="M268" s="44"/>
    </row>
    <row r="269" ht="15.75" customHeight="1">
      <c r="A269" s="44"/>
      <c r="B269" s="44"/>
      <c r="C269" s="44"/>
      <c r="D269" s="44"/>
      <c r="E269" s="44"/>
      <c r="F269" s="44"/>
      <c r="K269" s="44"/>
      <c r="L269" s="44"/>
      <c r="M269" s="44"/>
    </row>
    <row r="270" ht="15.75" customHeight="1">
      <c r="A270" s="44"/>
      <c r="B270" s="44"/>
      <c r="C270" s="44"/>
      <c r="D270" s="44"/>
      <c r="E270" s="44"/>
      <c r="F270" s="44"/>
      <c r="K270" s="44"/>
      <c r="L270" s="44"/>
      <c r="M270" s="44"/>
    </row>
    <row r="271" ht="15.75" customHeight="1">
      <c r="A271" s="44"/>
      <c r="B271" s="44"/>
      <c r="C271" s="44"/>
      <c r="D271" s="44"/>
      <c r="E271" s="44"/>
      <c r="F271" s="44"/>
      <c r="K271" s="44"/>
      <c r="L271" s="44"/>
      <c r="M271" s="44"/>
    </row>
    <row r="272" ht="15.75" customHeight="1">
      <c r="A272" s="44"/>
      <c r="B272" s="44"/>
      <c r="C272" s="44"/>
      <c r="D272" s="44"/>
      <c r="E272" s="44"/>
      <c r="F272" s="44"/>
      <c r="K272" s="44"/>
      <c r="L272" s="44"/>
      <c r="M272" s="44"/>
    </row>
    <row r="273" ht="15.75" customHeight="1">
      <c r="A273" s="44"/>
      <c r="B273" s="44"/>
      <c r="C273" s="44"/>
      <c r="D273" s="44"/>
      <c r="E273" s="44"/>
      <c r="F273" s="44"/>
      <c r="K273" s="44"/>
      <c r="L273" s="44"/>
      <c r="M273" s="44"/>
    </row>
    <row r="274" ht="15.75" customHeight="1">
      <c r="A274" s="44"/>
      <c r="B274" s="44"/>
      <c r="C274" s="44"/>
      <c r="D274" s="44"/>
      <c r="E274" s="44"/>
      <c r="F274" s="44"/>
      <c r="K274" s="44"/>
      <c r="L274" s="44"/>
      <c r="M274" s="44"/>
    </row>
    <row r="275" ht="15.75" customHeight="1">
      <c r="A275" s="44"/>
      <c r="B275" s="44"/>
      <c r="C275" s="44"/>
      <c r="D275" s="44"/>
      <c r="E275" s="44"/>
      <c r="F275" s="44"/>
      <c r="K275" s="44"/>
      <c r="L275" s="44"/>
      <c r="M275" s="44"/>
    </row>
    <row r="276" ht="15.75" customHeight="1">
      <c r="A276" s="44"/>
      <c r="B276" s="44"/>
      <c r="C276" s="44"/>
      <c r="D276" s="44"/>
      <c r="E276" s="44"/>
      <c r="F276" s="44"/>
      <c r="K276" s="44"/>
      <c r="L276" s="44"/>
      <c r="M276" s="44"/>
    </row>
    <row r="277" ht="15.75" customHeight="1">
      <c r="A277" s="44"/>
      <c r="B277" s="44"/>
      <c r="C277" s="44"/>
      <c r="D277" s="44"/>
      <c r="E277" s="44"/>
      <c r="F277" s="44"/>
      <c r="K277" s="44"/>
      <c r="L277" s="44"/>
      <c r="M277" s="44"/>
    </row>
    <row r="278" ht="15.75" customHeight="1">
      <c r="A278" s="44"/>
      <c r="B278" s="44"/>
      <c r="C278" s="44"/>
      <c r="D278" s="44"/>
      <c r="E278" s="44"/>
      <c r="F278" s="44"/>
      <c r="K278" s="44"/>
      <c r="L278" s="44"/>
      <c r="M278" s="44"/>
    </row>
    <row r="279" ht="15.75" customHeight="1">
      <c r="A279" s="44"/>
      <c r="B279" s="44"/>
      <c r="C279" s="44"/>
      <c r="D279" s="44"/>
      <c r="E279" s="44"/>
      <c r="F279" s="44"/>
      <c r="K279" s="44"/>
      <c r="L279" s="44"/>
      <c r="M279" s="44"/>
    </row>
    <row r="280" ht="15.75" customHeight="1">
      <c r="A280" s="44"/>
      <c r="B280" s="44"/>
      <c r="C280" s="44"/>
      <c r="D280" s="44"/>
      <c r="E280" s="44"/>
      <c r="F280" s="44"/>
      <c r="K280" s="44"/>
      <c r="L280" s="44"/>
      <c r="M280" s="44"/>
    </row>
    <row r="281" ht="15.75" customHeight="1">
      <c r="A281" s="44"/>
      <c r="B281" s="44"/>
      <c r="C281" s="44"/>
      <c r="D281" s="44"/>
      <c r="E281" s="44"/>
      <c r="F281" s="44"/>
      <c r="K281" s="44"/>
      <c r="L281" s="44"/>
      <c r="M281" s="44"/>
    </row>
    <row r="282" ht="15.75" customHeight="1">
      <c r="A282" s="44"/>
      <c r="B282" s="44"/>
      <c r="C282" s="44"/>
      <c r="D282" s="44"/>
      <c r="E282" s="44"/>
      <c r="F282" s="44"/>
      <c r="K282" s="44"/>
      <c r="L282" s="44"/>
      <c r="M282" s="44"/>
    </row>
    <row r="283" ht="15.75" customHeight="1">
      <c r="A283" s="44"/>
      <c r="B283" s="44"/>
      <c r="C283" s="44"/>
      <c r="D283" s="44"/>
      <c r="E283" s="44"/>
      <c r="F283" s="44"/>
      <c r="K283" s="44"/>
      <c r="L283" s="44"/>
      <c r="M283" s="44"/>
    </row>
    <row r="284" ht="15.75" customHeight="1">
      <c r="A284" s="44"/>
      <c r="B284" s="44"/>
      <c r="C284" s="44"/>
      <c r="D284" s="44"/>
      <c r="E284" s="44"/>
      <c r="F284" s="44"/>
      <c r="K284" s="44"/>
      <c r="L284" s="44"/>
      <c r="M284" s="44"/>
    </row>
    <row r="285" ht="15.75" customHeight="1">
      <c r="A285" s="44"/>
      <c r="B285" s="44"/>
      <c r="C285" s="44"/>
      <c r="D285" s="44"/>
      <c r="E285" s="44"/>
      <c r="F285" s="44"/>
      <c r="K285" s="44"/>
      <c r="L285" s="44"/>
      <c r="M285" s="44"/>
    </row>
    <row r="286" ht="15.75" customHeight="1">
      <c r="A286" s="44"/>
      <c r="B286" s="44"/>
      <c r="C286" s="44"/>
      <c r="D286" s="44"/>
      <c r="E286" s="44"/>
      <c r="F286" s="44"/>
      <c r="K286" s="44"/>
      <c r="L286" s="44"/>
      <c r="M286" s="44"/>
    </row>
    <row r="287" ht="15.75" customHeight="1">
      <c r="A287" s="44"/>
      <c r="B287" s="44"/>
      <c r="C287" s="44"/>
      <c r="D287" s="44"/>
      <c r="E287" s="44"/>
      <c r="F287" s="44"/>
      <c r="K287" s="44"/>
      <c r="L287" s="44"/>
      <c r="M287" s="44"/>
    </row>
    <row r="288" ht="15.75" customHeight="1">
      <c r="A288" s="44"/>
      <c r="B288" s="44"/>
      <c r="C288" s="44"/>
      <c r="D288" s="44"/>
      <c r="E288" s="44"/>
      <c r="F288" s="44"/>
      <c r="K288" s="44"/>
      <c r="L288" s="44"/>
      <c r="M288" s="44"/>
    </row>
    <row r="289" ht="15.75" customHeight="1">
      <c r="A289" s="44"/>
      <c r="B289" s="44"/>
      <c r="C289" s="44"/>
      <c r="D289" s="44"/>
      <c r="E289" s="44"/>
      <c r="F289" s="44"/>
      <c r="K289" s="44"/>
      <c r="L289" s="44"/>
      <c r="M289" s="44"/>
    </row>
    <row r="290" ht="15.75" customHeight="1">
      <c r="A290" s="44"/>
      <c r="B290" s="44"/>
      <c r="C290" s="44"/>
      <c r="D290" s="44"/>
      <c r="E290" s="44"/>
      <c r="F290" s="44"/>
      <c r="K290" s="44"/>
      <c r="L290" s="44"/>
      <c r="M290" s="44"/>
    </row>
    <row r="291" ht="15.75" customHeight="1">
      <c r="A291" s="44"/>
      <c r="B291" s="44"/>
      <c r="C291" s="44"/>
      <c r="D291" s="44"/>
      <c r="E291" s="44"/>
      <c r="F291" s="44"/>
      <c r="K291" s="44"/>
      <c r="L291" s="44"/>
      <c r="M291" s="44"/>
    </row>
    <row r="292" ht="15.75" customHeight="1">
      <c r="A292" s="44"/>
      <c r="B292" s="44"/>
      <c r="C292" s="44"/>
      <c r="D292" s="44"/>
      <c r="E292" s="44"/>
      <c r="F292" s="44"/>
      <c r="K292" s="44"/>
      <c r="L292" s="44"/>
      <c r="M292" s="44"/>
    </row>
    <row r="293" ht="15.75" customHeight="1">
      <c r="A293" s="44"/>
      <c r="B293" s="44"/>
      <c r="C293" s="44"/>
      <c r="D293" s="44"/>
      <c r="E293" s="44"/>
      <c r="F293" s="44"/>
      <c r="K293" s="44"/>
      <c r="L293" s="44"/>
      <c r="M293" s="44"/>
    </row>
    <row r="294" ht="15.75" customHeight="1">
      <c r="A294" s="44"/>
      <c r="B294" s="44"/>
      <c r="C294" s="44"/>
      <c r="D294" s="44"/>
      <c r="E294" s="44"/>
      <c r="F294" s="44"/>
      <c r="K294" s="44"/>
      <c r="L294" s="44"/>
      <c r="M294" s="44"/>
    </row>
    <row r="295" ht="15.75" customHeight="1">
      <c r="A295" s="44"/>
      <c r="B295" s="44"/>
      <c r="C295" s="44"/>
      <c r="D295" s="44"/>
      <c r="E295" s="44"/>
      <c r="F295" s="44"/>
      <c r="K295" s="44"/>
      <c r="L295" s="44"/>
      <c r="M295" s="44"/>
    </row>
    <row r="296" ht="15.75" customHeight="1">
      <c r="A296" s="44"/>
      <c r="B296" s="44"/>
      <c r="C296" s="44"/>
      <c r="D296" s="44"/>
      <c r="E296" s="44"/>
      <c r="F296" s="44"/>
      <c r="K296" s="44"/>
      <c r="L296" s="44"/>
      <c r="M296" s="44"/>
    </row>
    <row r="297" ht="15.75" customHeight="1">
      <c r="A297" s="44"/>
      <c r="B297" s="44"/>
      <c r="C297" s="44"/>
      <c r="D297" s="44"/>
      <c r="E297" s="44"/>
      <c r="F297" s="44"/>
      <c r="K297" s="44"/>
      <c r="L297" s="44"/>
      <c r="M297" s="44"/>
    </row>
    <row r="298" ht="15.75" customHeight="1">
      <c r="A298" s="44"/>
      <c r="B298" s="44"/>
      <c r="C298" s="44"/>
      <c r="D298" s="44"/>
      <c r="E298" s="44"/>
      <c r="F298" s="44"/>
      <c r="K298" s="44"/>
      <c r="L298" s="44"/>
      <c r="M298" s="44"/>
    </row>
    <row r="299" ht="15.75" customHeight="1">
      <c r="A299" s="44"/>
      <c r="B299" s="44"/>
      <c r="C299" s="44"/>
      <c r="D299" s="44"/>
      <c r="E299" s="44"/>
      <c r="F299" s="44"/>
      <c r="K299" s="44"/>
      <c r="L299" s="44"/>
      <c r="M299" s="44"/>
    </row>
    <row r="300" ht="15.75" customHeight="1">
      <c r="A300" s="44"/>
      <c r="B300" s="44"/>
      <c r="C300" s="44"/>
      <c r="D300" s="44"/>
      <c r="E300" s="44"/>
      <c r="F300" s="44"/>
      <c r="K300" s="44"/>
      <c r="L300" s="44"/>
      <c r="M300" s="44"/>
    </row>
    <row r="301" ht="15.75" customHeight="1">
      <c r="A301" s="44"/>
      <c r="B301" s="44"/>
      <c r="C301" s="44"/>
      <c r="D301" s="44"/>
      <c r="E301" s="44"/>
      <c r="F301" s="44"/>
      <c r="K301" s="44"/>
      <c r="L301" s="44"/>
      <c r="M301" s="44"/>
    </row>
    <row r="302" ht="15.75" customHeight="1">
      <c r="A302" s="44"/>
      <c r="B302" s="44"/>
      <c r="C302" s="44"/>
      <c r="D302" s="44"/>
      <c r="E302" s="44"/>
      <c r="F302" s="44"/>
      <c r="K302" s="44"/>
      <c r="L302" s="44"/>
      <c r="M302" s="44"/>
    </row>
    <row r="303" ht="15.75" customHeight="1">
      <c r="A303" s="44"/>
      <c r="B303" s="44"/>
      <c r="C303" s="44"/>
      <c r="D303" s="44"/>
      <c r="E303" s="44"/>
      <c r="F303" s="44"/>
      <c r="K303" s="44"/>
      <c r="L303" s="44"/>
      <c r="M303" s="44"/>
    </row>
    <row r="304" ht="15.75" customHeight="1">
      <c r="A304" s="44"/>
      <c r="B304" s="44"/>
      <c r="C304" s="44"/>
      <c r="D304" s="44"/>
      <c r="E304" s="44"/>
      <c r="F304" s="44"/>
      <c r="K304" s="44"/>
      <c r="L304" s="44"/>
      <c r="M304" s="44"/>
    </row>
    <row r="305" ht="15.75" customHeight="1">
      <c r="A305" s="44"/>
      <c r="B305" s="44"/>
      <c r="C305" s="44"/>
      <c r="D305" s="44"/>
      <c r="E305" s="44"/>
      <c r="F305" s="44"/>
      <c r="K305" s="44"/>
      <c r="L305" s="44"/>
      <c r="M305" s="44"/>
    </row>
    <row r="306" ht="15.75" customHeight="1">
      <c r="A306" s="44"/>
      <c r="B306" s="44"/>
      <c r="C306" s="44"/>
      <c r="D306" s="44"/>
      <c r="E306" s="44"/>
      <c r="F306" s="44"/>
      <c r="K306" s="44"/>
      <c r="L306" s="44"/>
      <c r="M306" s="44"/>
    </row>
    <row r="307" ht="15.75" customHeight="1">
      <c r="A307" s="44"/>
      <c r="B307" s="44"/>
      <c r="C307" s="44"/>
      <c r="D307" s="44"/>
      <c r="E307" s="44"/>
      <c r="F307" s="44"/>
      <c r="K307" s="44"/>
      <c r="L307" s="44"/>
      <c r="M307" s="44"/>
    </row>
    <row r="308" ht="15.75" customHeight="1">
      <c r="A308" s="44"/>
      <c r="B308" s="44"/>
      <c r="C308" s="44"/>
      <c r="D308" s="44"/>
      <c r="E308" s="44"/>
      <c r="F308" s="44"/>
      <c r="K308" s="44"/>
      <c r="L308" s="44"/>
      <c r="M308" s="44"/>
    </row>
    <row r="309" ht="15.75" customHeight="1">
      <c r="A309" s="44"/>
      <c r="B309" s="44"/>
      <c r="C309" s="44"/>
      <c r="D309" s="44"/>
      <c r="E309" s="44"/>
      <c r="F309" s="44"/>
      <c r="K309" s="44"/>
      <c r="L309" s="44"/>
      <c r="M309" s="44"/>
    </row>
    <row r="310" ht="15.75" customHeight="1">
      <c r="A310" s="44"/>
      <c r="B310" s="44"/>
      <c r="C310" s="44"/>
      <c r="D310" s="44"/>
      <c r="E310" s="44"/>
      <c r="F310" s="44"/>
      <c r="K310" s="44"/>
      <c r="L310" s="44"/>
      <c r="M310" s="44"/>
    </row>
    <row r="311" ht="15.75" customHeight="1">
      <c r="A311" s="44"/>
      <c r="B311" s="44"/>
      <c r="C311" s="44"/>
      <c r="D311" s="44"/>
      <c r="E311" s="44"/>
      <c r="F311" s="44"/>
      <c r="K311" s="44"/>
      <c r="L311" s="44"/>
      <c r="M311" s="44"/>
    </row>
    <row r="312" ht="15.75" customHeight="1">
      <c r="A312" s="44"/>
      <c r="B312" s="44"/>
      <c r="C312" s="44"/>
      <c r="D312" s="44"/>
      <c r="E312" s="44"/>
      <c r="F312" s="44"/>
      <c r="K312" s="44"/>
      <c r="L312" s="44"/>
      <c r="M312" s="44"/>
    </row>
    <row r="313" ht="15.75" customHeight="1">
      <c r="A313" s="44"/>
      <c r="B313" s="44"/>
      <c r="C313" s="44"/>
      <c r="D313" s="44"/>
      <c r="E313" s="44"/>
      <c r="F313" s="44"/>
      <c r="K313" s="44"/>
      <c r="L313" s="44"/>
      <c r="M313" s="44"/>
    </row>
    <row r="314" ht="15.75" customHeight="1">
      <c r="A314" s="44"/>
      <c r="B314" s="44"/>
      <c r="C314" s="44"/>
      <c r="D314" s="44"/>
      <c r="E314" s="44"/>
      <c r="F314" s="44"/>
      <c r="K314" s="44"/>
      <c r="L314" s="44"/>
      <c r="M314" s="44"/>
    </row>
    <row r="315" ht="15.75" customHeight="1">
      <c r="A315" s="44"/>
      <c r="B315" s="44"/>
      <c r="C315" s="44"/>
      <c r="D315" s="44"/>
      <c r="E315" s="44"/>
      <c r="F315" s="44"/>
      <c r="K315" s="44"/>
      <c r="L315" s="44"/>
      <c r="M315" s="44"/>
    </row>
    <row r="316" ht="15.75" customHeight="1">
      <c r="A316" s="44"/>
      <c r="B316" s="44"/>
      <c r="C316" s="44"/>
      <c r="D316" s="44"/>
      <c r="E316" s="44"/>
      <c r="F316" s="44"/>
      <c r="K316" s="44"/>
      <c r="L316" s="44"/>
      <c r="M316" s="44"/>
    </row>
    <row r="317" ht="15.75" customHeight="1">
      <c r="A317" s="44"/>
      <c r="B317" s="44"/>
      <c r="C317" s="44"/>
      <c r="D317" s="44"/>
      <c r="E317" s="44"/>
      <c r="F317" s="44"/>
      <c r="K317" s="44"/>
      <c r="L317" s="44"/>
      <c r="M317" s="44"/>
    </row>
    <row r="318" ht="15.75" customHeight="1">
      <c r="A318" s="44"/>
      <c r="B318" s="44"/>
      <c r="C318" s="44"/>
      <c r="D318" s="44"/>
      <c r="E318" s="44"/>
      <c r="F318" s="44"/>
      <c r="K318" s="44"/>
      <c r="L318" s="44"/>
      <c r="M318" s="44"/>
    </row>
    <row r="319" ht="15.75" customHeight="1">
      <c r="A319" s="44"/>
      <c r="B319" s="44"/>
      <c r="C319" s="44"/>
      <c r="D319" s="44"/>
      <c r="E319" s="44"/>
      <c r="F319" s="44"/>
      <c r="K319" s="44"/>
      <c r="L319" s="44"/>
      <c r="M319" s="44"/>
    </row>
    <row r="320" ht="15.75" customHeight="1">
      <c r="A320" s="44"/>
      <c r="B320" s="44"/>
      <c r="C320" s="44"/>
      <c r="D320" s="44"/>
      <c r="E320" s="44"/>
      <c r="F320" s="44"/>
      <c r="K320" s="44"/>
      <c r="L320" s="44"/>
      <c r="M320" s="44"/>
    </row>
    <row r="321" ht="15.75" customHeight="1">
      <c r="A321" s="44"/>
      <c r="B321" s="44"/>
      <c r="C321" s="44"/>
      <c r="D321" s="44"/>
      <c r="E321" s="44"/>
      <c r="F321" s="44"/>
      <c r="K321" s="44"/>
      <c r="L321" s="44"/>
      <c r="M321" s="44"/>
    </row>
    <row r="322" ht="15.75" customHeight="1">
      <c r="A322" s="44"/>
      <c r="B322" s="44"/>
      <c r="C322" s="44"/>
      <c r="D322" s="44"/>
      <c r="E322" s="44"/>
      <c r="F322" s="44"/>
      <c r="K322" s="44"/>
      <c r="L322" s="44"/>
      <c r="M322" s="44"/>
    </row>
    <row r="323" ht="15.75" customHeight="1">
      <c r="A323" s="44"/>
      <c r="B323" s="44"/>
      <c r="C323" s="44"/>
      <c r="D323" s="44"/>
      <c r="E323" s="44"/>
      <c r="F323" s="44"/>
      <c r="K323" s="44"/>
      <c r="L323" s="44"/>
      <c r="M323" s="44"/>
    </row>
    <row r="324" ht="15.75" customHeight="1">
      <c r="A324" s="44"/>
      <c r="B324" s="44"/>
      <c r="C324" s="44"/>
      <c r="D324" s="44"/>
      <c r="E324" s="44"/>
      <c r="F324" s="44"/>
      <c r="K324" s="44"/>
      <c r="L324" s="44"/>
      <c r="M324" s="44"/>
    </row>
    <row r="325" ht="15.75" customHeight="1">
      <c r="A325" s="44"/>
      <c r="B325" s="44"/>
      <c r="C325" s="44"/>
      <c r="D325" s="44"/>
      <c r="E325" s="44"/>
      <c r="F325" s="44"/>
      <c r="K325" s="44"/>
      <c r="L325" s="44"/>
      <c r="M325" s="44"/>
    </row>
    <row r="326" ht="15.75" customHeight="1">
      <c r="A326" s="44"/>
      <c r="B326" s="44"/>
      <c r="C326" s="44"/>
      <c r="D326" s="44"/>
      <c r="E326" s="44"/>
      <c r="F326" s="44"/>
      <c r="K326" s="44"/>
      <c r="L326" s="44"/>
      <c r="M326" s="44"/>
    </row>
    <row r="327" ht="15.75" customHeight="1">
      <c r="A327" s="44"/>
      <c r="B327" s="44"/>
      <c r="C327" s="44"/>
      <c r="D327" s="44"/>
      <c r="E327" s="44"/>
      <c r="F327" s="44"/>
      <c r="K327" s="44"/>
      <c r="L327" s="44"/>
      <c r="M327" s="44"/>
    </row>
    <row r="328" ht="15.75" customHeight="1">
      <c r="A328" s="44"/>
      <c r="B328" s="44"/>
      <c r="C328" s="44"/>
      <c r="D328" s="44"/>
      <c r="E328" s="44"/>
      <c r="F328" s="44"/>
      <c r="K328" s="44"/>
      <c r="L328" s="44"/>
      <c r="M328" s="44"/>
    </row>
    <row r="329" ht="15.75" customHeight="1">
      <c r="A329" s="44"/>
      <c r="B329" s="44"/>
      <c r="C329" s="44"/>
      <c r="D329" s="44"/>
      <c r="E329" s="44"/>
      <c r="F329" s="44"/>
      <c r="K329" s="44"/>
      <c r="L329" s="44"/>
      <c r="M329" s="44"/>
    </row>
    <row r="330" ht="15.75" customHeight="1">
      <c r="A330" s="44"/>
      <c r="B330" s="44"/>
      <c r="C330" s="44"/>
      <c r="D330" s="44"/>
      <c r="E330" s="44"/>
      <c r="F330" s="44"/>
      <c r="K330" s="44"/>
      <c r="L330" s="44"/>
      <c r="M330" s="44"/>
    </row>
    <row r="331" ht="15.75" customHeight="1">
      <c r="A331" s="44"/>
      <c r="B331" s="44"/>
      <c r="C331" s="44"/>
      <c r="D331" s="44"/>
      <c r="E331" s="44"/>
      <c r="F331" s="44"/>
      <c r="K331" s="44"/>
      <c r="L331" s="44"/>
      <c r="M331" s="44"/>
    </row>
    <row r="332" ht="15.75" customHeight="1">
      <c r="A332" s="44"/>
      <c r="B332" s="44"/>
      <c r="C332" s="44"/>
      <c r="D332" s="44"/>
      <c r="E332" s="44"/>
      <c r="F332" s="44"/>
      <c r="K332" s="44"/>
      <c r="L332" s="44"/>
      <c r="M332" s="44"/>
    </row>
    <row r="333" ht="15.75" customHeight="1">
      <c r="A333" s="44"/>
      <c r="B333" s="44"/>
      <c r="C333" s="44"/>
      <c r="D333" s="44"/>
      <c r="E333" s="44"/>
      <c r="F333" s="44"/>
      <c r="K333" s="44"/>
      <c r="L333" s="44"/>
      <c r="M333" s="44"/>
    </row>
    <row r="334" ht="15.75" customHeight="1">
      <c r="A334" s="44"/>
      <c r="B334" s="44"/>
      <c r="C334" s="44"/>
      <c r="D334" s="44"/>
      <c r="E334" s="44"/>
      <c r="F334" s="44"/>
      <c r="K334" s="44"/>
      <c r="L334" s="44"/>
      <c r="M334" s="44"/>
    </row>
    <row r="335" ht="15.75" customHeight="1">
      <c r="A335" s="44"/>
      <c r="B335" s="44"/>
      <c r="C335" s="44"/>
      <c r="D335" s="44"/>
      <c r="E335" s="44"/>
      <c r="F335" s="44"/>
      <c r="K335" s="44"/>
      <c r="L335" s="44"/>
      <c r="M335" s="44"/>
    </row>
    <row r="336" ht="15.75" customHeight="1">
      <c r="A336" s="44"/>
      <c r="B336" s="44"/>
      <c r="C336" s="44"/>
      <c r="D336" s="44"/>
      <c r="E336" s="44"/>
      <c r="F336" s="44"/>
      <c r="K336" s="44"/>
      <c r="L336" s="44"/>
      <c r="M336" s="44"/>
    </row>
    <row r="337" ht="15.75" customHeight="1">
      <c r="A337" s="44"/>
      <c r="B337" s="44"/>
      <c r="C337" s="44"/>
      <c r="D337" s="44"/>
      <c r="E337" s="44"/>
      <c r="F337" s="44"/>
      <c r="K337" s="44"/>
      <c r="L337" s="44"/>
      <c r="M337" s="44"/>
    </row>
    <row r="338" ht="15.75" customHeight="1">
      <c r="A338" s="44"/>
      <c r="B338" s="44"/>
      <c r="C338" s="44"/>
      <c r="D338" s="44"/>
      <c r="E338" s="44"/>
      <c r="F338" s="44"/>
      <c r="K338" s="44"/>
      <c r="L338" s="44"/>
      <c r="M338" s="44"/>
    </row>
    <row r="339" ht="15.75" customHeight="1">
      <c r="A339" s="44"/>
      <c r="B339" s="44"/>
      <c r="C339" s="44"/>
      <c r="D339" s="44"/>
      <c r="E339" s="44"/>
      <c r="F339" s="44"/>
      <c r="K339" s="44"/>
      <c r="L339" s="44"/>
      <c r="M339" s="44"/>
    </row>
    <row r="340" ht="15.75" customHeight="1">
      <c r="A340" s="44"/>
      <c r="B340" s="44"/>
      <c r="C340" s="44"/>
      <c r="D340" s="44"/>
      <c r="E340" s="44"/>
      <c r="F340" s="44"/>
      <c r="K340" s="44"/>
      <c r="L340" s="44"/>
      <c r="M340" s="44"/>
    </row>
    <row r="341" ht="15.75" customHeight="1">
      <c r="A341" s="44"/>
      <c r="B341" s="44"/>
      <c r="C341" s="44"/>
      <c r="D341" s="44"/>
      <c r="E341" s="44"/>
      <c r="F341" s="44"/>
      <c r="K341" s="44"/>
      <c r="L341" s="44"/>
      <c r="M341" s="44"/>
    </row>
    <row r="342" ht="15.75" customHeight="1">
      <c r="A342" s="44"/>
      <c r="B342" s="44"/>
      <c r="C342" s="44"/>
      <c r="D342" s="44"/>
      <c r="E342" s="44"/>
      <c r="F342" s="44"/>
      <c r="K342" s="44"/>
      <c r="L342" s="44"/>
      <c r="M342" s="44"/>
    </row>
    <row r="343" ht="15.75" customHeight="1">
      <c r="A343" s="44"/>
      <c r="B343" s="44"/>
      <c r="C343" s="44"/>
      <c r="D343" s="44"/>
      <c r="E343" s="44"/>
      <c r="F343" s="44"/>
      <c r="K343" s="44"/>
      <c r="L343" s="44"/>
      <c r="M343" s="44"/>
    </row>
    <row r="344" ht="15.75" customHeight="1">
      <c r="A344" s="44"/>
      <c r="B344" s="44"/>
      <c r="C344" s="44"/>
      <c r="D344" s="44"/>
      <c r="E344" s="44"/>
      <c r="F344" s="44"/>
      <c r="K344" s="44"/>
      <c r="L344" s="44"/>
      <c r="M344" s="44"/>
    </row>
    <row r="345" ht="15.75" customHeight="1">
      <c r="A345" s="44"/>
      <c r="B345" s="44"/>
      <c r="C345" s="44"/>
      <c r="D345" s="44"/>
      <c r="E345" s="44"/>
      <c r="F345" s="44"/>
      <c r="K345" s="44"/>
      <c r="L345" s="44"/>
      <c r="M345" s="44"/>
    </row>
    <row r="346" ht="15.75" customHeight="1">
      <c r="A346" s="44"/>
      <c r="B346" s="44"/>
      <c r="C346" s="44"/>
      <c r="D346" s="44"/>
      <c r="E346" s="44"/>
      <c r="F346" s="44"/>
      <c r="K346" s="44"/>
      <c r="L346" s="44"/>
      <c r="M346" s="44"/>
    </row>
    <row r="347" ht="15.75" customHeight="1">
      <c r="A347" s="44"/>
      <c r="B347" s="44"/>
      <c r="C347" s="44"/>
      <c r="D347" s="44"/>
      <c r="E347" s="44"/>
      <c r="F347" s="44"/>
      <c r="K347" s="44"/>
      <c r="L347" s="44"/>
      <c r="M347" s="44"/>
    </row>
    <row r="348" ht="15.75" customHeight="1">
      <c r="A348" s="44"/>
      <c r="B348" s="44"/>
      <c r="C348" s="44"/>
      <c r="D348" s="44"/>
      <c r="E348" s="44"/>
      <c r="F348" s="44"/>
      <c r="K348" s="44"/>
      <c r="L348" s="44"/>
      <c r="M348" s="44"/>
    </row>
    <row r="349" ht="15.75" customHeight="1">
      <c r="A349" s="44"/>
      <c r="B349" s="44"/>
      <c r="C349" s="44"/>
      <c r="D349" s="44"/>
      <c r="E349" s="44"/>
      <c r="F349" s="44"/>
      <c r="K349" s="44"/>
      <c r="L349" s="44"/>
      <c r="M349" s="44"/>
    </row>
    <row r="350" ht="15.75" customHeight="1">
      <c r="A350" s="44"/>
      <c r="B350" s="44"/>
      <c r="C350" s="44"/>
      <c r="D350" s="44"/>
      <c r="E350" s="44"/>
      <c r="F350" s="44"/>
      <c r="K350" s="44"/>
      <c r="L350" s="44"/>
      <c r="M350" s="44"/>
    </row>
    <row r="351" ht="15.75" customHeight="1">
      <c r="A351" s="44"/>
      <c r="B351" s="44"/>
      <c r="C351" s="44"/>
      <c r="D351" s="44"/>
      <c r="E351" s="44"/>
      <c r="F351" s="44"/>
      <c r="K351" s="44"/>
      <c r="L351" s="44"/>
      <c r="M351" s="44"/>
    </row>
    <row r="352" ht="15.75" customHeight="1">
      <c r="A352" s="44"/>
      <c r="B352" s="44"/>
      <c r="C352" s="44"/>
      <c r="D352" s="44"/>
      <c r="E352" s="44"/>
      <c r="F352" s="44"/>
      <c r="K352" s="44"/>
      <c r="L352" s="44"/>
      <c r="M352" s="44"/>
    </row>
    <row r="353" ht="15.75" customHeight="1">
      <c r="A353" s="44"/>
      <c r="B353" s="44"/>
      <c r="C353" s="44"/>
      <c r="D353" s="44"/>
      <c r="E353" s="44"/>
      <c r="F353" s="44"/>
      <c r="K353" s="44"/>
      <c r="L353" s="44"/>
      <c r="M353" s="44"/>
    </row>
    <row r="354" ht="15.75" customHeight="1">
      <c r="A354" s="44"/>
      <c r="B354" s="44"/>
      <c r="C354" s="44"/>
      <c r="D354" s="44"/>
      <c r="E354" s="44"/>
      <c r="F354" s="44"/>
      <c r="K354" s="44"/>
      <c r="L354" s="44"/>
      <c r="M354" s="44"/>
    </row>
    <row r="355" ht="15.75" customHeight="1">
      <c r="A355" s="44"/>
      <c r="B355" s="44"/>
      <c r="C355" s="44"/>
      <c r="D355" s="44"/>
      <c r="E355" s="44"/>
      <c r="F355" s="44"/>
      <c r="K355" s="44"/>
      <c r="L355" s="44"/>
      <c r="M355" s="44"/>
    </row>
    <row r="356" ht="15.75" customHeight="1">
      <c r="A356" s="44"/>
      <c r="B356" s="44"/>
      <c r="C356" s="44"/>
      <c r="D356" s="44"/>
      <c r="E356" s="44"/>
      <c r="F356" s="44"/>
      <c r="K356" s="44"/>
      <c r="L356" s="44"/>
      <c r="M356" s="44"/>
    </row>
    <row r="357" ht="15.75" customHeight="1">
      <c r="A357" s="44"/>
      <c r="B357" s="44"/>
      <c r="C357" s="44"/>
      <c r="D357" s="44"/>
      <c r="E357" s="44"/>
      <c r="F357" s="44"/>
      <c r="K357" s="44"/>
      <c r="L357" s="44"/>
      <c r="M357" s="44"/>
    </row>
    <row r="358" ht="15.75" customHeight="1">
      <c r="A358" s="44"/>
      <c r="B358" s="44"/>
      <c r="C358" s="44"/>
      <c r="D358" s="44"/>
      <c r="E358" s="44"/>
      <c r="F358" s="44"/>
      <c r="K358" s="44"/>
      <c r="L358" s="44"/>
      <c r="M358" s="44"/>
    </row>
    <row r="359" ht="15.75" customHeight="1">
      <c r="A359" s="44"/>
      <c r="B359" s="44"/>
      <c r="C359" s="44"/>
      <c r="D359" s="44"/>
      <c r="E359" s="44"/>
      <c r="F359" s="44"/>
      <c r="K359" s="44"/>
      <c r="L359" s="44"/>
      <c r="M359" s="44"/>
    </row>
    <row r="360" ht="15.75" customHeight="1">
      <c r="A360" s="44"/>
      <c r="B360" s="44"/>
      <c r="C360" s="44"/>
      <c r="D360" s="44"/>
      <c r="E360" s="44"/>
      <c r="F360" s="44"/>
      <c r="K360" s="44"/>
      <c r="L360" s="44"/>
      <c r="M360" s="44"/>
    </row>
    <row r="361" ht="15.75" customHeight="1">
      <c r="A361" s="44"/>
      <c r="B361" s="44"/>
      <c r="C361" s="44"/>
      <c r="D361" s="44"/>
      <c r="E361" s="44"/>
      <c r="F361" s="44"/>
      <c r="K361" s="44"/>
      <c r="L361" s="44"/>
      <c r="M361" s="44"/>
    </row>
    <row r="362" ht="15.75" customHeight="1">
      <c r="A362" s="44"/>
      <c r="B362" s="44"/>
      <c r="C362" s="44"/>
      <c r="D362" s="44"/>
      <c r="E362" s="44"/>
      <c r="F362" s="44"/>
      <c r="K362" s="44"/>
      <c r="L362" s="44"/>
      <c r="M362" s="44"/>
    </row>
    <row r="363" ht="15.75" customHeight="1">
      <c r="A363" s="44"/>
      <c r="B363" s="44"/>
      <c r="C363" s="44"/>
      <c r="D363" s="44"/>
      <c r="E363" s="44"/>
      <c r="F363" s="44"/>
      <c r="K363" s="44"/>
      <c r="L363" s="44"/>
      <c r="M363" s="44"/>
    </row>
    <row r="364" ht="15.75" customHeight="1">
      <c r="A364" s="44"/>
      <c r="B364" s="44"/>
      <c r="C364" s="44"/>
      <c r="D364" s="44"/>
      <c r="E364" s="44"/>
      <c r="F364" s="44"/>
      <c r="K364" s="44"/>
      <c r="L364" s="44"/>
      <c r="M364" s="44"/>
    </row>
    <row r="365" ht="15.75" customHeight="1">
      <c r="A365" s="44"/>
      <c r="B365" s="44"/>
      <c r="C365" s="44"/>
      <c r="D365" s="44"/>
      <c r="E365" s="44"/>
      <c r="F365" s="44"/>
      <c r="K365" s="44"/>
      <c r="L365" s="44"/>
      <c r="M365" s="44"/>
    </row>
    <row r="366" ht="15.75" customHeight="1">
      <c r="A366" s="44"/>
      <c r="B366" s="44"/>
      <c r="C366" s="44"/>
      <c r="D366" s="44"/>
      <c r="E366" s="44"/>
      <c r="F366" s="44"/>
      <c r="K366" s="44"/>
      <c r="L366" s="44"/>
      <c r="M366" s="44"/>
    </row>
    <row r="367" ht="15.75" customHeight="1">
      <c r="A367" s="44"/>
      <c r="B367" s="44"/>
      <c r="C367" s="44"/>
      <c r="D367" s="44"/>
      <c r="E367" s="44"/>
      <c r="F367" s="44"/>
      <c r="K367" s="44"/>
      <c r="L367" s="44"/>
      <c r="M367" s="44"/>
    </row>
    <row r="368" ht="15.75" customHeight="1">
      <c r="A368" s="44"/>
      <c r="B368" s="44"/>
      <c r="C368" s="44"/>
      <c r="D368" s="44"/>
      <c r="E368" s="44"/>
      <c r="F368" s="44"/>
      <c r="K368" s="44"/>
      <c r="L368" s="44"/>
      <c r="M368" s="44"/>
    </row>
    <row r="369" ht="15.75" customHeight="1">
      <c r="A369" s="44"/>
      <c r="B369" s="44"/>
      <c r="C369" s="44"/>
      <c r="D369" s="44"/>
      <c r="E369" s="44"/>
      <c r="F369" s="44"/>
      <c r="K369" s="44"/>
      <c r="L369" s="44"/>
      <c r="M369" s="44"/>
    </row>
    <row r="370" ht="15.75" customHeight="1">
      <c r="A370" s="44"/>
      <c r="B370" s="44"/>
      <c r="C370" s="44"/>
      <c r="D370" s="44"/>
      <c r="E370" s="44"/>
      <c r="F370" s="44"/>
      <c r="K370" s="44"/>
      <c r="L370" s="44"/>
      <c r="M370" s="44"/>
    </row>
    <row r="371" ht="15.75" customHeight="1">
      <c r="A371" s="44"/>
      <c r="B371" s="44"/>
      <c r="C371" s="44"/>
      <c r="D371" s="44"/>
      <c r="E371" s="44"/>
      <c r="F371" s="44"/>
      <c r="K371" s="44"/>
      <c r="L371" s="44"/>
      <c r="M371" s="44"/>
    </row>
    <row r="372" ht="15.75" customHeight="1">
      <c r="A372" s="44"/>
      <c r="B372" s="44"/>
      <c r="C372" s="44"/>
      <c r="D372" s="44"/>
      <c r="E372" s="44"/>
      <c r="F372" s="44"/>
      <c r="K372" s="44"/>
      <c r="L372" s="44"/>
      <c r="M372" s="44"/>
    </row>
    <row r="373" ht="15.75" customHeight="1">
      <c r="A373" s="44"/>
      <c r="B373" s="44"/>
      <c r="C373" s="44"/>
      <c r="D373" s="44"/>
      <c r="E373" s="44"/>
      <c r="F373" s="44"/>
      <c r="K373" s="44"/>
      <c r="L373" s="44"/>
      <c r="M373" s="44"/>
    </row>
    <row r="374" ht="15.75" customHeight="1">
      <c r="A374" s="44"/>
      <c r="B374" s="44"/>
      <c r="C374" s="44"/>
      <c r="D374" s="44"/>
      <c r="E374" s="44"/>
      <c r="F374" s="44"/>
      <c r="K374" s="44"/>
      <c r="L374" s="44"/>
      <c r="M374" s="44"/>
    </row>
    <row r="375" ht="15.75" customHeight="1">
      <c r="A375" s="44"/>
      <c r="B375" s="44"/>
      <c r="C375" s="44"/>
      <c r="D375" s="44"/>
      <c r="E375" s="44"/>
      <c r="F375" s="44"/>
      <c r="K375" s="44"/>
      <c r="L375" s="44"/>
      <c r="M375" s="44"/>
    </row>
    <row r="376" ht="15.75" customHeight="1">
      <c r="A376" s="44"/>
      <c r="B376" s="44"/>
      <c r="C376" s="44"/>
      <c r="D376" s="44"/>
      <c r="E376" s="44"/>
      <c r="F376" s="44"/>
      <c r="K376" s="44"/>
      <c r="L376" s="44"/>
      <c r="M376" s="44"/>
    </row>
    <row r="377" ht="15.75" customHeight="1">
      <c r="A377" s="44"/>
      <c r="B377" s="44"/>
      <c r="C377" s="44"/>
      <c r="D377" s="44"/>
      <c r="E377" s="44"/>
      <c r="F377" s="44"/>
      <c r="K377" s="44"/>
      <c r="L377" s="44"/>
      <c r="M377" s="44"/>
    </row>
    <row r="378" ht="15.75" customHeight="1">
      <c r="A378" s="44"/>
      <c r="B378" s="44"/>
      <c r="C378" s="44"/>
      <c r="D378" s="44"/>
      <c r="E378" s="44"/>
      <c r="F378" s="44"/>
      <c r="K378" s="44"/>
      <c r="L378" s="44"/>
      <c r="M378" s="44"/>
    </row>
    <row r="379" ht="15.75" customHeight="1">
      <c r="A379" s="44"/>
      <c r="B379" s="44"/>
      <c r="C379" s="44"/>
      <c r="D379" s="44"/>
      <c r="E379" s="44"/>
      <c r="F379" s="44"/>
      <c r="K379" s="44"/>
      <c r="L379" s="44"/>
      <c r="M379" s="44"/>
    </row>
    <row r="380" ht="15.75" customHeight="1">
      <c r="A380" s="44"/>
      <c r="B380" s="44"/>
      <c r="C380" s="44"/>
      <c r="D380" s="44"/>
      <c r="E380" s="44"/>
      <c r="F380" s="44"/>
      <c r="K380" s="44"/>
      <c r="L380" s="44"/>
      <c r="M380" s="44"/>
    </row>
    <row r="381" ht="15.75" customHeight="1">
      <c r="A381" s="44"/>
      <c r="B381" s="44"/>
      <c r="C381" s="44"/>
      <c r="D381" s="44"/>
      <c r="E381" s="44"/>
      <c r="F381" s="44"/>
      <c r="K381" s="44"/>
      <c r="L381" s="44"/>
      <c r="M381" s="44"/>
    </row>
    <row r="382" ht="15.75" customHeight="1">
      <c r="A382" s="44"/>
      <c r="B382" s="44"/>
      <c r="C382" s="44"/>
      <c r="D382" s="44"/>
      <c r="E382" s="44"/>
      <c r="F382" s="44"/>
      <c r="K382" s="44"/>
      <c r="L382" s="44"/>
      <c r="M382" s="44"/>
    </row>
    <row r="383" ht="15.75" customHeight="1">
      <c r="A383" s="44"/>
      <c r="B383" s="44"/>
      <c r="C383" s="44"/>
      <c r="D383" s="44"/>
      <c r="E383" s="44"/>
      <c r="F383" s="44"/>
      <c r="K383" s="44"/>
      <c r="L383" s="44"/>
      <c r="M383" s="44"/>
    </row>
    <row r="384" ht="15.75" customHeight="1">
      <c r="A384" s="44"/>
      <c r="B384" s="44"/>
      <c r="C384" s="44"/>
      <c r="D384" s="44"/>
      <c r="E384" s="44"/>
      <c r="F384" s="44"/>
      <c r="K384" s="44"/>
      <c r="L384" s="44"/>
      <c r="M384" s="44"/>
    </row>
    <row r="385" ht="15.75" customHeight="1">
      <c r="A385" s="44"/>
      <c r="B385" s="44"/>
      <c r="C385" s="44"/>
      <c r="D385" s="44"/>
      <c r="E385" s="44"/>
      <c r="F385" s="44"/>
      <c r="K385" s="44"/>
      <c r="L385" s="44"/>
      <c r="M385" s="44"/>
    </row>
    <row r="386" ht="15.75" customHeight="1">
      <c r="A386" s="44"/>
      <c r="B386" s="44"/>
      <c r="C386" s="44"/>
      <c r="D386" s="44"/>
      <c r="E386" s="44"/>
      <c r="F386" s="44"/>
      <c r="K386" s="44"/>
      <c r="L386" s="44"/>
      <c r="M386" s="44"/>
    </row>
    <row r="387" ht="15.75" customHeight="1">
      <c r="A387" s="44"/>
      <c r="B387" s="44"/>
      <c r="C387" s="44"/>
      <c r="D387" s="44"/>
      <c r="E387" s="44"/>
      <c r="F387" s="44"/>
      <c r="K387" s="44"/>
      <c r="L387" s="44"/>
      <c r="M387" s="44"/>
    </row>
    <row r="388" ht="15.75" customHeight="1">
      <c r="A388" s="44"/>
      <c r="B388" s="44"/>
      <c r="C388" s="44"/>
      <c r="D388" s="44"/>
      <c r="E388" s="44"/>
      <c r="F388" s="44"/>
      <c r="K388" s="44"/>
      <c r="L388" s="44"/>
      <c r="M388" s="44"/>
    </row>
    <row r="389" ht="15.75" customHeight="1">
      <c r="A389" s="44"/>
      <c r="B389" s="44"/>
      <c r="C389" s="44"/>
      <c r="D389" s="44"/>
      <c r="E389" s="44"/>
      <c r="F389" s="44"/>
      <c r="K389" s="44"/>
      <c r="L389" s="44"/>
      <c r="M389" s="44"/>
    </row>
    <row r="390" ht="15.75" customHeight="1">
      <c r="A390" s="44"/>
      <c r="B390" s="44"/>
      <c r="C390" s="44"/>
      <c r="D390" s="44"/>
      <c r="E390" s="44"/>
      <c r="F390" s="44"/>
      <c r="K390" s="44"/>
      <c r="L390" s="44"/>
      <c r="M390" s="44"/>
    </row>
    <row r="391" ht="15.75" customHeight="1">
      <c r="A391" s="44"/>
      <c r="B391" s="44"/>
      <c r="C391" s="44"/>
      <c r="D391" s="44"/>
      <c r="E391" s="44"/>
      <c r="F391" s="44"/>
      <c r="K391" s="44"/>
      <c r="L391" s="44"/>
      <c r="M391" s="44"/>
    </row>
    <row r="392" ht="15.75" customHeight="1">
      <c r="A392" s="44"/>
      <c r="B392" s="44"/>
      <c r="C392" s="44"/>
      <c r="D392" s="44"/>
      <c r="E392" s="44"/>
      <c r="F392" s="44"/>
      <c r="K392" s="44"/>
      <c r="L392" s="44"/>
      <c r="M392" s="44"/>
    </row>
    <row r="393" ht="15.75" customHeight="1">
      <c r="A393" s="44"/>
      <c r="B393" s="44"/>
      <c r="C393" s="44"/>
      <c r="D393" s="44"/>
      <c r="E393" s="44"/>
      <c r="F393" s="44"/>
      <c r="K393" s="44"/>
      <c r="L393" s="44"/>
      <c r="M393" s="44"/>
    </row>
    <row r="394" ht="15.75" customHeight="1">
      <c r="A394" s="44"/>
      <c r="B394" s="44"/>
      <c r="C394" s="44"/>
      <c r="D394" s="44"/>
      <c r="E394" s="44"/>
      <c r="F394" s="44"/>
      <c r="K394" s="44"/>
      <c r="L394" s="44"/>
      <c r="M394" s="44"/>
    </row>
    <row r="395" ht="15.75" customHeight="1">
      <c r="A395" s="44"/>
      <c r="B395" s="44"/>
      <c r="C395" s="44"/>
      <c r="D395" s="44"/>
      <c r="E395" s="44"/>
      <c r="F395" s="44"/>
      <c r="K395" s="44"/>
      <c r="L395" s="44"/>
      <c r="M395" s="44"/>
    </row>
    <row r="396" ht="15.75" customHeight="1">
      <c r="A396" s="44"/>
      <c r="B396" s="44"/>
      <c r="C396" s="44"/>
      <c r="D396" s="44"/>
      <c r="E396" s="44"/>
      <c r="F396" s="44"/>
      <c r="K396" s="44"/>
      <c r="L396" s="44"/>
      <c r="M396" s="44"/>
    </row>
    <row r="397" ht="15.75" customHeight="1">
      <c r="A397" s="44"/>
      <c r="B397" s="44"/>
      <c r="C397" s="44"/>
      <c r="D397" s="44"/>
      <c r="E397" s="44"/>
      <c r="F397" s="44"/>
      <c r="K397" s="44"/>
      <c r="L397" s="44"/>
      <c r="M397" s="44"/>
    </row>
    <row r="398" ht="15.75" customHeight="1">
      <c r="A398" s="44"/>
      <c r="B398" s="44"/>
      <c r="C398" s="44"/>
      <c r="D398" s="44"/>
      <c r="E398" s="44"/>
      <c r="F398" s="44"/>
      <c r="K398" s="44"/>
      <c r="L398" s="44"/>
      <c r="M398" s="44"/>
    </row>
    <row r="399" ht="15.75" customHeight="1">
      <c r="A399" s="44"/>
      <c r="B399" s="44"/>
      <c r="C399" s="44"/>
      <c r="D399" s="44"/>
      <c r="E399" s="44"/>
      <c r="F399" s="44"/>
      <c r="K399" s="44"/>
      <c r="L399" s="44"/>
      <c r="M399" s="44"/>
    </row>
    <row r="400" ht="15.75" customHeight="1">
      <c r="A400" s="44"/>
      <c r="B400" s="44"/>
      <c r="C400" s="44"/>
      <c r="D400" s="44"/>
      <c r="E400" s="44"/>
      <c r="F400" s="44"/>
      <c r="K400" s="44"/>
      <c r="L400" s="44"/>
      <c r="M400" s="44"/>
    </row>
    <row r="401" ht="15.75" customHeight="1">
      <c r="A401" s="44"/>
      <c r="B401" s="44"/>
      <c r="C401" s="44"/>
      <c r="D401" s="44"/>
      <c r="E401" s="44"/>
      <c r="F401" s="44"/>
      <c r="K401" s="44"/>
      <c r="L401" s="44"/>
      <c r="M401" s="44"/>
    </row>
    <row r="402" ht="15.75" customHeight="1">
      <c r="A402" s="44"/>
      <c r="B402" s="44"/>
      <c r="C402" s="44"/>
      <c r="D402" s="44"/>
      <c r="E402" s="44"/>
      <c r="F402" s="44"/>
      <c r="K402" s="44"/>
      <c r="L402" s="44"/>
      <c r="M402" s="44"/>
    </row>
    <row r="403" ht="15.75" customHeight="1">
      <c r="A403" s="44"/>
      <c r="B403" s="44"/>
      <c r="C403" s="44"/>
      <c r="D403" s="44"/>
      <c r="E403" s="44"/>
      <c r="F403" s="44"/>
      <c r="K403" s="44"/>
      <c r="L403" s="44"/>
      <c r="M403" s="44"/>
    </row>
    <row r="404" ht="15.75" customHeight="1">
      <c r="A404" s="44"/>
      <c r="B404" s="44"/>
      <c r="C404" s="44"/>
      <c r="D404" s="44"/>
      <c r="E404" s="44"/>
      <c r="F404" s="44"/>
      <c r="K404" s="44"/>
      <c r="L404" s="44"/>
      <c r="M404" s="44"/>
    </row>
    <row r="405" ht="15.75" customHeight="1">
      <c r="A405" s="44"/>
      <c r="B405" s="44"/>
      <c r="C405" s="44"/>
      <c r="D405" s="44"/>
      <c r="E405" s="44"/>
      <c r="F405" s="44"/>
      <c r="K405" s="44"/>
      <c r="L405" s="44"/>
      <c r="M405" s="44"/>
    </row>
    <row r="406" ht="15.75" customHeight="1">
      <c r="A406" s="44"/>
      <c r="B406" s="44"/>
      <c r="C406" s="44"/>
      <c r="D406" s="44"/>
      <c r="E406" s="44"/>
      <c r="F406" s="44"/>
      <c r="K406" s="44"/>
      <c r="L406" s="44"/>
      <c r="M406" s="44"/>
    </row>
    <row r="407" ht="15.75" customHeight="1">
      <c r="A407" s="44"/>
      <c r="B407" s="44"/>
      <c r="C407" s="44"/>
      <c r="D407" s="44"/>
      <c r="E407" s="44"/>
      <c r="F407" s="44"/>
      <c r="K407" s="44"/>
      <c r="L407" s="44"/>
      <c r="M407" s="44"/>
    </row>
    <row r="408" ht="15.75" customHeight="1">
      <c r="A408" s="44"/>
      <c r="B408" s="44"/>
      <c r="C408" s="44"/>
      <c r="D408" s="44"/>
      <c r="E408" s="44"/>
      <c r="F408" s="44"/>
      <c r="K408" s="44"/>
      <c r="L408" s="44"/>
      <c r="M408" s="44"/>
    </row>
    <row r="409" ht="15.75" customHeight="1">
      <c r="A409" s="44"/>
      <c r="B409" s="44"/>
      <c r="C409" s="44"/>
      <c r="D409" s="44"/>
      <c r="E409" s="44"/>
      <c r="F409" s="44"/>
      <c r="K409" s="44"/>
      <c r="L409" s="44"/>
      <c r="M409" s="44"/>
    </row>
    <row r="410" ht="15.75" customHeight="1">
      <c r="A410" s="44"/>
      <c r="B410" s="44"/>
      <c r="C410" s="44"/>
      <c r="D410" s="44"/>
      <c r="E410" s="44"/>
      <c r="F410" s="44"/>
      <c r="K410" s="44"/>
      <c r="L410" s="44"/>
      <c r="M410" s="44"/>
    </row>
    <row r="411" ht="15.75" customHeight="1">
      <c r="A411" s="44"/>
      <c r="B411" s="44"/>
      <c r="C411" s="44"/>
      <c r="D411" s="44"/>
      <c r="E411" s="44"/>
      <c r="F411" s="44"/>
      <c r="K411" s="44"/>
      <c r="L411" s="44"/>
      <c r="M411" s="44"/>
    </row>
    <row r="412" ht="15.75" customHeight="1">
      <c r="A412" s="44"/>
      <c r="B412" s="44"/>
      <c r="C412" s="44"/>
      <c r="D412" s="44"/>
      <c r="E412" s="44"/>
      <c r="F412" s="44"/>
      <c r="K412" s="44"/>
      <c r="L412" s="44"/>
      <c r="M412" s="44"/>
    </row>
    <row r="413" ht="15.75" customHeight="1">
      <c r="A413" s="44"/>
      <c r="B413" s="44"/>
      <c r="C413" s="44"/>
      <c r="D413" s="44"/>
      <c r="E413" s="44"/>
      <c r="F413" s="44"/>
      <c r="K413" s="44"/>
      <c r="L413" s="44"/>
      <c r="M413" s="44"/>
    </row>
    <row r="414" ht="15.75" customHeight="1">
      <c r="A414" s="44"/>
      <c r="B414" s="44"/>
      <c r="C414" s="44"/>
      <c r="D414" s="44"/>
      <c r="E414" s="44"/>
      <c r="F414" s="44"/>
      <c r="K414" s="44"/>
      <c r="L414" s="44"/>
      <c r="M414" s="44"/>
    </row>
    <row r="415" ht="15.75" customHeight="1">
      <c r="A415" s="44"/>
      <c r="B415" s="44"/>
      <c r="C415" s="44"/>
      <c r="D415" s="44"/>
      <c r="E415" s="44"/>
      <c r="F415" s="44"/>
      <c r="K415" s="44"/>
      <c r="L415" s="44"/>
      <c r="M415" s="44"/>
    </row>
    <row r="416" ht="15.75" customHeight="1">
      <c r="A416" s="44"/>
      <c r="B416" s="44"/>
      <c r="C416" s="44"/>
      <c r="D416" s="44"/>
      <c r="E416" s="44"/>
      <c r="F416" s="44"/>
      <c r="K416" s="44"/>
      <c r="L416" s="44"/>
      <c r="M416" s="44"/>
    </row>
    <row r="417" ht="15.75" customHeight="1">
      <c r="A417" s="44"/>
      <c r="B417" s="44"/>
      <c r="C417" s="44"/>
      <c r="D417" s="44"/>
      <c r="E417" s="44"/>
      <c r="F417" s="44"/>
      <c r="K417" s="44"/>
      <c r="L417" s="44"/>
      <c r="M417" s="44"/>
    </row>
    <row r="418" ht="15.75" customHeight="1">
      <c r="A418" s="44"/>
      <c r="B418" s="44"/>
      <c r="C418" s="44"/>
      <c r="D418" s="44"/>
      <c r="E418" s="44"/>
      <c r="F418" s="44"/>
      <c r="K418" s="44"/>
      <c r="L418" s="44"/>
      <c r="M418" s="44"/>
    </row>
    <row r="419" ht="15.75" customHeight="1">
      <c r="A419" s="44"/>
      <c r="B419" s="44"/>
      <c r="C419" s="44"/>
      <c r="D419" s="44"/>
      <c r="E419" s="44"/>
      <c r="F419" s="44"/>
      <c r="K419" s="44"/>
      <c r="L419" s="44"/>
      <c r="M419" s="44"/>
    </row>
    <row r="420" ht="15.75" customHeight="1">
      <c r="A420" s="44"/>
      <c r="B420" s="44"/>
      <c r="C420" s="44"/>
      <c r="D420" s="44"/>
      <c r="E420" s="44"/>
      <c r="F420" s="44"/>
      <c r="K420" s="44"/>
      <c r="L420" s="44"/>
      <c r="M420" s="44"/>
    </row>
    <row r="421" ht="15.75" customHeight="1">
      <c r="A421" s="44"/>
      <c r="B421" s="44"/>
      <c r="C421" s="44"/>
      <c r="D421" s="44"/>
      <c r="E421" s="44"/>
      <c r="F421" s="44"/>
      <c r="K421" s="44"/>
      <c r="L421" s="44"/>
      <c r="M421" s="44"/>
    </row>
    <row r="422" ht="15.75" customHeight="1">
      <c r="A422" s="44"/>
      <c r="B422" s="44"/>
      <c r="C422" s="44"/>
      <c r="D422" s="44"/>
      <c r="E422" s="44"/>
      <c r="F422" s="44"/>
      <c r="K422" s="44"/>
      <c r="L422" s="44"/>
      <c r="M422" s="44"/>
    </row>
    <row r="423" ht="15.75" customHeight="1">
      <c r="A423" s="44"/>
      <c r="B423" s="44"/>
      <c r="C423" s="44"/>
      <c r="D423" s="44"/>
      <c r="E423" s="44"/>
      <c r="F423" s="44"/>
      <c r="K423" s="44"/>
      <c r="L423" s="44"/>
      <c r="M423" s="44"/>
    </row>
    <row r="424" ht="15.75" customHeight="1">
      <c r="A424" s="44"/>
      <c r="B424" s="44"/>
      <c r="C424" s="44"/>
      <c r="D424" s="44"/>
      <c r="E424" s="44"/>
      <c r="F424" s="44"/>
      <c r="K424" s="44"/>
      <c r="L424" s="44"/>
      <c r="M424" s="44"/>
    </row>
    <row r="425" ht="15.75" customHeight="1">
      <c r="A425" s="44"/>
      <c r="B425" s="44"/>
      <c r="C425" s="44"/>
      <c r="D425" s="44"/>
      <c r="E425" s="44"/>
      <c r="F425" s="44"/>
      <c r="K425" s="44"/>
      <c r="L425" s="44"/>
      <c r="M425" s="44"/>
    </row>
    <row r="426" ht="15.75" customHeight="1">
      <c r="A426" s="44"/>
      <c r="B426" s="44"/>
      <c r="C426" s="44"/>
      <c r="D426" s="44"/>
      <c r="E426" s="44"/>
      <c r="F426" s="44"/>
      <c r="K426" s="44"/>
      <c r="L426" s="44"/>
      <c r="M426" s="44"/>
    </row>
    <row r="427" ht="15.75" customHeight="1">
      <c r="A427" s="44"/>
      <c r="B427" s="44"/>
      <c r="C427" s="44"/>
      <c r="D427" s="44"/>
      <c r="E427" s="44"/>
      <c r="F427" s="44"/>
      <c r="K427" s="44"/>
      <c r="L427" s="44"/>
      <c r="M427" s="44"/>
    </row>
    <row r="428" ht="15.75" customHeight="1">
      <c r="A428" s="44"/>
      <c r="B428" s="44"/>
      <c r="C428" s="44"/>
      <c r="D428" s="44"/>
      <c r="E428" s="44"/>
      <c r="F428" s="44"/>
      <c r="K428" s="44"/>
      <c r="L428" s="44"/>
      <c r="M428" s="44"/>
    </row>
    <row r="429" ht="15.75" customHeight="1">
      <c r="A429" s="44"/>
      <c r="B429" s="44"/>
      <c r="C429" s="44"/>
      <c r="D429" s="44"/>
      <c r="E429" s="44"/>
      <c r="F429" s="44"/>
      <c r="K429" s="44"/>
      <c r="L429" s="44"/>
      <c r="M429" s="44"/>
    </row>
    <row r="430" ht="15.75" customHeight="1">
      <c r="A430" s="44"/>
      <c r="B430" s="44"/>
      <c r="C430" s="44"/>
      <c r="D430" s="44"/>
      <c r="E430" s="44"/>
      <c r="F430" s="44"/>
      <c r="K430" s="44"/>
      <c r="L430" s="44"/>
      <c r="M430" s="44"/>
    </row>
    <row r="431" ht="15.75" customHeight="1">
      <c r="A431" s="44"/>
      <c r="B431" s="44"/>
      <c r="C431" s="44"/>
      <c r="D431" s="44"/>
      <c r="E431" s="44"/>
      <c r="F431" s="44"/>
      <c r="K431" s="44"/>
      <c r="L431" s="44"/>
      <c r="M431" s="44"/>
    </row>
    <row r="432" ht="15.75" customHeight="1">
      <c r="A432" s="44"/>
      <c r="B432" s="44"/>
      <c r="C432" s="44"/>
      <c r="D432" s="44"/>
      <c r="E432" s="44"/>
      <c r="F432" s="44"/>
      <c r="K432" s="44"/>
      <c r="L432" s="44"/>
      <c r="M432" s="44"/>
    </row>
    <row r="433" ht="15.75" customHeight="1">
      <c r="A433" s="44"/>
      <c r="B433" s="44"/>
      <c r="C433" s="44"/>
      <c r="D433" s="44"/>
      <c r="E433" s="44"/>
      <c r="F433" s="44"/>
      <c r="K433" s="44"/>
      <c r="L433" s="44"/>
      <c r="M433" s="44"/>
    </row>
    <row r="434" ht="15.75" customHeight="1">
      <c r="A434" s="44"/>
      <c r="B434" s="44"/>
      <c r="C434" s="44"/>
      <c r="D434" s="44"/>
      <c r="E434" s="44"/>
      <c r="F434" s="44"/>
      <c r="K434" s="44"/>
      <c r="L434" s="44"/>
      <c r="M434" s="44"/>
    </row>
    <row r="435" ht="15.75" customHeight="1">
      <c r="A435" s="44"/>
      <c r="B435" s="44"/>
      <c r="C435" s="44"/>
      <c r="D435" s="44"/>
      <c r="E435" s="44"/>
      <c r="F435" s="44"/>
      <c r="K435" s="44"/>
      <c r="L435" s="44"/>
      <c r="M435" s="44"/>
    </row>
    <row r="436" ht="15.75" customHeight="1">
      <c r="A436" s="44"/>
      <c r="B436" s="44"/>
      <c r="C436" s="44"/>
      <c r="D436" s="44"/>
      <c r="E436" s="44"/>
      <c r="F436" s="44"/>
      <c r="K436" s="44"/>
      <c r="L436" s="44"/>
      <c r="M436" s="44"/>
    </row>
    <row r="437" ht="15.75" customHeight="1">
      <c r="A437" s="44"/>
      <c r="B437" s="44"/>
      <c r="C437" s="44"/>
      <c r="D437" s="44"/>
      <c r="E437" s="44"/>
      <c r="F437" s="44"/>
      <c r="K437" s="44"/>
      <c r="L437" s="44"/>
      <c r="M437" s="44"/>
    </row>
    <row r="438" ht="15.75" customHeight="1">
      <c r="A438" s="44"/>
      <c r="B438" s="44"/>
      <c r="C438" s="44"/>
      <c r="D438" s="44"/>
      <c r="E438" s="44"/>
      <c r="F438" s="44"/>
      <c r="K438" s="44"/>
      <c r="L438" s="44"/>
      <c r="M438" s="44"/>
    </row>
    <row r="439" ht="15.75" customHeight="1">
      <c r="A439" s="44"/>
      <c r="B439" s="44"/>
      <c r="C439" s="44"/>
      <c r="D439" s="44"/>
      <c r="E439" s="44"/>
      <c r="F439" s="44"/>
      <c r="K439" s="44"/>
      <c r="L439" s="44"/>
      <c r="M439" s="44"/>
    </row>
    <row r="440" ht="15.75" customHeight="1">
      <c r="A440" s="44"/>
      <c r="B440" s="44"/>
      <c r="C440" s="44"/>
      <c r="D440" s="44"/>
      <c r="E440" s="44"/>
      <c r="F440" s="44"/>
      <c r="K440" s="44"/>
      <c r="L440" s="44"/>
      <c r="M440" s="44"/>
    </row>
    <row r="441" ht="15.75" customHeight="1">
      <c r="A441" s="44"/>
      <c r="B441" s="44"/>
      <c r="C441" s="44"/>
      <c r="D441" s="44"/>
      <c r="E441" s="44"/>
      <c r="F441" s="44"/>
      <c r="K441" s="44"/>
      <c r="L441" s="44"/>
      <c r="M441" s="44"/>
    </row>
    <row r="442" ht="15.75" customHeight="1">
      <c r="A442" s="44"/>
      <c r="B442" s="44"/>
      <c r="C442" s="44"/>
      <c r="D442" s="44"/>
      <c r="E442" s="44"/>
      <c r="F442" s="44"/>
      <c r="K442" s="44"/>
      <c r="L442" s="44"/>
      <c r="M442" s="44"/>
    </row>
    <row r="443" ht="15.75" customHeight="1">
      <c r="A443" s="44"/>
      <c r="B443" s="44"/>
      <c r="C443" s="44"/>
      <c r="D443" s="44"/>
      <c r="E443" s="44"/>
      <c r="F443" s="44"/>
      <c r="K443" s="44"/>
      <c r="L443" s="44"/>
      <c r="M443" s="44"/>
    </row>
    <row r="444" ht="15.75" customHeight="1">
      <c r="A444" s="44"/>
      <c r="B444" s="44"/>
      <c r="C444" s="44"/>
      <c r="D444" s="44"/>
      <c r="E444" s="44"/>
      <c r="F444" s="44"/>
      <c r="K444" s="44"/>
      <c r="L444" s="44"/>
      <c r="M444" s="44"/>
    </row>
    <row r="445" ht="15.75" customHeight="1">
      <c r="A445" s="44"/>
      <c r="B445" s="44"/>
      <c r="C445" s="44"/>
      <c r="D445" s="44"/>
      <c r="E445" s="44"/>
      <c r="F445" s="44"/>
      <c r="K445" s="44"/>
      <c r="L445" s="44"/>
      <c r="M445" s="44"/>
    </row>
    <row r="446" ht="15.75" customHeight="1">
      <c r="A446" s="44"/>
      <c r="B446" s="44"/>
      <c r="C446" s="44"/>
      <c r="D446" s="44"/>
      <c r="E446" s="44"/>
      <c r="F446" s="44"/>
      <c r="K446" s="44"/>
      <c r="L446" s="44"/>
      <c r="M446" s="44"/>
    </row>
    <row r="447" ht="15.75" customHeight="1">
      <c r="A447" s="44"/>
      <c r="B447" s="44"/>
      <c r="C447" s="44"/>
      <c r="D447" s="44"/>
      <c r="E447" s="44"/>
      <c r="F447" s="44"/>
      <c r="K447" s="44"/>
      <c r="L447" s="44"/>
      <c r="M447" s="44"/>
    </row>
    <row r="448" ht="15.75" customHeight="1">
      <c r="A448" s="44"/>
      <c r="B448" s="44"/>
      <c r="C448" s="44"/>
      <c r="D448" s="44"/>
      <c r="E448" s="44"/>
      <c r="F448" s="44"/>
      <c r="K448" s="44"/>
      <c r="L448" s="44"/>
      <c r="M448" s="44"/>
    </row>
    <row r="449" ht="15.75" customHeight="1">
      <c r="A449" s="44"/>
      <c r="B449" s="44"/>
      <c r="C449" s="44"/>
      <c r="D449" s="44"/>
      <c r="E449" s="44"/>
      <c r="F449" s="44"/>
      <c r="K449" s="44"/>
      <c r="L449" s="44"/>
      <c r="M449" s="44"/>
    </row>
    <row r="450" ht="15.75" customHeight="1">
      <c r="A450" s="44"/>
      <c r="B450" s="44"/>
      <c r="C450" s="44"/>
      <c r="D450" s="44"/>
      <c r="E450" s="44"/>
      <c r="F450" s="44"/>
      <c r="K450" s="44"/>
      <c r="L450" s="44"/>
      <c r="M450" s="44"/>
    </row>
    <row r="451" ht="15.75" customHeight="1">
      <c r="A451" s="44"/>
      <c r="B451" s="44"/>
      <c r="C451" s="44"/>
      <c r="D451" s="44"/>
      <c r="E451" s="44"/>
      <c r="F451" s="44"/>
      <c r="K451" s="44"/>
      <c r="L451" s="44"/>
      <c r="M451" s="44"/>
    </row>
    <row r="452" ht="15.75" customHeight="1">
      <c r="A452" s="44"/>
      <c r="B452" s="44"/>
      <c r="C452" s="44"/>
      <c r="D452" s="44"/>
      <c r="E452" s="44"/>
      <c r="F452" s="44"/>
      <c r="K452" s="44"/>
      <c r="L452" s="44"/>
      <c r="M452" s="44"/>
    </row>
    <row r="453" ht="15.75" customHeight="1">
      <c r="A453" s="44"/>
      <c r="B453" s="44"/>
      <c r="C453" s="44"/>
      <c r="D453" s="44"/>
      <c r="E453" s="44"/>
      <c r="F453" s="44"/>
      <c r="K453" s="44"/>
      <c r="L453" s="44"/>
      <c r="M453" s="44"/>
    </row>
    <row r="454" ht="15.75" customHeight="1">
      <c r="A454" s="44"/>
      <c r="B454" s="44"/>
      <c r="C454" s="44"/>
      <c r="D454" s="44"/>
      <c r="E454" s="44"/>
      <c r="F454" s="44"/>
      <c r="K454" s="44"/>
      <c r="L454" s="44"/>
      <c r="M454" s="44"/>
    </row>
    <row r="455" ht="15.75" customHeight="1">
      <c r="A455" s="44"/>
      <c r="B455" s="44"/>
      <c r="C455" s="44"/>
      <c r="D455" s="44"/>
      <c r="E455" s="44"/>
      <c r="F455" s="44"/>
      <c r="K455" s="44"/>
      <c r="L455" s="44"/>
      <c r="M455" s="44"/>
    </row>
    <row r="456" ht="15.75" customHeight="1">
      <c r="A456" s="44"/>
      <c r="B456" s="44"/>
      <c r="C456" s="44"/>
      <c r="D456" s="44"/>
      <c r="E456" s="44"/>
      <c r="F456" s="44"/>
      <c r="K456" s="44"/>
      <c r="L456" s="44"/>
      <c r="M456" s="44"/>
    </row>
    <row r="457" ht="15.75" customHeight="1">
      <c r="A457" s="44"/>
      <c r="B457" s="44"/>
      <c r="C457" s="44"/>
      <c r="D457" s="44"/>
      <c r="E457" s="44"/>
      <c r="F457" s="44"/>
      <c r="K457" s="44"/>
      <c r="L457" s="44"/>
      <c r="M457" s="44"/>
    </row>
    <row r="458" ht="15.75" customHeight="1">
      <c r="A458" s="44"/>
      <c r="B458" s="44"/>
      <c r="C458" s="44"/>
      <c r="D458" s="44"/>
      <c r="E458" s="44"/>
      <c r="F458" s="44"/>
      <c r="K458" s="44"/>
      <c r="L458" s="44"/>
      <c r="M458" s="44"/>
    </row>
    <row r="459" ht="15.75" customHeight="1">
      <c r="A459" s="44"/>
      <c r="B459" s="44"/>
      <c r="C459" s="44"/>
      <c r="D459" s="44"/>
      <c r="E459" s="44"/>
      <c r="F459" s="44"/>
      <c r="K459" s="44"/>
      <c r="L459" s="44"/>
      <c r="M459" s="44"/>
    </row>
    <row r="460" ht="15.75" customHeight="1">
      <c r="A460" s="44"/>
      <c r="B460" s="44"/>
      <c r="C460" s="44"/>
      <c r="D460" s="44"/>
      <c r="E460" s="44"/>
      <c r="F460" s="44"/>
      <c r="K460" s="44"/>
      <c r="L460" s="44"/>
      <c r="M460" s="44"/>
    </row>
    <row r="461" ht="15.75" customHeight="1">
      <c r="A461" s="44"/>
      <c r="B461" s="44"/>
      <c r="C461" s="44"/>
      <c r="D461" s="44"/>
      <c r="E461" s="44"/>
      <c r="F461" s="44"/>
      <c r="K461" s="44"/>
      <c r="L461" s="44"/>
      <c r="M461" s="44"/>
    </row>
    <row r="462" ht="15.75" customHeight="1">
      <c r="A462" s="44"/>
      <c r="B462" s="44"/>
      <c r="C462" s="44"/>
      <c r="D462" s="44"/>
      <c r="E462" s="44"/>
      <c r="F462" s="44"/>
      <c r="K462" s="44"/>
      <c r="L462" s="44"/>
      <c r="M462" s="44"/>
    </row>
    <row r="463" ht="15.75" customHeight="1">
      <c r="A463" s="44"/>
      <c r="B463" s="44"/>
      <c r="C463" s="44"/>
      <c r="D463" s="44"/>
      <c r="E463" s="44"/>
      <c r="F463" s="44"/>
      <c r="K463" s="44"/>
      <c r="L463" s="44"/>
      <c r="M463" s="44"/>
    </row>
    <row r="464" ht="15.75" customHeight="1">
      <c r="A464" s="44"/>
      <c r="B464" s="44"/>
      <c r="C464" s="44"/>
      <c r="D464" s="44"/>
      <c r="E464" s="44"/>
      <c r="F464" s="44"/>
      <c r="K464" s="44"/>
      <c r="L464" s="44"/>
      <c r="M464" s="44"/>
    </row>
    <row r="465" ht="15.75" customHeight="1">
      <c r="A465" s="44"/>
      <c r="B465" s="44"/>
      <c r="C465" s="44"/>
      <c r="D465" s="44"/>
      <c r="E465" s="44"/>
      <c r="F465" s="44"/>
      <c r="K465" s="44"/>
      <c r="L465" s="44"/>
      <c r="M465" s="44"/>
    </row>
    <row r="466" ht="15.75" customHeight="1">
      <c r="A466" s="44"/>
      <c r="B466" s="44"/>
      <c r="C466" s="44"/>
      <c r="D466" s="44"/>
      <c r="E466" s="44"/>
      <c r="F466" s="44"/>
      <c r="K466" s="44"/>
      <c r="L466" s="44"/>
      <c r="M466" s="44"/>
    </row>
    <row r="467" ht="15.75" customHeight="1">
      <c r="A467" s="44"/>
      <c r="B467" s="44"/>
      <c r="C467" s="44"/>
      <c r="D467" s="44"/>
      <c r="E467" s="44"/>
      <c r="F467" s="44"/>
      <c r="K467" s="44"/>
      <c r="L467" s="44"/>
      <c r="M467" s="44"/>
    </row>
    <row r="468" ht="15.75" customHeight="1">
      <c r="A468" s="44"/>
      <c r="B468" s="44"/>
      <c r="C468" s="44"/>
      <c r="D468" s="44"/>
      <c r="E468" s="44"/>
      <c r="F468" s="44"/>
      <c r="K468" s="44"/>
      <c r="L468" s="44"/>
      <c r="M468" s="44"/>
    </row>
    <row r="469" ht="15.75" customHeight="1">
      <c r="A469" s="44"/>
      <c r="B469" s="44"/>
      <c r="C469" s="44"/>
      <c r="D469" s="44"/>
      <c r="E469" s="44"/>
      <c r="F469" s="44"/>
      <c r="K469" s="44"/>
      <c r="L469" s="44"/>
      <c r="M469" s="44"/>
    </row>
    <row r="470" ht="15.75" customHeight="1">
      <c r="A470" s="44"/>
      <c r="B470" s="44"/>
      <c r="C470" s="44"/>
      <c r="D470" s="44"/>
      <c r="E470" s="44"/>
      <c r="F470" s="44"/>
      <c r="K470" s="44"/>
      <c r="L470" s="44"/>
      <c r="M470" s="44"/>
    </row>
    <row r="471" ht="15.75" customHeight="1">
      <c r="A471" s="44"/>
      <c r="B471" s="44"/>
      <c r="C471" s="44"/>
      <c r="D471" s="44"/>
      <c r="E471" s="44"/>
      <c r="F471" s="44"/>
      <c r="K471" s="44"/>
      <c r="L471" s="44"/>
      <c r="M471" s="44"/>
    </row>
    <row r="472" ht="15.75" customHeight="1">
      <c r="A472" s="44"/>
      <c r="B472" s="44"/>
      <c r="C472" s="44"/>
      <c r="D472" s="44"/>
      <c r="E472" s="44"/>
      <c r="F472" s="44"/>
      <c r="K472" s="44"/>
      <c r="L472" s="44"/>
      <c r="M472" s="44"/>
    </row>
    <row r="473" ht="15.75" customHeight="1">
      <c r="A473" s="44"/>
      <c r="B473" s="44"/>
      <c r="C473" s="44"/>
      <c r="D473" s="44"/>
      <c r="E473" s="44"/>
      <c r="F473" s="44"/>
      <c r="K473" s="44"/>
      <c r="L473" s="44"/>
      <c r="M473" s="44"/>
    </row>
    <row r="474" ht="15.75" customHeight="1">
      <c r="A474" s="44"/>
      <c r="B474" s="44"/>
      <c r="C474" s="44"/>
      <c r="D474" s="44"/>
      <c r="E474" s="44"/>
      <c r="F474" s="44"/>
      <c r="K474" s="44"/>
      <c r="L474" s="44"/>
      <c r="M474" s="44"/>
    </row>
    <row r="475" ht="15.75" customHeight="1">
      <c r="A475" s="44"/>
      <c r="B475" s="44"/>
      <c r="C475" s="44"/>
      <c r="D475" s="44"/>
      <c r="E475" s="44"/>
      <c r="F475" s="44"/>
      <c r="K475" s="44"/>
      <c r="L475" s="44"/>
      <c r="M475" s="44"/>
    </row>
    <row r="476" ht="15.75" customHeight="1">
      <c r="A476" s="44"/>
      <c r="B476" s="44"/>
      <c r="C476" s="44"/>
      <c r="D476" s="44"/>
      <c r="E476" s="44"/>
      <c r="F476" s="44"/>
      <c r="K476" s="44"/>
      <c r="L476" s="44"/>
      <c r="M476" s="44"/>
    </row>
    <row r="477" ht="15.75" customHeight="1">
      <c r="A477" s="44"/>
      <c r="B477" s="44"/>
      <c r="C477" s="44"/>
      <c r="D477" s="44"/>
      <c r="E477" s="44"/>
      <c r="F477" s="44"/>
      <c r="K477" s="44"/>
      <c r="L477" s="44"/>
      <c r="M477" s="44"/>
    </row>
    <row r="478" ht="15.75" customHeight="1">
      <c r="A478" s="44"/>
      <c r="B478" s="44"/>
      <c r="C478" s="44"/>
      <c r="D478" s="44"/>
      <c r="E478" s="44"/>
      <c r="F478" s="44"/>
      <c r="K478" s="44"/>
      <c r="L478" s="44"/>
      <c r="M478" s="44"/>
    </row>
    <row r="479" ht="15.75" customHeight="1">
      <c r="A479" s="44"/>
      <c r="B479" s="44"/>
      <c r="C479" s="44"/>
      <c r="D479" s="44"/>
      <c r="E479" s="44"/>
      <c r="F479" s="44"/>
      <c r="K479" s="44"/>
      <c r="L479" s="44"/>
      <c r="M479" s="44"/>
    </row>
    <row r="480" ht="15.75" customHeight="1">
      <c r="A480" s="44"/>
      <c r="B480" s="44"/>
      <c r="C480" s="44"/>
      <c r="D480" s="44"/>
      <c r="E480" s="44"/>
      <c r="F480" s="44"/>
      <c r="K480" s="44"/>
      <c r="L480" s="44"/>
      <c r="M480" s="44"/>
    </row>
    <row r="481" ht="15.75" customHeight="1">
      <c r="A481" s="44"/>
      <c r="B481" s="44"/>
      <c r="C481" s="44"/>
      <c r="D481" s="44"/>
      <c r="E481" s="44"/>
      <c r="F481" s="44"/>
      <c r="K481" s="44"/>
      <c r="L481" s="44"/>
      <c r="M481" s="44"/>
    </row>
    <row r="482" ht="15.75" customHeight="1">
      <c r="A482" s="44"/>
      <c r="B482" s="44"/>
      <c r="C482" s="44"/>
      <c r="D482" s="44"/>
      <c r="E482" s="44"/>
      <c r="F482" s="44"/>
      <c r="K482" s="44"/>
      <c r="L482" s="44"/>
      <c r="M482" s="44"/>
    </row>
    <row r="483" ht="15.75" customHeight="1">
      <c r="A483" s="44"/>
      <c r="B483" s="44"/>
      <c r="C483" s="44"/>
      <c r="D483" s="44"/>
      <c r="E483" s="44"/>
      <c r="F483" s="44"/>
      <c r="K483" s="44"/>
      <c r="L483" s="44"/>
      <c r="M483" s="44"/>
    </row>
    <row r="484" ht="15.75" customHeight="1">
      <c r="A484" s="44"/>
      <c r="B484" s="44"/>
      <c r="C484" s="44"/>
      <c r="D484" s="44"/>
      <c r="E484" s="44"/>
      <c r="F484" s="44"/>
      <c r="K484" s="44"/>
      <c r="L484" s="44"/>
      <c r="M484" s="44"/>
    </row>
    <row r="485" ht="15.75" customHeight="1">
      <c r="A485" s="44"/>
      <c r="B485" s="44"/>
      <c r="C485" s="44"/>
      <c r="D485" s="44"/>
      <c r="E485" s="44"/>
      <c r="F485" s="44"/>
      <c r="K485" s="44"/>
      <c r="L485" s="44"/>
      <c r="M485" s="44"/>
    </row>
    <row r="486" ht="15.75" customHeight="1">
      <c r="A486" s="44"/>
      <c r="B486" s="44"/>
      <c r="C486" s="44"/>
      <c r="D486" s="44"/>
      <c r="E486" s="44"/>
      <c r="F486" s="44"/>
      <c r="K486" s="44"/>
      <c r="L486" s="44"/>
      <c r="M486" s="44"/>
    </row>
    <row r="487" ht="15.75" customHeight="1">
      <c r="A487" s="44"/>
      <c r="B487" s="44"/>
      <c r="C487" s="44"/>
      <c r="D487" s="44"/>
      <c r="E487" s="44"/>
      <c r="F487" s="44"/>
      <c r="K487" s="44"/>
      <c r="L487" s="44"/>
      <c r="M487" s="44"/>
    </row>
    <row r="488" ht="15.75" customHeight="1">
      <c r="A488" s="44"/>
      <c r="B488" s="44"/>
      <c r="C488" s="44"/>
      <c r="D488" s="44"/>
      <c r="E488" s="44"/>
      <c r="F488" s="44"/>
      <c r="K488" s="44"/>
      <c r="L488" s="44"/>
      <c r="M488" s="44"/>
    </row>
    <row r="489" ht="15.75" customHeight="1">
      <c r="A489" s="44"/>
      <c r="B489" s="44"/>
      <c r="C489" s="44"/>
      <c r="D489" s="44"/>
      <c r="E489" s="44"/>
      <c r="F489" s="44"/>
      <c r="K489" s="44"/>
      <c r="L489" s="44"/>
      <c r="M489" s="44"/>
    </row>
    <row r="490" ht="15.75" customHeight="1">
      <c r="A490" s="44"/>
      <c r="B490" s="44"/>
      <c r="C490" s="44"/>
      <c r="D490" s="44"/>
      <c r="E490" s="44"/>
      <c r="F490" s="44"/>
      <c r="K490" s="44"/>
      <c r="L490" s="44"/>
      <c r="M490" s="44"/>
    </row>
    <row r="491" ht="15.75" customHeight="1">
      <c r="A491" s="44"/>
      <c r="B491" s="44"/>
      <c r="C491" s="44"/>
      <c r="D491" s="44"/>
      <c r="E491" s="44"/>
      <c r="F491" s="44"/>
      <c r="K491" s="44"/>
      <c r="L491" s="44"/>
      <c r="M491" s="44"/>
    </row>
    <row r="492" ht="15.75" customHeight="1">
      <c r="A492" s="44"/>
      <c r="B492" s="44"/>
      <c r="C492" s="44"/>
      <c r="D492" s="44"/>
      <c r="E492" s="44"/>
      <c r="F492" s="44"/>
      <c r="K492" s="44"/>
      <c r="L492" s="44"/>
      <c r="M492" s="44"/>
    </row>
    <row r="493" ht="15.75" customHeight="1">
      <c r="A493" s="44"/>
      <c r="B493" s="44"/>
      <c r="C493" s="44"/>
      <c r="D493" s="44"/>
      <c r="E493" s="44"/>
      <c r="F493" s="44"/>
      <c r="K493" s="44"/>
      <c r="L493" s="44"/>
      <c r="M493" s="44"/>
    </row>
    <row r="494" ht="15.75" customHeight="1">
      <c r="A494" s="44"/>
      <c r="B494" s="44"/>
      <c r="C494" s="44"/>
      <c r="D494" s="44"/>
      <c r="E494" s="44"/>
      <c r="F494" s="44"/>
      <c r="K494" s="44"/>
      <c r="L494" s="44"/>
      <c r="M494" s="44"/>
    </row>
    <row r="495" ht="15.75" customHeight="1">
      <c r="A495" s="44"/>
      <c r="B495" s="44"/>
      <c r="C495" s="44"/>
      <c r="D495" s="44"/>
      <c r="E495" s="44"/>
      <c r="F495" s="44"/>
      <c r="K495" s="44"/>
      <c r="L495" s="44"/>
      <c r="M495" s="44"/>
    </row>
    <row r="496" ht="15.75" customHeight="1">
      <c r="A496" s="44"/>
      <c r="B496" s="44"/>
      <c r="C496" s="44"/>
      <c r="D496" s="44"/>
      <c r="E496" s="44"/>
      <c r="F496" s="44"/>
      <c r="K496" s="44"/>
      <c r="L496" s="44"/>
      <c r="M496" s="44"/>
    </row>
    <row r="497" ht="15.75" customHeight="1">
      <c r="A497" s="44"/>
      <c r="B497" s="44"/>
      <c r="C497" s="44"/>
      <c r="D497" s="44"/>
      <c r="E497" s="44"/>
      <c r="F497" s="44"/>
      <c r="K497" s="44"/>
      <c r="L497" s="44"/>
      <c r="M497" s="44"/>
    </row>
    <row r="498" ht="15.75" customHeight="1">
      <c r="A498" s="44"/>
      <c r="B498" s="44"/>
      <c r="C498" s="44"/>
      <c r="D498" s="44"/>
      <c r="E498" s="44"/>
      <c r="F498" s="44"/>
      <c r="K498" s="44"/>
      <c r="L498" s="44"/>
      <c r="M498" s="44"/>
    </row>
    <row r="499" ht="15.75" customHeight="1">
      <c r="A499" s="44"/>
      <c r="B499" s="44"/>
      <c r="C499" s="44"/>
      <c r="D499" s="44"/>
      <c r="E499" s="44"/>
      <c r="F499" s="44"/>
      <c r="K499" s="44"/>
      <c r="L499" s="44"/>
      <c r="M499" s="44"/>
    </row>
    <row r="500" ht="15.75" customHeight="1">
      <c r="A500" s="44"/>
      <c r="B500" s="44"/>
      <c r="C500" s="44"/>
      <c r="D500" s="44"/>
      <c r="E500" s="44"/>
      <c r="F500" s="44"/>
      <c r="K500" s="44"/>
      <c r="L500" s="44"/>
      <c r="M500" s="44"/>
    </row>
    <row r="501" ht="15.75" customHeight="1">
      <c r="A501" s="44"/>
      <c r="B501" s="44"/>
      <c r="C501" s="44"/>
      <c r="D501" s="44"/>
      <c r="E501" s="44"/>
      <c r="F501" s="44"/>
      <c r="K501" s="44"/>
      <c r="L501" s="44"/>
      <c r="M501" s="44"/>
    </row>
    <row r="502" ht="15.75" customHeight="1">
      <c r="A502" s="44"/>
      <c r="B502" s="44"/>
      <c r="C502" s="44"/>
      <c r="D502" s="44"/>
      <c r="E502" s="44"/>
      <c r="F502" s="44"/>
      <c r="K502" s="44"/>
      <c r="L502" s="44"/>
      <c r="M502" s="44"/>
    </row>
    <row r="503" ht="15.75" customHeight="1">
      <c r="A503" s="44"/>
      <c r="B503" s="44"/>
      <c r="C503" s="44"/>
      <c r="D503" s="44"/>
      <c r="E503" s="44"/>
      <c r="F503" s="44"/>
      <c r="K503" s="44"/>
      <c r="L503" s="44"/>
      <c r="M503" s="44"/>
    </row>
    <row r="504" ht="15.75" customHeight="1">
      <c r="A504" s="44"/>
      <c r="B504" s="44"/>
      <c r="C504" s="44"/>
      <c r="D504" s="44"/>
      <c r="E504" s="44"/>
      <c r="F504" s="44"/>
      <c r="K504" s="44"/>
      <c r="L504" s="44"/>
      <c r="M504" s="44"/>
    </row>
    <row r="505" ht="15.75" customHeight="1">
      <c r="A505" s="44"/>
      <c r="B505" s="44"/>
      <c r="C505" s="44"/>
      <c r="D505" s="44"/>
      <c r="E505" s="44"/>
      <c r="F505" s="44"/>
      <c r="K505" s="44"/>
      <c r="L505" s="44"/>
      <c r="M505" s="44"/>
    </row>
    <row r="506" ht="15.75" customHeight="1">
      <c r="A506" s="44"/>
      <c r="B506" s="44"/>
      <c r="C506" s="44"/>
      <c r="D506" s="44"/>
      <c r="E506" s="44"/>
      <c r="F506" s="44"/>
      <c r="K506" s="44"/>
      <c r="L506" s="44"/>
      <c r="M506" s="44"/>
    </row>
    <row r="507" ht="15.75" customHeight="1">
      <c r="A507" s="44"/>
      <c r="B507" s="44"/>
      <c r="C507" s="44"/>
      <c r="D507" s="44"/>
      <c r="E507" s="44"/>
      <c r="F507" s="44"/>
      <c r="K507" s="44"/>
      <c r="L507" s="44"/>
      <c r="M507" s="44"/>
    </row>
    <row r="508" ht="15.75" customHeight="1">
      <c r="A508" s="44"/>
      <c r="B508" s="44"/>
      <c r="C508" s="44"/>
      <c r="D508" s="44"/>
      <c r="E508" s="44"/>
      <c r="F508" s="44"/>
      <c r="K508" s="44"/>
      <c r="L508" s="44"/>
      <c r="M508" s="44"/>
    </row>
    <row r="509" ht="15.75" customHeight="1">
      <c r="A509" s="44"/>
      <c r="B509" s="44"/>
      <c r="C509" s="44"/>
      <c r="D509" s="44"/>
      <c r="E509" s="44"/>
      <c r="F509" s="44"/>
      <c r="K509" s="44"/>
      <c r="L509" s="44"/>
      <c r="M509" s="44"/>
    </row>
    <row r="510" ht="15.75" customHeight="1">
      <c r="A510" s="44"/>
      <c r="B510" s="44"/>
      <c r="C510" s="44"/>
      <c r="D510" s="44"/>
      <c r="E510" s="44"/>
      <c r="F510" s="44"/>
      <c r="K510" s="44"/>
      <c r="L510" s="44"/>
      <c r="M510" s="44"/>
    </row>
    <row r="511" ht="15.75" customHeight="1">
      <c r="A511" s="44"/>
      <c r="B511" s="44"/>
      <c r="C511" s="44"/>
      <c r="D511" s="44"/>
      <c r="E511" s="44"/>
      <c r="F511" s="44"/>
      <c r="K511" s="44"/>
      <c r="L511" s="44"/>
      <c r="M511" s="44"/>
    </row>
    <row r="512" ht="15.75" customHeight="1">
      <c r="A512" s="44"/>
      <c r="B512" s="44"/>
      <c r="C512" s="44"/>
      <c r="D512" s="44"/>
      <c r="E512" s="44"/>
      <c r="F512" s="44"/>
      <c r="K512" s="44"/>
      <c r="L512" s="44"/>
      <c r="M512" s="44"/>
    </row>
    <row r="513" ht="15.75" customHeight="1">
      <c r="A513" s="44"/>
      <c r="B513" s="44"/>
      <c r="C513" s="44"/>
      <c r="D513" s="44"/>
      <c r="E513" s="44"/>
      <c r="F513" s="44"/>
      <c r="K513" s="44"/>
      <c r="L513" s="44"/>
      <c r="M513" s="44"/>
    </row>
    <row r="514" ht="15.75" customHeight="1">
      <c r="A514" s="44"/>
      <c r="B514" s="44"/>
      <c r="C514" s="44"/>
      <c r="D514" s="44"/>
      <c r="E514" s="44"/>
      <c r="F514" s="44"/>
      <c r="K514" s="44"/>
      <c r="L514" s="44"/>
      <c r="M514" s="44"/>
    </row>
    <row r="515" ht="15.75" customHeight="1">
      <c r="A515" s="44"/>
      <c r="B515" s="44"/>
      <c r="C515" s="44"/>
      <c r="D515" s="44"/>
      <c r="E515" s="44"/>
      <c r="F515" s="44"/>
      <c r="K515" s="44"/>
      <c r="L515" s="44"/>
      <c r="M515" s="44"/>
    </row>
    <row r="516" ht="15.75" customHeight="1">
      <c r="A516" s="44"/>
      <c r="B516" s="44"/>
      <c r="C516" s="44"/>
      <c r="D516" s="44"/>
      <c r="E516" s="44"/>
      <c r="F516" s="44"/>
      <c r="K516" s="44"/>
      <c r="L516" s="44"/>
      <c r="M516" s="44"/>
    </row>
    <row r="517" ht="15.75" customHeight="1">
      <c r="A517" s="44"/>
      <c r="B517" s="44"/>
      <c r="C517" s="44"/>
      <c r="D517" s="44"/>
      <c r="E517" s="44"/>
      <c r="F517" s="44"/>
      <c r="K517" s="44"/>
      <c r="L517" s="44"/>
      <c r="M517" s="44"/>
    </row>
    <row r="518" ht="15.75" customHeight="1">
      <c r="A518" s="44"/>
      <c r="B518" s="44"/>
      <c r="C518" s="44"/>
      <c r="D518" s="44"/>
      <c r="E518" s="44"/>
      <c r="F518" s="44"/>
      <c r="K518" s="44"/>
      <c r="L518" s="44"/>
      <c r="M518" s="44"/>
    </row>
    <row r="519" ht="15.75" customHeight="1">
      <c r="A519" s="44"/>
      <c r="B519" s="44"/>
      <c r="C519" s="44"/>
      <c r="D519" s="44"/>
      <c r="E519" s="44"/>
      <c r="F519" s="44"/>
      <c r="K519" s="44"/>
      <c r="L519" s="44"/>
      <c r="M519" s="44"/>
    </row>
    <row r="520" ht="15.75" customHeight="1">
      <c r="A520" s="44"/>
      <c r="B520" s="44"/>
      <c r="C520" s="44"/>
      <c r="D520" s="44"/>
      <c r="E520" s="44"/>
      <c r="F520" s="44"/>
      <c r="K520" s="44"/>
      <c r="L520" s="44"/>
      <c r="M520" s="44"/>
    </row>
    <row r="521" ht="15.75" customHeight="1">
      <c r="A521" s="44"/>
      <c r="B521" s="44"/>
      <c r="C521" s="44"/>
      <c r="D521" s="44"/>
      <c r="E521" s="44"/>
      <c r="F521" s="44"/>
      <c r="K521" s="44"/>
      <c r="L521" s="44"/>
      <c r="M521" s="44"/>
    </row>
    <row r="522" ht="15.75" customHeight="1">
      <c r="A522" s="44"/>
      <c r="B522" s="44"/>
      <c r="C522" s="44"/>
      <c r="D522" s="44"/>
      <c r="E522" s="44"/>
      <c r="F522" s="44"/>
      <c r="K522" s="44"/>
      <c r="L522" s="44"/>
      <c r="M522" s="44"/>
    </row>
    <row r="523" ht="15.75" customHeight="1">
      <c r="A523" s="44"/>
      <c r="B523" s="44"/>
      <c r="C523" s="44"/>
      <c r="D523" s="44"/>
      <c r="E523" s="44"/>
      <c r="F523" s="44"/>
      <c r="K523" s="44"/>
      <c r="L523" s="44"/>
      <c r="M523" s="44"/>
    </row>
    <row r="524" ht="15.75" customHeight="1">
      <c r="A524" s="44"/>
      <c r="B524" s="44"/>
      <c r="C524" s="44"/>
      <c r="D524" s="44"/>
      <c r="E524" s="44"/>
      <c r="F524" s="44"/>
      <c r="K524" s="44"/>
      <c r="L524" s="44"/>
      <c r="M524" s="44"/>
    </row>
    <row r="525" ht="15.75" customHeight="1">
      <c r="A525" s="44"/>
      <c r="B525" s="44"/>
      <c r="C525" s="44"/>
      <c r="D525" s="44"/>
      <c r="E525" s="44"/>
      <c r="F525" s="44"/>
      <c r="K525" s="44"/>
      <c r="L525" s="44"/>
      <c r="M525" s="44"/>
    </row>
    <row r="526" ht="15.75" customHeight="1">
      <c r="A526" s="44"/>
      <c r="B526" s="44"/>
      <c r="C526" s="44"/>
      <c r="D526" s="44"/>
      <c r="E526" s="44"/>
      <c r="F526" s="44"/>
      <c r="K526" s="44"/>
      <c r="L526" s="44"/>
      <c r="M526" s="44"/>
    </row>
    <row r="527" ht="15.75" customHeight="1">
      <c r="A527" s="44"/>
      <c r="B527" s="44"/>
      <c r="C527" s="44"/>
      <c r="D527" s="44"/>
      <c r="E527" s="44"/>
      <c r="F527" s="44"/>
      <c r="K527" s="44"/>
      <c r="L527" s="44"/>
      <c r="M527" s="44"/>
    </row>
    <row r="528" ht="15.75" customHeight="1">
      <c r="A528" s="44"/>
      <c r="B528" s="44"/>
      <c r="C528" s="44"/>
      <c r="D528" s="44"/>
      <c r="E528" s="44"/>
      <c r="F528" s="44"/>
      <c r="K528" s="44"/>
      <c r="L528" s="44"/>
      <c r="M528" s="44"/>
    </row>
    <row r="529" ht="15.75" customHeight="1">
      <c r="A529" s="44"/>
      <c r="B529" s="44"/>
      <c r="C529" s="44"/>
      <c r="D529" s="44"/>
      <c r="E529" s="44"/>
      <c r="F529" s="44"/>
      <c r="K529" s="44"/>
      <c r="L529" s="44"/>
      <c r="M529" s="44"/>
    </row>
    <row r="530" ht="15.75" customHeight="1">
      <c r="A530" s="44"/>
      <c r="B530" s="44"/>
      <c r="C530" s="44"/>
      <c r="D530" s="44"/>
      <c r="E530" s="44"/>
      <c r="F530" s="44"/>
      <c r="K530" s="44"/>
      <c r="L530" s="44"/>
      <c r="M530" s="44"/>
    </row>
    <row r="531" ht="15.75" customHeight="1">
      <c r="A531" s="44"/>
      <c r="B531" s="44"/>
      <c r="C531" s="44"/>
      <c r="D531" s="44"/>
      <c r="E531" s="44"/>
      <c r="F531" s="44"/>
      <c r="K531" s="44"/>
      <c r="L531" s="44"/>
      <c r="M531" s="44"/>
    </row>
    <row r="532" ht="15.75" customHeight="1">
      <c r="A532" s="44"/>
      <c r="B532" s="44"/>
      <c r="C532" s="44"/>
      <c r="D532" s="44"/>
      <c r="E532" s="44"/>
      <c r="F532" s="44"/>
      <c r="K532" s="44"/>
      <c r="L532" s="44"/>
      <c r="M532" s="44"/>
    </row>
    <row r="533" ht="15.75" customHeight="1">
      <c r="A533" s="44"/>
      <c r="B533" s="44"/>
      <c r="C533" s="44"/>
      <c r="D533" s="44"/>
      <c r="E533" s="44"/>
      <c r="F533" s="44"/>
      <c r="K533" s="44"/>
      <c r="L533" s="44"/>
      <c r="M533" s="44"/>
    </row>
    <row r="534" ht="15.75" customHeight="1">
      <c r="A534" s="44"/>
      <c r="B534" s="44"/>
      <c r="C534" s="44"/>
      <c r="D534" s="44"/>
      <c r="E534" s="44"/>
      <c r="F534" s="44"/>
      <c r="K534" s="44"/>
      <c r="L534" s="44"/>
      <c r="M534" s="44"/>
    </row>
    <row r="535" ht="15.75" customHeight="1">
      <c r="A535" s="44"/>
      <c r="B535" s="44"/>
      <c r="C535" s="44"/>
      <c r="D535" s="44"/>
      <c r="E535" s="44"/>
      <c r="F535" s="44"/>
      <c r="K535" s="44"/>
      <c r="L535" s="44"/>
      <c r="M535" s="44"/>
    </row>
    <row r="536" ht="15.75" customHeight="1">
      <c r="A536" s="44"/>
      <c r="B536" s="44"/>
      <c r="C536" s="44"/>
      <c r="D536" s="44"/>
      <c r="E536" s="44"/>
      <c r="F536" s="44"/>
      <c r="K536" s="44"/>
      <c r="L536" s="44"/>
      <c r="M536" s="44"/>
    </row>
    <row r="537" ht="15.75" customHeight="1">
      <c r="A537" s="44"/>
      <c r="B537" s="44"/>
      <c r="C537" s="44"/>
      <c r="D537" s="44"/>
      <c r="E537" s="44"/>
      <c r="F537" s="44"/>
      <c r="K537" s="44"/>
      <c r="L537" s="44"/>
      <c r="M537" s="44"/>
    </row>
    <row r="538" ht="15.75" customHeight="1">
      <c r="A538" s="44"/>
      <c r="B538" s="44"/>
      <c r="C538" s="44"/>
      <c r="D538" s="44"/>
      <c r="E538" s="44"/>
      <c r="F538" s="44"/>
      <c r="K538" s="44"/>
      <c r="L538" s="44"/>
      <c r="M538" s="44"/>
    </row>
    <row r="539" ht="15.75" customHeight="1">
      <c r="A539" s="44"/>
      <c r="B539" s="44"/>
      <c r="C539" s="44"/>
      <c r="D539" s="44"/>
      <c r="E539" s="44"/>
      <c r="F539" s="44"/>
      <c r="K539" s="44"/>
      <c r="L539" s="44"/>
      <c r="M539" s="44"/>
    </row>
    <row r="540" ht="15.75" customHeight="1">
      <c r="A540" s="44"/>
      <c r="B540" s="44"/>
      <c r="C540" s="44"/>
      <c r="D540" s="44"/>
      <c r="E540" s="44"/>
      <c r="F540" s="44"/>
      <c r="K540" s="44"/>
      <c r="L540" s="44"/>
      <c r="M540" s="44"/>
    </row>
    <row r="541" ht="15.75" customHeight="1">
      <c r="A541" s="44"/>
      <c r="B541" s="44"/>
      <c r="C541" s="44"/>
      <c r="D541" s="44"/>
      <c r="E541" s="44"/>
      <c r="F541" s="44"/>
      <c r="K541" s="44"/>
      <c r="L541" s="44"/>
      <c r="M541" s="44"/>
    </row>
    <row r="542" ht="15.75" customHeight="1">
      <c r="A542" s="44"/>
      <c r="B542" s="44"/>
      <c r="C542" s="44"/>
      <c r="D542" s="44"/>
      <c r="E542" s="44"/>
      <c r="F542" s="44"/>
      <c r="K542" s="44"/>
      <c r="L542" s="44"/>
      <c r="M542" s="44"/>
    </row>
    <row r="543" ht="15.75" customHeight="1">
      <c r="A543" s="44"/>
      <c r="B543" s="44"/>
      <c r="C543" s="44"/>
      <c r="D543" s="44"/>
      <c r="E543" s="44"/>
      <c r="F543" s="44"/>
      <c r="K543" s="44"/>
      <c r="L543" s="44"/>
      <c r="M543" s="44"/>
    </row>
    <row r="544" ht="15.75" customHeight="1">
      <c r="A544" s="44"/>
      <c r="B544" s="44"/>
      <c r="C544" s="44"/>
      <c r="D544" s="44"/>
      <c r="E544" s="44"/>
      <c r="F544" s="44"/>
      <c r="K544" s="44"/>
      <c r="L544" s="44"/>
      <c r="M544" s="44"/>
    </row>
    <row r="545" ht="15.75" customHeight="1">
      <c r="A545" s="44"/>
      <c r="B545" s="44"/>
      <c r="C545" s="44"/>
      <c r="D545" s="44"/>
      <c r="E545" s="44"/>
      <c r="F545" s="44"/>
      <c r="K545" s="44"/>
      <c r="L545" s="44"/>
      <c r="M545" s="44"/>
    </row>
    <row r="546" ht="15.75" customHeight="1">
      <c r="A546" s="44"/>
      <c r="B546" s="44"/>
      <c r="C546" s="44"/>
      <c r="D546" s="44"/>
      <c r="E546" s="44"/>
      <c r="F546" s="44"/>
      <c r="K546" s="44"/>
      <c r="L546" s="44"/>
      <c r="M546" s="44"/>
    </row>
    <row r="547" ht="15.75" customHeight="1">
      <c r="A547" s="44"/>
      <c r="B547" s="44"/>
      <c r="C547" s="44"/>
      <c r="D547" s="44"/>
      <c r="E547" s="44"/>
      <c r="F547" s="44"/>
      <c r="K547" s="44"/>
      <c r="L547" s="44"/>
      <c r="M547" s="44"/>
    </row>
    <row r="548" ht="15.75" customHeight="1">
      <c r="A548" s="44"/>
      <c r="B548" s="44"/>
      <c r="C548" s="44"/>
      <c r="D548" s="44"/>
      <c r="E548" s="44"/>
      <c r="F548" s="44"/>
      <c r="K548" s="44"/>
      <c r="L548" s="44"/>
      <c r="M548" s="44"/>
    </row>
    <row r="549" ht="15.75" customHeight="1">
      <c r="A549" s="44"/>
      <c r="B549" s="44"/>
      <c r="C549" s="44"/>
      <c r="D549" s="44"/>
      <c r="E549" s="44"/>
      <c r="F549" s="44"/>
      <c r="K549" s="44"/>
      <c r="L549" s="44"/>
      <c r="M549" s="44"/>
    </row>
    <row r="550" ht="15.75" customHeight="1">
      <c r="A550" s="44"/>
      <c r="B550" s="44"/>
      <c r="C550" s="44"/>
      <c r="D550" s="44"/>
      <c r="E550" s="44"/>
      <c r="F550" s="44"/>
      <c r="K550" s="44"/>
      <c r="L550" s="44"/>
      <c r="M550" s="44"/>
    </row>
    <row r="551" ht="15.75" customHeight="1">
      <c r="A551" s="44"/>
      <c r="B551" s="44"/>
      <c r="C551" s="44"/>
      <c r="D551" s="44"/>
      <c r="E551" s="44"/>
      <c r="F551" s="44"/>
      <c r="K551" s="44"/>
      <c r="L551" s="44"/>
      <c r="M551" s="44"/>
    </row>
    <row r="552" ht="15.75" customHeight="1">
      <c r="A552" s="44"/>
      <c r="B552" s="44"/>
      <c r="C552" s="44"/>
      <c r="D552" s="44"/>
      <c r="E552" s="44"/>
      <c r="F552" s="44"/>
      <c r="K552" s="44"/>
      <c r="L552" s="44"/>
      <c r="M552" s="44"/>
    </row>
    <row r="553" ht="15.75" customHeight="1">
      <c r="A553" s="44"/>
      <c r="B553" s="44"/>
      <c r="C553" s="44"/>
      <c r="D553" s="44"/>
      <c r="E553" s="44"/>
      <c r="F553" s="44"/>
      <c r="K553" s="44"/>
      <c r="L553" s="44"/>
      <c r="M553" s="44"/>
    </row>
    <row r="554" ht="15.75" customHeight="1">
      <c r="A554" s="44"/>
      <c r="B554" s="44"/>
      <c r="C554" s="44"/>
      <c r="D554" s="44"/>
      <c r="E554" s="44"/>
      <c r="F554" s="44"/>
      <c r="K554" s="44"/>
      <c r="L554" s="44"/>
      <c r="M554" s="44"/>
    </row>
    <row r="555" ht="15.75" customHeight="1">
      <c r="A555" s="44"/>
      <c r="B555" s="44"/>
      <c r="C555" s="44"/>
      <c r="D555" s="44"/>
      <c r="E555" s="44"/>
      <c r="F555" s="44"/>
      <c r="K555" s="44"/>
      <c r="L555" s="44"/>
      <c r="M555" s="44"/>
    </row>
    <row r="556" ht="15.75" customHeight="1">
      <c r="A556" s="44"/>
      <c r="B556" s="44"/>
      <c r="C556" s="44"/>
      <c r="D556" s="44"/>
      <c r="E556" s="44"/>
      <c r="F556" s="44"/>
      <c r="K556" s="44"/>
      <c r="L556" s="44"/>
      <c r="M556" s="44"/>
    </row>
    <row r="557" ht="15.75" customHeight="1">
      <c r="A557" s="44"/>
      <c r="B557" s="44"/>
      <c r="C557" s="44"/>
      <c r="D557" s="44"/>
      <c r="E557" s="44"/>
      <c r="F557" s="44"/>
      <c r="K557" s="44"/>
      <c r="L557" s="44"/>
      <c r="M557" s="44"/>
    </row>
    <row r="558" ht="15.75" customHeight="1">
      <c r="A558" s="44"/>
      <c r="B558" s="44"/>
      <c r="C558" s="44"/>
      <c r="D558" s="44"/>
      <c r="E558" s="44"/>
      <c r="F558" s="44"/>
      <c r="K558" s="44"/>
      <c r="L558" s="44"/>
      <c r="M558" s="44"/>
    </row>
    <row r="559" ht="15.75" customHeight="1">
      <c r="A559" s="44"/>
      <c r="B559" s="44"/>
      <c r="C559" s="44"/>
      <c r="D559" s="44"/>
      <c r="E559" s="44"/>
      <c r="F559" s="44"/>
      <c r="K559" s="44"/>
      <c r="L559" s="44"/>
      <c r="M559" s="44"/>
    </row>
    <row r="560" ht="15.75" customHeight="1">
      <c r="A560" s="44"/>
      <c r="B560" s="44"/>
      <c r="C560" s="44"/>
      <c r="D560" s="44"/>
      <c r="E560" s="44"/>
      <c r="F560" s="44"/>
      <c r="K560" s="44"/>
      <c r="L560" s="44"/>
      <c r="M560" s="44"/>
    </row>
    <row r="561" ht="15.75" customHeight="1">
      <c r="A561" s="44"/>
      <c r="B561" s="44"/>
      <c r="C561" s="44"/>
      <c r="D561" s="44"/>
      <c r="E561" s="44"/>
      <c r="F561" s="44"/>
      <c r="K561" s="44"/>
      <c r="L561" s="44"/>
      <c r="M561" s="44"/>
    </row>
    <row r="562" ht="15.75" customHeight="1">
      <c r="A562" s="44"/>
      <c r="B562" s="44"/>
      <c r="C562" s="44"/>
      <c r="D562" s="44"/>
      <c r="E562" s="44"/>
      <c r="F562" s="44"/>
      <c r="K562" s="44"/>
      <c r="L562" s="44"/>
      <c r="M562" s="44"/>
    </row>
    <row r="563" ht="15.75" customHeight="1">
      <c r="A563" s="44"/>
      <c r="B563" s="44"/>
      <c r="C563" s="44"/>
      <c r="D563" s="44"/>
      <c r="E563" s="44"/>
      <c r="F563" s="44"/>
      <c r="K563" s="44"/>
      <c r="L563" s="44"/>
      <c r="M563" s="44"/>
    </row>
    <row r="564" ht="15.75" customHeight="1">
      <c r="A564" s="44"/>
      <c r="B564" s="44"/>
      <c r="C564" s="44"/>
      <c r="D564" s="44"/>
      <c r="E564" s="44"/>
      <c r="F564" s="44"/>
      <c r="K564" s="44"/>
      <c r="L564" s="44"/>
      <c r="M564" s="44"/>
    </row>
    <row r="565" ht="15.75" customHeight="1">
      <c r="A565" s="44"/>
      <c r="B565" s="44"/>
      <c r="C565" s="44"/>
      <c r="D565" s="44"/>
      <c r="E565" s="44"/>
      <c r="F565" s="44"/>
      <c r="K565" s="44"/>
      <c r="L565" s="44"/>
      <c r="M565" s="44"/>
    </row>
    <row r="566" ht="15.75" customHeight="1">
      <c r="A566" s="44"/>
      <c r="B566" s="44"/>
      <c r="C566" s="44"/>
      <c r="D566" s="44"/>
      <c r="E566" s="44"/>
      <c r="F566" s="44"/>
      <c r="K566" s="44"/>
      <c r="L566" s="44"/>
      <c r="M566" s="44"/>
    </row>
    <row r="567" ht="15.75" customHeight="1">
      <c r="A567" s="44"/>
      <c r="B567" s="44"/>
      <c r="C567" s="44"/>
      <c r="D567" s="44"/>
      <c r="E567" s="44"/>
      <c r="F567" s="44"/>
      <c r="K567" s="44"/>
      <c r="L567" s="44"/>
      <c r="M567" s="44"/>
    </row>
    <row r="568" ht="15.75" customHeight="1">
      <c r="A568" s="44"/>
      <c r="B568" s="44"/>
      <c r="C568" s="44"/>
      <c r="D568" s="44"/>
      <c r="E568" s="44"/>
      <c r="F568" s="44"/>
      <c r="K568" s="44"/>
      <c r="L568" s="44"/>
      <c r="M568" s="44"/>
    </row>
    <row r="569" ht="15.75" customHeight="1">
      <c r="A569" s="44"/>
      <c r="B569" s="44"/>
      <c r="C569" s="44"/>
      <c r="D569" s="44"/>
      <c r="E569" s="44"/>
      <c r="F569" s="44"/>
      <c r="K569" s="44"/>
      <c r="L569" s="44"/>
      <c r="M569" s="44"/>
    </row>
    <row r="570" ht="15.75" customHeight="1">
      <c r="A570" s="44"/>
      <c r="B570" s="44"/>
      <c r="C570" s="44"/>
      <c r="D570" s="44"/>
      <c r="E570" s="44"/>
      <c r="F570" s="44"/>
      <c r="K570" s="44"/>
      <c r="L570" s="44"/>
      <c r="M570" s="44"/>
    </row>
    <row r="571" ht="15.75" customHeight="1">
      <c r="A571" s="44"/>
      <c r="B571" s="44"/>
      <c r="C571" s="44"/>
      <c r="D571" s="44"/>
      <c r="E571" s="44"/>
      <c r="F571" s="44"/>
      <c r="K571" s="44"/>
      <c r="L571" s="44"/>
      <c r="M571" s="44"/>
    </row>
    <row r="572" ht="15.75" customHeight="1">
      <c r="A572" s="44"/>
      <c r="B572" s="44"/>
      <c r="C572" s="44"/>
      <c r="D572" s="44"/>
      <c r="E572" s="44"/>
      <c r="F572" s="44"/>
      <c r="K572" s="44"/>
      <c r="L572" s="44"/>
      <c r="M572" s="44"/>
    </row>
    <row r="573" ht="15.75" customHeight="1">
      <c r="A573" s="44"/>
      <c r="B573" s="44"/>
      <c r="C573" s="44"/>
      <c r="D573" s="44"/>
      <c r="E573" s="44"/>
      <c r="F573" s="44"/>
      <c r="K573" s="44"/>
      <c r="L573" s="44"/>
      <c r="M573" s="44"/>
    </row>
    <row r="574" ht="15.75" customHeight="1">
      <c r="A574" s="44"/>
      <c r="B574" s="44"/>
      <c r="C574" s="44"/>
      <c r="D574" s="44"/>
      <c r="E574" s="44"/>
      <c r="F574" s="44"/>
      <c r="K574" s="44"/>
      <c r="L574" s="44"/>
      <c r="M574" s="44"/>
    </row>
    <row r="575" ht="15.75" customHeight="1">
      <c r="A575" s="44"/>
      <c r="B575" s="44"/>
      <c r="C575" s="44"/>
      <c r="D575" s="44"/>
      <c r="E575" s="44"/>
      <c r="F575" s="44"/>
      <c r="K575" s="44"/>
      <c r="L575" s="44"/>
      <c r="M575" s="44"/>
    </row>
    <row r="576" ht="15.75" customHeight="1">
      <c r="A576" s="44"/>
      <c r="B576" s="44"/>
      <c r="C576" s="44"/>
      <c r="D576" s="44"/>
      <c r="E576" s="44"/>
      <c r="F576" s="44"/>
      <c r="K576" s="44"/>
      <c r="L576" s="44"/>
      <c r="M576" s="44"/>
    </row>
    <row r="577" ht="15.75" customHeight="1">
      <c r="A577" s="44"/>
      <c r="B577" s="44"/>
      <c r="C577" s="44"/>
      <c r="D577" s="44"/>
      <c r="E577" s="44"/>
      <c r="F577" s="44"/>
      <c r="K577" s="44"/>
      <c r="L577" s="44"/>
      <c r="M577" s="44"/>
    </row>
    <row r="578" ht="15.75" customHeight="1">
      <c r="A578" s="44"/>
      <c r="B578" s="44"/>
      <c r="C578" s="44"/>
      <c r="D578" s="44"/>
      <c r="E578" s="44"/>
      <c r="F578" s="44"/>
      <c r="K578" s="44"/>
      <c r="L578" s="44"/>
      <c r="M578" s="44"/>
    </row>
    <row r="579" ht="15.75" customHeight="1">
      <c r="A579" s="44"/>
      <c r="B579" s="44"/>
      <c r="C579" s="44"/>
      <c r="D579" s="44"/>
      <c r="E579" s="44"/>
      <c r="F579" s="44"/>
      <c r="K579" s="44"/>
      <c r="L579" s="44"/>
      <c r="M579" s="44"/>
    </row>
    <row r="580" ht="15.75" customHeight="1">
      <c r="A580" s="44"/>
      <c r="B580" s="44"/>
      <c r="C580" s="44"/>
      <c r="D580" s="44"/>
      <c r="E580" s="44"/>
      <c r="F580" s="44"/>
      <c r="K580" s="44"/>
      <c r="L580" s="44"/>
      <c r="M580" s="44"/>
    </row>
    <row r="581" ht="15.75" customHeight="1">
      <c r="A581" s="44"/>
      <c r="B581" s="44"/>
      <c r="C581" s="44"/>
      <c r="D581" s="44"/>
      <c r="E581" s="44"/>
      <c r="F581" s="44"/>
      <c r="K581" s="44"/>
      <c r="L581" s="44"/>
      <c r="M581" s="44"/>
    </row>
    <row r="582" ht="15.75" customHeight="1">
      <c r="A582" s="44"/>
      <c r="B582" s="44"/>
      <c r="C582" s="44"/>
      <c r="D582" s="44"/>
      <c r="E582" s="44"/>
      <c r="F582" s="44"/>
      <c r="K582" s="44"/>
      <c r="L582" s="44"/>
      <c r="M582" s="44"/>
    </row>
    <row r="583" ht="15.75" customHeight="1">
      <c r="A583" s="44"/>
      <c r="B583" s="44"/>
      <c r="C583" s="44"/>
      <c r="D583" s="44"/>
      <c r="E583" s="44"/>
      <c r="F583" s="44"/>
      <c r="K583" s="44"/>
      <c r="L583" s="44"/>
      <c r="M583" s="44"/>
    </row>
    <row r="584" ht="15.75" customHeight="1">
      <c r="A584" s="44"/>
      <c r="B584" s="44"/>
      <c r="C584" s="44"/>
      <c r="D584" s="44"/>
      <c r="E584" s="44"/>
      <c r="F584" s="44"/>
      <c r="K584" s="44"/>
      <c r="L584" s="44"/>
      <c r="M584" s="44"/>
    </row>
    <row r="585" ht="15.75" customHeight="1">
      <c r="A585" s="44"/>
      <c r="B585" s="44"/>
      <c r="C585" s="44"/>
      <c r="D585" s="44"/>
      <c r="E585" s="44"/>
      <c r="F585" s="44"/>
      <c r="K585" s="44"/>
      <c r="L585" s="44"/>
      <c r="M585" s="44"/>
    </row>
    <row r="586" ht="15.75" customHeight="1">
      <c r="A586" s="44"/>
      <c r="B586" s="44"/>
      <c r="C586" s="44"/>
      <c r="D586" s="44"/>
      <c r="E586" s="44"/>
      <c r="F586" s="44"/>
      <c r="K586" s="44"/>
      <c r="L586" s="44"/>
      <c r="M586" s="44"/>
    </row>
    <row r="587" ht="15.75" customHeight="1">
      <c r="A587" s="44"/>
      <c r="B587" s="44"/>
      <c r="C587" s="44"/>
      <c r="D587" s="44"/>
      <c r="E587" s="44"/>
      <c r="F587" s="44"/>
      <c r="K587" s="44"/>
      <c r="L587" s="44"/>
      <c r="M587" s="44"/>
    </row>
    <row r="588" ht="15.75" customHeight="1">
      <c r="A588" s="44"/>
      <c r="B588" s="44"/>
      <c r="C588" s="44"/>
      <c r="D588" s="44"/>
      <c r="E588" s="44"/>
      <c r="F588" s="44"/>
      <c r="K588" s="44"/>
      <c r="L588" s="44"/>
      <c r="M588" s="44"/>
    </row>
    <row r="589" ht="15.75" customHeight="1">
      <c r="A589" s="44"/>
      <c r="B589" s="44"/>
      <c r="C589" s="44"/>
      <c r="D589" s="44"/>
      <c r="E589" s="44"/>
      <c r="F589" s="44"/>
      <c r="K589" s="44"/>
      <c r="L589" s="44"/>
      <c r="M589" s="44"/>
    </row>
    <row r="590" ht="15.75" customHeight="1">
      <c r="A590" s="44"/>
      <c r="B590" s="44"/>
      <c r="C590" s="44"/>
      <c r="D590" s="44"/>
      <c r="E590" s="44"/>
      <c r="F590" s="44"/>
      <c r="K590" s="44"/>
      <c r="L590" s="44"/>
      <c r="M590" s="44"/>
    </row>
    <row r="591" ht="15.75" customHeight="1">
      <c r="A591" s="44"/>
      <c r="B591" s="44"/>
      <c r="C591" s="44"/>
      <c r="D591" s="44"/>
      <c r="E591" s="44"/>
      <c r="F591" s="44"/>
      <c r="K591" s="44"/>
      <c r="L591" s="44"/>
      <c r="M591" s="44"/>
    </row>
    <row r="592" ht="15.75" customHeight="1">
      <c r="A592" s="44"/>
      <c r="B592" s="44"/>
      <c r="C592" s="44"/>
      <c r="D592" s="44"/>
      <c r="E592" s="44"/>
      <c r="F592" s="44"/>
      <c r="K592" s="44"/>
      <c r="L592" s="44"/>
      <c r="M592" s="44"/>
    </row>
    <row r="593" ht="15.75" customHeight="1">
      <c r="A593" s="44"/>
      <c r="B593" s="44"/>
      <c r="C593" s="44"/>
      <c r="D593" s="44"/>
      <c r="E593" s="44"/>
      <c r="F593" s="44"/>
      <c r="K593" s="44"/>
      <c r="L593" s="44"/>
      <c r="M593" s="44"/>
    </row>
    <row r="594" ht="15.75" customHeight="1">
      <c r="A594" s="44"/>
      <c r="B594" s="44"/>
      <c r="C594" s="44"/>
      <c r="D594" s="44"/>
      <c r="E594" s="44"/>
      <c r="F594" s="44"/>
      <c r="K594" s="44"/>
      <c r="L594" s="44"/>
      <c r="M594" s="44"/>
    </row>
    <row r="595" ht="15.75" customHeight="1">
      <c r="A595" s="44"/>
      <c r="B595" s="44"/>
      <c r="C595" s="44"/>
      <c r="D595" s="44"/>
      <c r="E595" s="44"/>
      <c r="F595" s="44"/>
      <c r="K595" s="44"/>
      <c r="L595" s="44"/>
      <c r="M595" s="44"/>
    </row>
    <row r="596" ht="15.75" customHeight="1">
      <c r="A596" s="44"/>
      <c r="B596" s="44"/>
      <c r="C596" s="44"/>
      <c r="D596" s="44"/>
      <c r="E596" s="44"/>
      <c r="F596" s="44"/>
      <c r="K596" s="44"/>
      <c r="L596" s="44"/>
      <c r="M596" s="44"/>
    </row>
    <row r="597" ht="15.75" customHeight="1">
      <c r="A597" s="44"/>
      <c r="B597" s="44"/>
      <c r="C597" s="44"/>
      <c r="D597" s="44"/>
      <c r="E597" s="44"/>
      <c r="F597" s="44"/>
      <c r="K597" s="44"/>
      <c r="L597" s="44"/>
      <c r="M597" s="44"/>
    </row>
    <row r="598" ht="15.75" customHeight="1">
      <c r="A598" s="44"/>
      <c r="B598" s="44"/>
      <c r="C598" s="44"/>
      <c r="D598" s="44"/>
      <c r="E598" s="44"/>
      <c r="F598" s="44"/>
      <c r="K598" s="44"/>
      <c r="L598" s="44"/>
      <c r="M598" s="44"/>
    </row>
    <row r="599" ht="15.75" customHeight="1">
      <c r="A599" s="44"/>
      <c r="B599" s="44"/>
      <c r="C599" s="44"/>
      <c r="D599" s="44"/>
      <c r="E599" s="44"/>
      <c r="F599" s="44"/>
      <c r="K599" s="44"/>
      <c r="L599" s="44"/>
      <c r="M599" s="44"/>
    </row>
    <row r="600" ht="15.75" customHeight="1">
      <c r="A600" s="44"/>
      <c r="B600" s="44"/>
      <c r="C600" s="44"/>
      <c r="D600" s="44"/>
      <c r="E600" s="44"/>
      <c r="F600" s="44"/>
      <c r="K600" s="44"/>
      <c r="L600" s="44"/>
      <c r="M600" s="44"/>
    </row>
    <row r="601" ht="15.75" customHeight="1">
      <c r="A601" s="44"/>
      <c r="B601" s="44"/>
      <c r="C601" s="44"/>
      <c r="D601" s="44"/>
      <c r="E601" s="44"/>
      <c r="F601" s="44"/>
      <c r="K601" s="44"/>
      <c r="L601" s="44"/>
      <c r="M601" s="44"/>
    </row>
    <row r="602" ht="15.75" customHeight="1">
      <c r="A602" s="44"/>
      <c r="B602" s="44"/>
      <c r="C602" s="44"/>
      <c r="D602" s="44"/>
      <c r="E602" s="44"/>
      <c r="F602" s="44"/>
      <c r="K602" s="44"/>
      <c r="L602" s="44"/>
      <c r="M602" s="44"/>
    </row>
    <row r="603" ht="15.75" customHeight="1">
      <c r="A603" s="44"/>
      <c r="B603" s="44"/>
      <c r="C603" s="44"/>
      <c r="D603" s="44"/>
      <c r="E603" s="44"/>
      <c r="F603" s="44"/>
      <c r="K603" s="44"/>
      <c r="L603" s="44"/>
      <c r="M603" s="44"/>
    </row>
    <row r="604" ht="15.75" customHeight="1">
      <c r="A604" s="44"/>
      <c r="B604" s="44"/>
      <c r="C604" s="44"/>
      <c r="D604" s="44"/>
      <c r="E604" s="44"/>
      <c r="F604" s="44"/>
      <c r="K604" s="44"/>
      <c r="L604" s="44"/>
      <c r="M604" s="44"/>
    </row>
    <row r="605" ht="15.75" customHeight="1">
      <c r="A605" s="44"/>
      <c r="B605" s="44"/>
      <c r="C605" s="44"/>
      <c r="D605" s="44"/>
      <c r="E605" s="44"/>
      <c r="F605" s="44"/>
      <c r="K605" s="44"/>
      <c r="L605" s="44"/>
      <c r="M605" s="44"/>
    </row>
    <row r="606" ht="15.75" customHeight="1">
      <c r="A606" s="44"/>
      <c r="B606" s="44"/>
      <c r="C606" s="44"/>
      <c r="D606" s="44"/>
      <c r="E606" s="44"/>
      <c r="F606" s="44"/>
      <c r="K606" s="44"/>
      <c r="L606" s="44"/>
      <c r="M606" s="44"/>
    </row>
    <row r="607" ht="15.75" customHeight="1">
      <c r="A607" s="44"/>
      <c r="B607" s="44"/>
      <c r="C607" s="44"/>
      <c r="D607" s="44"/>
      <c r="E607" s="44"/>
      <c r="F607" s="44"/>
      <c r="K607" s="44"/>
      <c r="L607" s="44"/>
      <c r="M607" s="44"/>
    </row>
    <row r="608" ht="15.75" customHeight="1">
      <c r="A608" s="44"/>
      <c r="B608" s="44"/>
      <c r="C608" s="44"/>
      <c r="D608" s="44"/>
      <c r="E608" s="44"/>
      <c r="F608" s="44"/>
      <c r="K608" s="44"/>
      <c r="L608" s="44"/>
      <c r="M608" s="44"/>
    </row>
    <row r="609" ht="15.75" customHeight="1">
      <c r="A609" s="44"/>
      <c r="B609" s="44"/>
      <c r="C609" s="44"/>
      <c r="D609" s="44"/>
      <c r="E609" s="44"/>
      <c r="F609" s="44"/>
      <c r="K609" s="44"/>
      <c r="L609" s="44"/>
      <c r="M609" s="44"/>
    </row>
    <row r="610" ht="15.75" customHeight="1">
      <c r="A610" s="44"/>
      <c r="B610" s="44"/>
      <c r="C610" s="44"/>
      <c r="D610" s="44"/>
      <c r="E610" s="44"/>
      <c r="F610" s="44"/>
      <c r="K610" s="44"/>
      <c r="L610" s="44"/>
      <c r="M610" s="44"/>
    </row>
    <row r="611" ht="15.75" customHeight="1">
      <c r="A611" s="44"/>
      <c r="B611" s="44"/>
      <c r="C611" s="44"/>
      <c r="D611" s="44"/>
      <c r="E611" s="44"/>
      <c r="F611" s="44"/>
      <c r="K611" s="44"/>
      <c r="L611" s="44"/>
      <c r="M611" s="44"/>
    </row>
    <row r="612" ht="15.75" customHeight="1">
      <c r="A612" s="44"/>
      <c r="B612" s="44"/>
      <c r="C612" s="44"/>
      <c r="D612" s="44"/>
      <c r="E612" s="44"/>
      <c r="F612" s="44"/>
      <c r="K612" s="44"/>
      <c r="L612" s="44"/>
      <c r="M612" s="44"/>
    </row>
    <row r="613" ht="15.75" customHeight="1">
      <c r="A613" s="44"/>
      <c r="B613" s="44"/>
      <c r="C613" s="44"/>
      <c r="D613" s="44"/>
      <c r="E613" s="44"/>
      <c r="F613" s="44"/>
      <c r="K613" s="44"/>
      <c r="L613" s="44"/>
      <c r="M613" s="44"/>
    </row>
    <row r="614" ht="15.75" customHeight="1">
      <c r="A614" s="44"/>
      <c r="B614" s="44"/>
      <c r="C614" s="44"/>
      <c r="D614" s="44"/>
      <c r="E614" s="44"/>
      <c r="F614" s="44"/>
      <c r="K614" s="44"/>
      <c r="L614" s="44"/>
      <c r="M614" s="44"/>
    </row>
    <row r="615" ht="15.75" customHeight="1">
      <c r="A615" s="44"/>
      <c r="B615" s="44"/>
      <c r="C615" s="44"/>
      <c r="D615" s="44"/>
      <c r="E615" s="44"/>
      <c r="F615" s="44"/>
      <c r="K615" s="44"/>
      <c r="L615" s="44"/>
      <c r="M615" s="44"/>
    </row>
    <row r="616" ht="15.75" customHeight="1">
      <c r="A616" s="44"/>
      <c r="B616" s="44"/>
      <c r="C616" s="44"/>
      <c r="D616" s="44"/>
      <c r="E616" s="44"/>
      <c r="F616" s="44"/>
      <c r="K616" s="44"/>
      <c r="L616" s="44"/>
      <c r="M616" s="44"/>
    </row>
    <row r="617" ht="15.75" customHeight="1">
      <c r="A617" s="44"/>
      <c r="B617" s="44"/>
      <c r="C617" s="44"/>
      <c r="D617" s="44"/>
      <c r="E617" s="44"/>
      <c r="F617" s="44"/>
      <c r="K617" s="44"/>
      <c r="L617" s="44"/>
      <c r="M617" s="44"/>
    </row>
    <row r="618" ht="15.75" customHeight="1">
      <c r="A618" s="44"/>
      <c r="B618" s="44"/>
      <c r="C618" s="44"/>
      <c r="D618" s="44"/>
      <c r="E618" s="44"/>
      <c r="F618" s="44"/>
      <c r="K618" s="44"/>
      <c r="L618" s="44"/>
      <c r="M618" s="44"/>
    </row>
    <row r="619" ht="15.75" customHeight="1">
      <c r="A619" s="44"/>
      <c r="B619" s="44"/>
      <c r="C619" s="44"/>
      <c r="D619" s="44"/>
      <c r="E619" s="44"/>
      <c r="F619" s="44"/>
      <c r="K619" s="44"/>
      <c r="L619" s="44"/>
      <c r="M619" s="44"/>
    </row>
    <row r="620" ht="15.75" customHeight="1">
      <c r="A620" s="44"/>
      <c r="B620" s="44"/>
      <c r="C620" s="44"/>
      <c r="D620" s="44"/>
      <c r="E620" s="44"/>
      <c r="F620" s="44"/>
      <c r="K620" s="44"/>
      <c r="L620" s="44"/>
      <c r="M620" s="44"/>
    </row>
    <row r="621" ht="15.75" customHeight="1">
      <c r="A621" s="44"/>
      <c r="B621" s="44"/>
      <c r="C621" s="44"/>
      <c r="D621" s="44"/>
      <c r="E621" s="44"/>
      <c r="F621" s="44"/>
      <c r="K621" s="44"/>
      <c r="L621" s="44"/>
      <c r="M621" s="44"/>
    </row>
    <row r="622" ht="15.75" customHeight="1">
      <c r="A622" s="44"/>
      <c r="B622" s="44"/>
      <c r="C622" s="44"/>
      <c r="D622" s="44"/>
      <c r="E622" s="44"/>
      <c r="F622" s="44"/>
      <c r="K622" s="44"/>
      <c r="L622" s="44"/>
      <c r="M622" s="44"/>
    </row>
    <row r="623" ht="15.75" customHeight="1">
      <c r="A623" s="44"/>
      <c r="B623" s="44"/>
      <c r="C623" s="44"/>
      <c r="D623" s="44"/>
      <c r="E623" s="44"/>
      <c r="F623" s="44"/>
      <c r="K623" s="44"/>
      <c r="L623" s="44"/>
      <c r="M623" s="44"/>
    </row>
    <row r="624" ht="15.75" customHeight="1">
      <c r="A624" s="44"/>
      <c r="B624" s="44"/>
      <c r="C624" s="44"/>
      <c r="D624" s="44"/>
      <c r="E624" s="44"/>
      <c r="F624" s="44"/>
      <c r="K624" s="44"/>
      <c r="L624" s="44"/>
      <c r="M624" s="44"/>
    </row>
    <row r="625" ht="15.75" customHeight="1">
      <c r="A625" s="44"/>
      <c r="B625" s="44"/>
      <c r="C625" s="44"/>
      <c r="D625" s="44"/>
      <c r="E625" s="44"/>
      <c r="F625" s="44"/>
      <c r="K625" s="44"/>
      <c r="L625" s="44"/>
      <c r="M625" s="44"/>
    </row>
    <row r="626" ht="15.75" customHeight="1">
      <c r="A626" s="44"/>
      <c r="B626" s="44"/>
      <c r="C626" s="44"/>
      <c r="D626" s="44"/>
      <c r="E626" s="44"/>
      <c r="F626" s="44"/>
      <c r="K626" s="44"/>
      <c r="L626" s="44"/>
      <c r="M626" s="44"/>
    </row>
    <row r="627" ht="15.75" customHeight="1">
      <c r="A627" s="44"/>
      <c r="B627" s="44"/>
      <c r="C627" s="44"/>
      <c r="D627" s="44"/>
      <c r="E627" s="44"/>
      <c r="F627" s="44"/>
      <c r="K627" s="44"/>
      <c r="L627" s="44"/>
      <c r="M627" s="44"/>
    </row>
    <row r="628" ht="15.75" customHeight="1">
      <c r="A628" s="44"/>
      <c r="B628" s="44"/>
      <c r="C628" s="44"/>
      <c r="D628" s="44"/>
      <c r="E628" s="44"/>
      <c r="F628" s="44"/>
      <c r="K628" s="44"/>
      <c r="L628" s="44"/>
      <c r="M628" s="44"/>
    </row>
    <row r="629" ht="15.75" customHeight="1">
      <c r="A629" s="44"/>
      <c r="B629" s="44"/>
      <c r="C629" s="44"/>
      <c r="D629" s="44"/>
      <c r="E629" s="44"/>
      <c r="F629" s="44"/>
      <c r="K629" s="44"/>
      <c r="L629" s="44"/>
      <c r="M629" s="44"/>
    </row>
    <row r="630" ht="15.75" customHeight="1">
      <c r="A630" s="44"/>
      <c r="B630" s="44"/>
      <c r="C630" s="44"/>
      <c r="D630" s="44"/>
      <c r="E630" s="44"/>
      <c r="F630" s="44"/>
      <c r="K630" s="44"/>
      <c r="L630" s="44"/>
      <c r="M630" s="44"/>
    </row>
    <row r="631" ht="15.75" customHeight="1">
      <c r="A631" s="44"/>
      <c r="B631" s="44"/>
      <c r="C631" s="44"/>
      <c r="D631" s="44"/>
      <c r="E631" s="44"/>
      <c r="F631" s="44"/>
      <c r="K631" s="44"/>
      <c r="L631" s="44"/>
      <c r="M631" s="44"/>
    </row>
    <row r="632" ht="15.75" customHeight="1">
      <c r="A632" s="44"/>
      <c r="B632" s="44"/>
      <c r="C632" s="44"/>
      <c r="D632" s="44"/>
      <c r="E632" s="44"/>
      <c r="F632" s="44"/>
      <c r="K632" s="44"/>
      <c r="L632" s="44"/>
      <c r="M632" s="44"/>
    </row>
    <row r="633" ht="15.75" customHeight="1">
      <c r="A633" s="44"/>
      <c r="B633" s="44"/>
      <c r="C633" s="44"/>
      <c r="D633" s="44"/>
      <c r="E633" s="44"/>
      <c r="F633" s="44"/>
      <c r="K633" s="44"/>
      <c r="L633" s="44"/>
      <c r="M633" s="44"/>
    </row>
    <row r="634" ht="15.75" customHeight="1">
      <c r="A634" s="44"/>
      <c r="B634" s="44"/>
      <c r="C634" s="44"/>
      <c r="D634" s="44"/>
      <c r="E634" s="44"/>
      <c r="F634" s="44"/>
      <c r="K634" s="44"/>
      <c r="L634" s="44"/>
      <c r="M634" s="44"/>
    </row>
    <row r="635" ht="15.75" customHeight="1">
      <c r="A635" s="44"/>
      <c r="B635" s="44"/>
      <c r="C635" s="44"/>
      <c r="D635" s="44"/>
      <c r="E635" s="44"/>
      <c r="F635" s="44"/>
      <c r="K635" s="44"/>
      <c r="L635" s="44"/>
      <c r="M635" s="44"/>
    </row>
    <row r="636" ht="15.75" customHeight="1">
      <c r="A636" s="44"/>
      <c r="B636" s="44"/>
      <c r="C636" s="44"/>
      <c r="D636" s="44"/>
      <c r="E636" s="44"/>
      <c r="F636" s="44"/>
      <c r="K636" s="44"/>
      <c r="L636" s="44"/>
      <c r="M636" s="44"/>
    </row>
    <row r="637" ht="15.75" customHeight="1">
      <c r="A637" s="44"/>
      <c r="B637" s="44"/>
      <c r="C637" s="44"/>
      <c r="D637" s="44"/>
      <c r="E637" s="44"/>
      <c r="F637" s="44"/>
      <c r="K637" s="44"/>
      <c r="L637" s="44"/>
      <c r="M637" s="44"/>
    </row>
    <row r="638" ht="15.75" customHeight="1">
      <c r="A638" s="44"/>
      <c r="B638" s="44"/>
      <c r="C638" s="44"/>
      <c r="D638" s="44"/>
      <c r="E638" s="44"/>
      <c r="F638" s="44"/>
      <c r="K638" s="44"/>
      <c r="L638" s="44"/>
      <c r="M638" s="44"/>
    </row>
    <row r="639" ht="15.75" customHeight="1">
      <c r="A639" s="44"/>
      <c r="B639" s="44"/>
      <c r="C639" s="44"/>
      <c r="D639" s="44"/>
      <c r="E639" s="44"/>
      <c r="F639" s="44"/>
      <c r="K639" s="44"/>
      <c r="L639" s="44"/>
      <c r="M639" s="44"/>
    </row>
    <row r="640" ht="15.75" customHeight="1">
      <c r="A640" s="44"/>
      <c r="B640" s="44"/>
      <c r="C640" s="44"/>
      <c r="D640" s="44"/>
      <c r="E640" s="44"/>
      <c r="F640" s="44"/>
      <c r="K640" s="44"/>
      <c r="L640" s="44"/>
      <c r="M640" s="44"/>
    </row>
    <row r="641" ht="15.75" customHeight="1">
      <c r="A641" s="44"/>
      <c r="B641" s="44"/>
      <c r="C641" s="44"/>
      <c r="D641" s="44"/>
      <c r="E641" s="44"/>
      <c r="F641" s="44"/>
      <c r="K641" s="44"/>
      <c r="L641" s="44"/>
      <c r="M641" s="44"/>
    </row>
    <row r="642" ht="15.75" customHeight="1">
      <c r="A642" s="44"/>
      <c r="B642" s="44"/>
      <c r="C642" s="44"/>
      <c r="D642" s="44"/>
      <c r="E642" s="44"/>
      <c r="F642" s="44"/>
      <c r="K642" s="44"/>
      <c r="L642" s="44"/>
      <c r="M642" s="44"/>
    </row>
    <row r="643" ht="15.75" customHeight="1">
      <c r="A643" s="44"/>
      <c r="B643" s="44"/>
      <c r="C643" s="44"/>
      <c r="D643" s="44"/>
      <c r="E643" s="44"/>
      <c r="F643" s="44"/>
      <c r="K643" s="44"/>
      <c r="L643" s="44"/>
      <c r="M643" s="44"/>
    </row>
    <row r="644" ht="15.75" customHeight="1">
      <c r="A644" s="44"/>
      <c r="B644" s="44"/>
      <c r="C644" s="44"/>
      <c r="D644" s="44"/>
      <c r="E644" s="44"/>
      <c r="F644" s="44"/>
      <c r="K644" s="44"/>
      <c r="L644" s="44"/>
      <c r="M644" s="44"/>
    </row>
    <row r="645" ht="15.75" customHeight="1">
      <c r="A645" s="44"/>
      <c r="B645" s="44"/>
      <c r="C645" s="44"/>
      <c r="D645" s="44"/>
      <c r="E645" s="44"/>
      <c r="F645" s="44"/>
      <c r="K645" s="44"/>
      <c r="L645" s="44"/>
      <c r="M645" s="44"/>
    </row>
    <row r="646" ht="15.75" customHeight="1">
      <c r="A646" s="44"/>
      <c r="B646" s="44"/>
      <c r="C646" s="44"/>
      <c r="D646" s="44"/>
      <c r="E646" s="44"/>
      <c r="F646" s="44"/>
      <c r="K646" s="44"/>
      <c r="L646" s="44"/>
      <c r="M646" s="44"/>
    </row>
    <row r="647" ht="15.75" customHeight="1">
      <c r="A647" s="44"/>
      <c r="B647" s="44"/>
      <c r="C647" s="44"/>
      <c r="D647" s="44"/>
      <c r="E647" s="44"/>
      <c r="F647" s="44"/>
      <c r="K647" s="44"/>
      <c r="L647" s="44"/>
      <c r="M647" s="44"/>
    </row>
    <row r="648" ht="15.75" customHeight="1">
      <c r="A648" s="44"/>
      <c r="B648" s="44"/>
      <c r="C648" s="44"/>
      <c r="D648" s="44"/>
      <c r="E648" s="44"/>
      <c r="F648" s="44"/>
      <c r="K648" s="44"/>
      <c r="L648" s="44"/>
      <c r="M648" s="44"/>
    </row>
    <row r="649" ht="15.75" customHeight="1">
      <c r="A649" s="44"/>
      <c r="B649" s="44"/>
      <c r="C649" s="44"/>
      <c r="D649" s="44"/>
      <c r="E649" s="44"/>
      <c r="F649" s="44"/>
      <c r="K649" s="44"/>
      <c r="L649" s="44"/>
      <c r="M649" s="44"/>
    </row>
    <row r="650" ht="15.75" customHeight="1">
      <c r="A650" s="44"/>
      <c r="B650" s="44"/>
      <c r="C650" s="44"/>
      <c r="D650" s="44"/>
      <c r="E650" s="44"/>
      <c r="F650" s="44"/>
      <c r="K650" s="44"/>
      <c r="L650" s="44"/>
      <c r="M650" s="44"/>
    </row>
    <row r="651" ht="15.75" customHeight="1">
      <c r="A651" s="44"/>
      <c r="B651" s="44"/>
      <c r="C651" s="44"/>
      <c r="D651" s="44"/>
      <c r="E651" s="44"/>
      <c r="F651" s="44"/>
      <c r="K651" s="44"/>
      <c r="L651" s="44"/>
      <c r="M651" s="44"/>
    </row>
    <row r="652" ht="15.75" customHeight="1">
      <c r="A652" s="44"/>
      <c r="B652" s="44"/>
      <c r="C652" s="44"/>
      <c r="D652" s="44"/>
      <c r="E652" s="44"/>
      <c r="F652" s="44"/>
      <c r="K652" s="44"/>
      <c r="L652" s="44"/>
      <c r="M652" s="44"/>
    </row>
    <row r="653" ht="15.75" customHeight="1">
      <c r="A653" s="44"/>
      <c r="B653" s="44"/>
      <c r="C653" s="44"/>
      <c r="D653" s="44"/>
      <c r="E653" s="44"/>
      <c r="F653" s="44"/>
      <c r="K653" s="44"/>
      <c r="L653" s="44"/>
      <c r="M653" s="44"/>
    </row>
    <row r="654" ht="15.75" customHeight="1">
      <c r="A654" s="44"/>
      <c r="B654" s="44"/>
      <c r="C654" s="44"/>
      <c r="D654" s="44"/>
      <c r="E654" s="44"/>
      <c r="F654" s="44"/>
      <c r="K654" s="44"/>
      <c r="L654" s="44"/>
      <c r="M654" s="44"/>
    </row>
    <row r="655" ht="15.75" customHeight="1">
      <c r="A655" s="44"/>
      <c r="B655" s="44"/>
      <c r="C655" s="44"/>
      <c r="D655" s="44"/>
      <c r="E655" s="44"/>
      <c r="F655" s="44"/>
      <c r="K655" s="44"/>
      <c r="L655" s="44"/>
      <c r="M655" s="44"/>
    </row>
    <row r="656" ht="15.75" customHeight="1">
      <c r="A656" s="44"/>
      <c r="B656" s="44"/>
      <c r="C656" s="44"/>
      <c r="D656" s="44"/>
      <c r="E656" s="44"/>
      <c r="F656" s="44"/>
      <c r="K656" s="44"/>
      <c r="L656" s="44"/>
      <c r="M656" s="44"/>
    </row>
    <row r="657" ht="15.75" customHeight="1">
      <c r="A657" s="44"/>
      <c r="B657" s="44"/>
      <c r="C657" s="44"/>
      <c r="D657" s="44"/>
      <c r="E657" s="44"/>
      <c r="F657" s="44"/>
      <c r="K657" s="44"/>
      <c r="L657" s="44"/>
      <c r="M657" s="44"/>
    </row>
    <row r="658" ht="15.75" customHeight="1">
      <c r="A658" s="44"/>
      <c r="B658" s="44"/>
      <c r="C658" s="44"/>
      <c r="D658" s="44"/>
      <c r="E658" s="44"/>
      <c r="F658" s="44"/>
      <c r="K658" s="44"/>
      <c r="L658" s="44"/>
      <c r="M658" s="44"/>
    </row>
    <row r="659" ht="15.75" customHeight="1">
      <c r="A659" s="44"/>
      <c r="B659" s="44"/>
      <c r="C659" s="44"/>
      <c r="D659" s="44"/>
      <c r="E659" s="44"/>
      <c r="F659" s="44"/>
      <c r="K659" s="44"/>
      <c r="L659" s="44"/>
      <c r="M659" s="44"/>
    </row>
    <row r="660" ht="15.75" customHeight="1">
      <c r="A660" s="44"/>
      <c r="B660" s="44"/>
      <c r="C660" s="44"/>
      <c r="D660" s="44"/>
      <c r="E660" s="44"/>
      <c r="F660" s="44"/>
      <c r="K660" s="44"/>
      <c r="L660" s="44"/>
      <c r="M660" s="44"/>
    </row>
    <row r="661" ht="15.75" customHeight="1">
      <c r="A661" s="44"/>
      <c r="B661" s="44"/>
      <c r="C661" s="44"/>
      <c r="D661" s="44"/>
      <c r="E661" s="44"/>
      <c r="F661" s="44"/>
      <c r="K661" s="44"/>
      <c r="L661" s="44"/>
      <c r="M661" s="44"/>
    </row>
    <row r="662" ht="15.75" customHeight="1">
      <c r="A662" s="44"/>
      <c r="B662" s="44"/>
      <c r="C662" s="44"/>
      <c r="D662" s="44"/>
      <c r="E662" s="44"/>
      <c r="F662" s="44"/>
      <c r="K662" s="44"/>
      <c r="L662" s="44"/>
      <c r="M662" s="44"/>
    </row>
    <row r="663" ht="15.75" customHeight="1">
      <c r="A663" s="44"/>
      <c r="B663" s="44"/>
      <c r="C663" s="44"/>
      <c r="D663" s="44"/>
      <c r="E663" s="44"/>
      <c r="F663" s="44"/>
      <c r="K663" s="44"/>
      <c r="L663" s="44"/>
      <c r="M663" s="44"/>
    </row>
    <row r="664" ht="15.75" customHeight="1">
      <c r="A664" s="44"/>
      <c r="B664" s="44"/>
      <c r="C664" s="44"/>
      <c r="D664" s="44"/>
      <c r="E664" s="44"/>
      <c r="F664" s="44"/>
      <c r="K664" s="44"/>
      <c r="L664" s="44"/>
      <c r="M664" s="44"/>
    </row>
    <row r="665" ht="15.75" customHeight="1">
      <c r="A665" s="44"/>
      <c r="B665" s="44"/>
      <c r="C665" s="44"/>
      <c r="D665" s="44"/>
      <c r="E665" s="44"/>
      <c r="F665" s="44"/>
      <c r="K665" s="44"/>
      <c r="L665" s="44"/>
      <c r="M665" s="44"/>
    </row>
    <row r="666" ht="15.75" customHeight="1">
      <c r="A666" s="44"/>
      <c r="B666" s="44"/>
      <c r="C666" s="44"/>
      <c r="D666" s="44"/>
      <c r="E666" s="44"/>
      <c r="F666" s="44"/>
      <c r="K666" s="44"/>
      <c r="L666" s="44"/>
      <c r="M666" s="44"/>
    </row>
    <row r="667" ht="15.75" customHeight="1">
      <c r="A667" s="44"/>
      <c r="B667" s="44"/>
      <c r="C667" s="44"/>
      <c r="D667" s="44"/>
      <c r="E667" s="44"/>
      <c r="F667" s="44"/>
      <c r="K667" s="44"/>
      <c r="L667" s="44"/>
      <c r="M667" s="44"/>
    </row>
    <row r="668" ht="15.75" customHeight="1">
      <c r="A668" s="44"/>
      <c r="B668" s="44"/>
      <c r="C668" s="44"/>
      <c r="D668" s="44"/>
      <c r="E668" s="44"/>
      <c r="F668" s="44"/>
      <c r="K668" s="44"/>
      <c r="L668" s="44"/>
      <c r="M668" s="44"/>
    </row>
    <row r="669" ht="15.75" customHeight="1">
      <c r="A669" s="44"/>
      <c r="B669" s="44"/>
      <c r="C669" s="44"/>
      <c r="D669" s="44"/>
      <c r="E669" s="44"/>
      <c r="F669" s="44"/>
      <c r="K669" s="44"/>
      <c r="L669" s="44"/>
      <c r="M669" s="44"/>
    </row>
    <row r="670" ht="15.75" customHeight="1">
      <c r="A670" s="44"/>
      <c r="B670" s="44"/>
      <c r="C670" s="44"/>
      <c r="D670" s="44"/>
      <c r="E670" s="44"/>
      <c r="F670" s="44"/>
      <c r="K670" s="44"/>
      <c r="L670" s="44"/>
      <c r="M670" s="44"/>
    </row>
    <row r="671" ht="15.75" customHeight="1">
      <c r="A671" s="44"/>
      <c r="B671" s="44"/>
      <c r="C671" s="44"/>
      <c r="D671" s="44"/>
      <c r="E671" s="44"/>
      <c r="F671" s="44"/>
      <c r="K671" s="44"/>
      <c r="L671" s="44"/>
      <c r="M671" s="44"/>
    </row>
    <row r="672" ht="15.75" customHeight="1">
      <c r="A672" s="44"/>
      <c r="B672" s="44"/>
      <c r="C672" s="44"/>
      <c r="D672" s="44"/>
      <c r="E672" s="44"/>
      <c r="F672" s="44"/>
      <c r="K672" s="44"/>
      <c r="L672" s="44"/>
      <c r="M672" s="44"/>
    </row>
    <row r="673" ht="15.75" customHeight="1">
      <c r="A673" s="44"/>
      <c r="B673" s="44"/>
      <c r="C673" s="44"/>
      <c r="D673" s="44"/>
      <c r="E673" s="44"/>
      <c r="F673" s="44"/>
      <c r="K673" s="44"/>
      <c r="L673" s="44"/>
      <c r="M673" s="44"/>
    </row>
    <row r="674" ht="15.75" customHeight="1">
      <c r="A674" s="44"/>
      <c r="B674" s="44"/>
      <c r="C674" s="44"/>
      <c r="D674" s="44"/>
      <c r="E674" s="44"/>
      <c r="F674" s="44"/>
      <c r="K674" s="44"/>
      <c r="L674" s="44"/>
      <c r="M674" s="44"/>
    </row>
    <row r="675" ht="15.75" customHeight="1">
      <c r="A675" s="44"/>
      <c r="B675" s="44"/>
      <c r="C675" s="44"/>
      <c r="D675" s="44"/>
      <c r="E675" s="44"/>
      <c r="F675" s="44"/>
      <c r="K675" s="44"/>
      <c r="L675" s="44"/>
      <c r="M675" s="44"/>
    </row>
    <row r="676" ht="15.75" customHeight="1">
      <c r="A676" s="44"/>
      <c r="B676" s="44"/>
      <c r="C676" s="44"/>
      <c r="D676" s="44"/>
      <c r="E676" s="44"/>
      <c r="F676" s="44"/>
      <c r="K676" s="44"/>
      <c r="L676" s="44"/>
      <c r="M676" s="44"/>
    </row>
    <row r="677" ht="15.75" customHeight="1">
      <c r="A677" s="44"/>
      <c r="B677" s="44"/>
      <c r="C677" s="44"/>
      <c r="D677" s="44"/>
      <c r="E677" s="44"/>
      <c r="F677" s="44"/>
      <c r="K677" s="44"/>
      <c r="L677" s="44"/>
      <c r="M677" s="44"/>
    </row>
    <row r="678" ht="15.75" customHeight="1">
      <c r="A678" s="44"/>
      <c r="B678" s="44"/>
      <c r="C678" s="44"/>
      <c r="D678" s="44"/>
      <c r="E678" s="44"/>
      <c r="F678" s="44"/>
      <c r="K678" s="44"/>
      <c r="L678" s="44"/>
      <c r="M678" s="44"/>
    </row>
    <row r="679" ht="15.75" customHeight="1">
      <c r="A679" s="44"/>
      <c r="B679" s="44"/>
      <c r="C679" s="44"/>
      <c r="D679" s="44"/>
      <c r="E679" s="44"/>
      <c r="F679" s="44"/>
      <c r="K679" s="44"/>
      <c r="L679" s="44"/>
      <c r="M679" s="44"/>
    </row>
    <row r="680" ht="15.75" customHeight="1">
      <c r="A680" s="44"/>
      <c r="B680" s="44"/>
      <c r="C680" s="44"/>
      <c r="D680" s="44"/>
      <c r="E680" s="44"/>
      <c r="F680" s="44"/>
      <c r="K680" s="44"/>
      <c r="L680" s="44"/>
      <c r="M680" s="44"/>
    </row>
    <row r="681" ht="15.75" customHeight="1">
      <c r="A681" s="44"/>
      <c r="B681" s="44"/>
      <c r="C681" s="44"/>
      <c r="D681" s="44"/>
      <c r="E681" s="44"/>
      <c r="F681" s="44"/>
      <c r="K681" s="44"/>
      <c r="L681" s="44"/>
      <c r="M681" s="44"/>
    </row>
    <row r="682" ht="15.75" customHeight="1">
      <c r="A682" s="44"/>
      <c r="B682" s="44"/>
      <c r="C682" s="44"/>
      <c r="D682" s="44"/>
      <c r="E682" s="44"/>
      <c r="F682" s="44"/>
      <c r="K682" s="44"/>
      <c r="L682" s="44"/>
      <c r="M682" s="44"/>
    </row>
    <row r="683" ht="15.75" customHeight="1">
      <c r="A683" s="44"/>
      <c r="B683" s="44"/>
      <c r="C683" s="44"/>
      <c r="D683" s="44"/>
      <c r="E683" s="44"/>
      <c r="F683" s="44"/>
      <c r="K683" s="44"/>
      <c r="L683" s="44"/>
      <c r="M683" s="44"/>
    </row>
    <row r="684" ht="15.75" customHeight="1">
      <c r="A684" s="44"/>
      <c r="B684" s="44"/>
      <c r="C684" s="44"/>
      <c r="D684" s="44"/>
      <c r="E684" s="44"/>
      <c r="F684" s="44"/>
      <c r="K684" s="44"/>
      <c r="L684" s="44"/>
      <c r="M684" s="44"/>
    </row>
    <row r="685" ht="15.75" customHeight="1">
      <c r="A685" s="44"/>
      <c r="B685" s="44"/>
      <c r="C685" s="44"/>
      <c r="D685" s="44"/>
      <c r="E685" s="44"/>
      <c r="F685" s="44"/>
      <c r="K685" s="44"/>
      <c r="L685" s="44"/>
      <c r="M685" s="44"/>
    </row>
    <row r="686" ht="15.75" customHeight="1">
      <c r="A686" s="44"/>
      <c r="B686" s="44"/>
      <c r="C686" s="44"/>
      <c r="D686" s="44"/>
      <c r="E686" s="44"/>
      <c r="F686" s="44"/>
      <c r="K686" s="44"/>
      <c r="L686" s="44"/>
      <c r="M686" s="44"/>
    </row>
    <row r="687" ht="15.75" customHeight="1">
      <c r="A687" s="44"/>
      <c r="B687" s="44"/>
      <c r="C687" s="44"/>
      <c r="D687" s="44"/>
      <c r="E687" s="44"/>
      <c r="F687" s="44"/>
      <c r="K687" s="44"/>
      <c r="L687" s="44"/>
      <c r="M687" s="44"/>
    </row>
    <row r="688" ht="15.75" customHeight="1">
      <c r="A688" s="44"/>
      <c r="B688" s="44"/>
      <c r="C688" s="44"/>
      <c r="D688" s="44"/>
      <c r="E688" s="44"/>
      <c r="F688" s="44"/>
      <c r="K688" s="44"/>
      <c r="L688" s="44"/>
      <c r="M688" s="44"/>
    </row>
    <row r="689" ht="15.75" customHeight="1">
      <c r="A689" s="44"/>
      <c r="B689" s="44"/>
      <c r="C689" s="44"/>
      <c r="D689" s="44"/>
      <c r="E689" s="44"/>
      <c r="F689" s="44"/>
      <c r="K689" s="44"/>
      <c r="L689" s="44"/>
      <c r="M689" s="44"/>
    </row>
    <row r="690" ht="15.75" customHeight="1">
      <c r="A690" s="44"/>
      <c r="B690" s="44"/>
      <c r="C690" s="44"/>
      <c r="D690" s="44"/>
      <c r="E690" s="44"/>
      <c r="F690" s="44"/>
      <c r="K690" s="44"/>
      <c r="L690" s="44"/>
      <c r="M690" s="44"/>
    </row>
    <row r="691" ht="15.75" customHeight="1">
      <c r="A691" s="44"/>
      <c r="B691" s="44"/>
      <c r="C691" s="44"/>
      <c r="D691" s="44"/>
      <c r="E691" s="44"/>
      <c r="F691" s="44"/>
      <c r="K691" s="44"/>
      <c r="L691" s="44"/>
      <c r="M691" s="44"/>
    </row>
    <row r="692" ht="15.75" customHeight="1">
      <c r="A692" s="44"/>
      <c r="B692" s="44"/>
      <c r="C692" s="44"/>
      <c r="D692" s="44"/>
      <c r="E692" s="44"/>
      <c r="F692" s="44"/>
      <c r="K692" s="44"/>
      <c r="L692" s="44"/>
      <c r="M692" s="44"/>
    </row>
    <row r="693" ht="15.75" customHeight="1">
      <c r="A693" s="44"/>
      <c r="B693" s="44"/>
      <c r="C693" s="44"/>
      <c r="D693" s="44"/>
      <c r="E693" s="44"/>
      <c r="F693" s="44"/>
      <c r="K693" s="44"/>
      <c r="L693" s="44"/>
      <c r="M693" s="44"/>
    </row>
    <row r="694" ht="15.75" customHeight="1">
      <c r="A694" s="44"/>
      <c r="B694" s="44"/>
      <c r="C694" s="44"/>
      <c r="D694" s="44"/>
      <c r="E694" s="44"/>
      <c r="F694" s="44"/>
      <c r="K694" s="44"/>
      <c r="L694" s="44"/>
      <c r="M694" s="44"/>
    </row>
    <row r="695" ht="15.75" customHeight="1">
      <c r="A695" s="44"/>
      <c r="B695" s="44"/>
      <c r="C695" s="44"/>
      <c r="D695" s="44"/>
      <c r="E695" s="44"/>
      <c r="F695" s="44"/>
      <c r="K695" s="44"/>
      <c r="L695" s="44"/>
      <c r="M695" s="44"/>
    </row>
    <row r="696" ht="15.75" customHeight="1">
      <c r="A696" s="44"/>
      <c r="B696" s="44"/>
      <c r="C696" s="44"/>
      <c r="D696" s="44"/>
      <c r="E696" s="44"/>
      <c r="F696" s="44"/>
      <c r="K696" s="44"/>
      <c r="L696" s="44"/>
      <c r="M696" s="44"/>
    </row>
    <row r="697" ht="15.75" customHeight="1">
      <c r="A697" s="44"/>
      <c r="B697" s="44"/>
      <c r="C697" s="44"/>
      <c r="D697" s="44"/>
      <c r="E697" s="44"/>
      <c r="F697" s="44"/>
      <c r="K697" s="44"/>
      <c r="L697" s="44"/>
      <c r="M697" s="44"/>
    </row>
    <row r="698" ht="15.75" customHeight="1">
      <c r="A698" s="44"/>
      <c r="B698" s="44"/>
      <c r="C698" s="44"/>
      <c r="D698" s="44"/>
      <c r="E698" s="44"/>
      <c r="F698" s="44"/>
      <c r="K698" s="44"/>
      <c r="L698" s="44"/>
      <c r="M698" s="44"/>
    </row>
    <row r="699" ht="15.75" customHeight="1">
      <c r="A699" s="44"/>
      <c r="B699" s="44"/>
      <c r="C699" s="44"/>
      <c r="D699" s="44"/>
      <c r="E699" s="44"/>
      <c r="F699" s="44"/>
      <c r="K699" s="44"/>
      <c r="L699" s="44"/>
      <c r="M699" s="44"/>
    </row>
    <row r="700" ht="15.75" customHeight="1">
      <c r="A700" s="44"/>
      <c r="B700" s="44"/>
      <c r="C700" s="44"/>
      <c r="D700" s="44"/>
      <c r="E700" s="44"/>
      <c r="F700" s="44"/>
      <c r="K700" s="44"/>
      <c r="L700" s="44"/>
      <c r="M700" s="44"/>
    </row>
    <row r="701" ht="15.75" customHeight="1">
      <c r="A701" s="44"/>
      <c r="B701" s="44"/>
      <c r="C701" s="44"/>
      <c r="D701" s="44"/>
      <c r="E701" s="44"/>
      <c r="F701" s="44"/>
      <c r="K701" s="44"/>
      <c r="L701" s="44"/>
      <c r="M701" s="44"/>
    </row>
    <row r="702" ht="15.75" customHeight="1">
      <c r="A702" s="44"/>
      <c r="B702" s="44"/>
      <c r="C702" s="44"/>
      <c r="D702" s="44"/>
      <c r="E702" s="44"/>
      <c r="F702" s="44"/>
      <c r="K702" s="44"/>
      <c r="L702" s="44"/>
      <c r="M702" s="44"/>
    </row>
    <row r="703" ht="15.75" customHeight="1">
      <c r="A703" s="44"/>
      <c r="B703" s="44"/>
      <c r="C703" s="44"/>
      <c r="D703" s="44"/>
      <c r="E703" s="44"/>
      <c r="F703" s="44"/>
      <c r="K703" s="44"/>
      <c r="L703" s="44"/>
      <c r="M703" s="44"/>
    </row>
    <row r="704" ht="15.75" customHeight="1">
      <c r="A704" s="44"/>
      <c r="B704" s="44"/>
      <c r="C704" s="44"/>
      <c r="D704" s="44"/>
      <c r="E704" s="44"/>
      <c r="F704" s="44"/>
      <c r="K704" s="44"/>
      <c r="L704" s="44"/>
      <c r="M704" s="44"/>
    </row>
    <row r="705" ht="15.75" customHeight="1">
      <c r="A705" s="44"/>
      <c r="B705" s="44"/>
      <c r="C705" s="44"/>
      <c r="D705" s="44"/>
      <c r="E705" s="44"/>
      <c r="F705" s="44"/>
      <c r="K705" s="44"/>
      <c r="L705" s="44"/>
      <c r="M705" s="44"/>
    </row>
    <row r="706" ht="15.75" customHeight="1">
      <c r="A706" s="44"/>
      <c r="B706" s="44"/>
      <c r="C706" s="44"/>
      <c r="D706" s="44"/>
      <c r="E706" s="44"/>
      <c r="F706" s="44"/>
      <c r="K706" s="44"/>
      <c r="L706" s="44"/>
      <c r="M706" s="44"/>
    </row>
    <row r="707" ht="15.75" customHeight="1">
      <c r="A707" s="44"/>
      <c r="B707" s="44"/>
      <c r="C707" s="44"/>
      <c r="D707" s="44"/>
      <c r="E707" s="44"/>
      <c r="F707" s="44"/>
      <c r="K707" s="44"/>
      <c r="L707" s="44"/>
      <c r="M707" s="44"/>
    </row>
    <row r="708" ht="15.75" customHeight="1">
      <c r="A708" s="44"/>
      <c r="B708" s="44"/>
      <c r="C708" s="44"/>
      <c r="D708" s="44"/>
      <c r="E708" s="44"/>
      <c r="F708" s="44"/>
      <c r="K708" s="44"/>
      <c r="L708" s="44"/>
      <c r="M708" s="44"/>
    </row>
    <row r="709" ht="15.75" customHeight="1">
      <c r="A709" s="44"/>
      <c r="B709" s="44"/>
      <c r="C709" s="44"/>
      <c r="D709" s="44"/>
      <c r="E709" s="44"/>
      <c r="F709" s="44"/>
      <c r="K709" s="44"/>
      <c r="L709" s="44"/>
      <c r="M709" s="44"/>
    </row>
    <row r="710" ht="15.75" customHeight="1">
      <c r="A710" s="44"/>
      <c r="B710" s="44"/>
      <c r="C710" s="44"/>
      <c r="D710" s="44"/>
      <c r="E710" s="44"/>
      <c r="F710" s="44"/>
      <c r="K710" s="44"/>
      <c r="L710" s="44"/>
      <c r="M710" s="44"/>
    </row>
    <row r="711" ht="15.75" customHeight="1">
      <c r="A711" s="44"/>
      <c r="B711" s="44"/>
      <c r="C711" s="44"/>
      <c r="D711" s="44"/>
      <c r="E711" s="44"/>
      <c r="F711" s="44"/>
      <c r="K711" s="44"/>
      <c r="L711" s="44"/>
      <c r="M711" s="44"/>
    </row>
    <row r="712" ht="15.75" customHeight="1">
      <c r="A712" s="44"/>
      <c r="B712" s="44"/>
      <c r="C712" s="44"/>
      <c r="D712" s="44"/>
      <c r="E712" s="44"/>
      <c r="F712" s="44"/>
      <c r="K712" s="44"/>
      <c r="L712" s="44"/>
      <c r="M712" s="44"/>
    </row>
    <row r="713" ht="15.75" customHeight="1">
      <c r="A713" s="44"/>
      <c r="B713" s="44"/>
      <c r="C713" s="44"/>
      <c r="D713" s="44"/>
      <c r="E713" s="44"/>
      <c r="F713" s="44"/>
      <c r="K713" s="44"/>
      <c r="L713" s="44"/>
      <c r="M713" s="44"/>
    </row>
    <row r="714" ht="15.75" customHeight="1">
      <c r="A714" s="44"/>
      <c r="B714" s="44"/>
      <c r="C714" s="44"/>
      <c r="D714" s="44"/>
      <c r="E714" s="44"/>
      <c r="F714" s="44"/>
      <c r="K714" s="44"/>
      <c r="L714" s="44"/>
      <c r="M714" s="44"/>
    </row>
    <row r="715" ht="15.75" customHeight="1">
      <c r="A715" s="44"/>
      <c r="B715" s="44"/>
      <c r="C715" s="44"/>
      <c r="D715" s="44"/>
      <c r="E715" s="44"/>
      <c r="F715" s="44"/>
      <c r="K715" s="44"/>
      <c r="L715" s="44"/>
      <c r="M715" s="44"/>
    </row>
    <row r="716" ht="15.75" customHeight="1">
      <c r="A716" s="44"/>
      <c r="B716" s="44"/>
      <c r="C716" s="44"/>
      <c r="D716" s="44"/>
      <c r="E716" s="44"/>
      <c r="F716" s="44"/>
      <c r="K716" s="44"/>
      <c r="L716" s="44"/>
      <c r="M716" s="44"/>
    </row>
    <row r="717" ht="15.75" customHeight="1">
      <c r="A717" s="44"/>
      <c r="B717" s="44"/>
      <c r="C717" s="44"/>
      <c r="D717" s="44"/>
      <c r="E717" s="44"/>
      <c r="F717" s="44"/>
      <c r="K717" s="44"/>
      <c r="L717" s="44"/>
      <c r="M717" s="44"/>
    </row>
    <row r="718" ht="15.75" customHeight="1">
      <c r="A718" s="44"/>
      <c r="B718" s="44"/>
      <c r="C718" s="44"/>
      <c r="D718" s="44"/>
      <c r="E718" s="44"/>
      <c r="F718" s="44"/>
      <c r="K718" s="44"/>
      <c r="L718" s="44"/>
      <c r="M718" s="44"/>
    </row>
    <row r="719" ht="15.75" customHeight="1">
      <c r="A719" s="44"/>
      <c r="B719" s="44"/>
      <c r="C719" s="44"/>
      <c r="D719" s="44"/>
      <c r="E719" s="44"/>
      <c r="F719" s="44"/>
      <c r="K719" s="44"/>
      <c r="L719" s="44"/>
      <c r="M719" s="44"/>
    </row>
    <row r="720" ht="15.75" customHeight="1">
      <c r="A720" s="44"/>
      <c r="B720" s="44"/>
      <c r="C720" s="44"/>
      <c r="D720" s="44"/>
      <c r="E720" s="44"/>
      <c r="F720" s="44"/>
      <c r="K720" s="44"/>
      <c r="L720" s="44"/>
      <c r="M720" s="44"/>
    </row>
    <row r="721" ht="15.75" customHeight="1">
      <c r="A721" s="44"/>
      <c r="B721" s="44"/>
      <c r="C721" s="44"/>
      <c r="D721" s="44"/>
      <c r="E721" s="44"/>
      <c r="F721" s="44"/>
      <c r="K721" s="44"/>
      <c r="L721" s="44"/>
      <c r="M721" s="44"/>
    </row>
    <row r="722" ht="15.75" customHeight="1">
      <c r="A722" s="44"/>
      <c r="B722" s="44"/>
      <c r="C722" s="44"/>
      <c r="D722" s="44"/>
      <c r="E722" s="44"/>
      <c r="F722" s="44"/>
      <c r="K722" s="44"/>
      <c r="L722" s="44"/>
      <c r="M722" s="44"/>
    </row>
    <row r="723" ht="15.75" customHeight="1">
      <c r="A723" s="44"/>
      <c r="B723" s="44"/>
      <c r="C723" s="44"/>
      <c r="D723" s="44"/>
      <c r="E723" s="44"/>
      <c r="F723" s="44"/>
      <c r="K723" s="44"/>
      <c r="L723" s="44"/>
      <c r="M723" s="44"/>
    </row>
    <row r="724" ht="15.75" customHeight="1">
      <c r="A724" s="44"/>
      <c r="B724" s="44"/>
      <c r="C724" s="44"/>
      <c r="D724" s="44"/>
      <c r="E724" s="44"/>
      <c r="F724" s="44"/>
      <c r="K724" s="44"/>
      <c r="L724" s="44"/>
      <c r="M724" s="44"/>
    </row>
    <row r="725" ht="15.75" customHeight="1">
      <c r="A725" s="44"/>
      <c r="B725" s="44"/>
      <c r="C725" s="44"/>
      <c r="D725" s="44"/>
      <c r="E725" s="44"/>
      <c r="F725" s="44"/>
      <c r="K725" s="44"/>
      <c r="L725" s="44"/>
      <c r="M725" s="44"/>
    </row>
    <row r="726" ht="15.75" customHeight="1">
      <c r="A726" s="44"/>
      <c r="B726" s="44"/>
      <c r="C726" s="44"/>
      <c r="D726" s="44"/>
      <c r="E726" s="44"/>
      <c r="F726" s="44"/>
      <c r="K726" s="44"/>
      <c r="L726" s="44"/>
      <c r="M726" s="44"/>
    </row>
    <row r="727" ht="15.75" customHeight="1">
      <c r="A727" s="44"/>
      <c r="B727" s="44"/>
      <c r="C727" s="44"/>
      <c r="D727" s="44"/>
      <c r="E727" s="44"/>
      <c r="F727" s="44"/>
      <c r="K727" s="44"/>
      <c r="L727" s="44"/>
      <c r="M727" s="44"/>
    </row>
    <row r="728" ht="15.75" customHeight="1">
      <c r="A728" s="44"/>
      <c r="B728" s="44"/>
      <c r="C728" s="44"/>
      <c r="D728" s="44"/>
      <c r="E728" s="44"/>
      <c r="F728" s="44"/>
      <c r="K728" s="44"/>
      <c r="L728" s="44"/>
      <c r="M728" s="44"/>
    </row>
    <row r="729" ht="15.75" customHeight="1">
      <c r="A729" s="44"/>
      <c r="B729" s="44"/>
      <c r="C729" s="44"/>
      <c r="D729" s="44"/>
      <c r="E729" s="44"/>
      <c r="F729" s="44"/>
      <c r="K729" s="44"/>
      <c r="L729" s="44"/>
      <c r="M729" s="44"/>
    </row>
    <row r="730" ht="15.75" customHeight="1">
      <c r="A730" s="44"/>
      <c r="B730" s="44"/>
      <c r="C730" s="44"/>
      <c r="D730" s="44"/>
      <c r="E730" s="44"/>
      <c r="F730" s="44"/>
      <c r="K730" s="44"/>
      <c r="L730" s="44"/>
      <c r="M730" s="44"/>
    </row>
    <row r="731" ht="15.75" customHeight="1">
      <c r="A731" s="44"/>
      <c r="B731" s="44"/>
      <c r="C731" s="44"/>
      <c r="D731" s="44"/>
      <c r="E731" s="44"/>
      <c r="F731" s="44"/>
      <c r="K731" s="44"/>
      <c r="L731" s="44"/>
      <c r="M731" s="44"/>
    </row>
    <row r="732" ht="15.75" customHeight="1">
      <c r="A732" s="44"/>
      <c r="B732" s="44"/>
      <c r="C732" s="44"/>
      <c r="D732" s="44"/>
      <c r="E732" s="44"/>
      <c r="F732" s="44"/>
      <c r="K732" s="44"/>
      <c r="L732" s="44"/>
      <c r="M732" s="44"/>
    </row>
    <row r="733" ht="15.75" customHeight="1">
      <c r="A733" s="44"/>
      <c r="B733" s="44"/>
      <c r="C733" s="44"/>
      <c r="D733" s="44"/>
      <c r="E733" s="44"/>
      <c r="F733" s="44"/>
      <c r="K733" s="44"/>
      <c r="L733" s="44"/>
      <c r="M733" s="44"/>
    </row>
    <row r="734" ht="15.75" customHeight="1">
      <c r="A734" s="44"/>
      <c r="B734" s="44"/>
      <c r="C734" s="44"/>
      <c r="D734" s="44"/>
      <c r="E734" s="44"/>
      <c r="F734" s="44"/>
      <c r="K734" s="44"/>
      <c r="L734" s="44"/>
      <c r="M734" s="44"/>
    </row>
    <row r="735" ht="15.75" customHeight="1">
      <c r="A735" s="44"/>
      <c r="B735" s="44"/>
      <c r="C735" s="44"/>
      <c r="D735" s="44"/>
      <c r="E735" s="44"/>
      <c r="F735" s="44"/>
      <c r="K735" s="44"/>
      <c r="L735" s="44"/>
      <c r="M735" s="44"/>
    </row>
    <row r="736" ht="15.75" customHeight="1">
      <c r="A736" s="44"/>
      <c r="B736" s="44"/>
      <c r="C736" s="44"/>
      <c r="D736" s="44"/>
      <c r="E736" s="44"/>
      <c r="F736" s="44"/>
      <c r="K736" s="44"/>
      <c r="L736" s="44"/>
      <c r="M736" s="44"/>
    </row>
    <row r="737" ht="15.75" customHeight="1">
      <c r="A737" s="44"/>
      <c r="B737" s="44"/>
      <c r="C737" s="44"/>
      <c r="D737" s="44"/>
      <c r="E737" s="44"/>
      <c r="F737" s="44"/>
      <c r="K737" s="44"/>
      <c r="L737" s="44"/>
      <c r="M737" s="44"/>
    </row>
    <row r="738" ht="15.75" customHeight="1">
      <c r="A738" s="44"/>
      <c r="B738" s="44"/>
      <c r="C738" s="44"/>
      <c r="D738" s="44"/>
      <c r="E738" s="44"/>
      <c r="F738" s="44"/>
      <c r="K738" s="44"/>
      <c r="L738" s="44"/>
      <c r="M738" s="44"/>
    </row>
    <row r="739" ht="15.75" customHeight="1">
      <c r="A739" s="44"/>
      <c r="B739" s="44"/>
      <c r="C739" s="44"/>
      <c r="D739" s="44"/>
      <c r="E739" s="44"/>
      <c r="F739" s="44"/>
      <c r="K739" s="44"/>
      <c r="L739" s="44"/>
      <c r="M739" s="44"/>
    </row>
    <row r="740" ht="15.75" customHeight="1">
      <c r="A740" s="44"/>
      <c r="B740" s="44"/>
      <c r="C740" s="44"/>
      <c r="D740" s="44"/>
      <c r="E740" s="44"/>
      <c r="F740" s="44"/>
      <c r="K740" s="44"/>
      <c r="L740" s="44"/>
      <c r="M740" s="44"/>
    </row>
    <row r="741" ht="15.75" customHeight="1">
      <c r="A741" s="44"/>
      <c r="B741" s="44"/>
      <c r="C741" s="44"/>
      <c r="D741" s="44"/>
      <c r="E741" s="44"/>
      <c r="F741" s="44"/>
      <c r="K741" s="44"/>
      <c r="L741" s="44"/>
      <c r="M741" s="44"/>
    </row>
    <row r="742" ht="15.75" customHeight="1">
      <c r="A742" s="44"/>
      <c r="B742" s="44"/>
      <c r="C742" s="44"/>
      <c r="D742" s="44"/>
      <c r="E742" s="44"/>
      <c r="F742" s="44"/>
      <c r="K742" s="44"/>
      <c r="L742" s="44"/>
      <c r="M742" s="44"/>
    </row>
    <row r="743" ht="15.75" customHeight="1">
      <c r="A743" s="44"/>
      <c r="B743" s="44"/>
      <c r="C743" s="44"/>
      <c r="D743" s="44"/>
      <c r="E743" s="44"/>
      <c r="F743" s="44"/>
      <c r="K743" s="44"/>
      <c r="L743" s="44"/>
      <c r="M743" s="44"/>
    </row>
    <row r="744" ht="15.75" customHeight="1">
      <c r="A744" s="44"/>
      <c r="B744" s="44"/>
      <c r="C744" s="44"/>
      <c r="D744" s="44"/>
      <c r="E744" s="44"/>
      <c r="F744" s="44"/>
      <c r="K744" s="44"/>
      <c r="L744" s="44"/>
      <c r="M744" s="44"/>
    </row>
    <row r="745" ht="15.75" customHeight="1">
      <c r="A745" s="44"/>
      <c r="B745" s="44"/>
      <c r="C745" s="44"/>
      <c r="D745" s="44"/>
      <c r="E745" s="44"/>
      <c r="F745" s="44"/>
      <c r="K745" s="44"/>
      <c r="L745" s="44"/>
      <c r="M745" s="44"/>
    </row>
    <row r="746" ht="15.75" customHeight="1">
      <c r="A746" s="44"/>
      <c r="B746" s="44"/>
      <c r="C746" s="44"/>
      <c r="D746" s="44"/>
      <c r="E746" s="44"/>
      <c r="F746" s="44"/>
      <c r="K746" s="44"/>
      <c r="L746" s="44"/>
      <c r="M746" s="44"/>
    </row>
    <row r="747" ht="15.75" customHeight="1">
      <c r="A747" s="44"/>
      <c r="B747" s="44"/>
      <c r="C747" s="44"/>
      <c r="D747" s="44"/>
      <c r="E747" s="44"/>
      <c r="F747" s="44"/>
      <c r="K747" s="44"/>
      <c r="L747" s="44"/>
      <c r="M747" s="44"/>
    </row>
    <row r="748" ht="15.75" customHeight="1">
      <c r="A748" s="44"/>
      <c r="B748" s="44"/>
      <c r="C748" s="44"/>
      <c r="D748" s="44"/>
      <c r="E748" s="44"/>
      <c r="F748" s="44"/>
      <c r="K748" s="44"/>
      <c r="L748" s="44"/>
      <c r="M748" s="44"/>
    </row>
    <row r="749" ht="15.75" customHeight="1">
      <c r="A749" s="44"/>
      <c r="B749" s="44"/>
      <c r="C749" s="44"/>
      <c r="D749" s="44"/>
      <c r="E749" s="44"/>
      <c r="F749" s="44"/>
      <c r="K749" s="44"/>
      <c r="L749" s="44"/>
      <c r="M749" s="44"/>
    </row>
    <row r="750" ht="15.75" customHeight="1">
      <c r="A750" s="44"/>
      <c r="B750" s="44"/>
      <c r="C750" s="44"/>
      <c r="D750" s="44"/>
      <c r="E750" s="44"/>
      <c r="F750" s="44"/>
      <c r="K750" s="44"/>
      <c r="L750" s="44"/>
      <c r="M750" s="44"/>
    </row>
    <row r="751" ht="15.75" customHeight="1">
      <c r="A751" s="44"/>
      <c r="B751" s="44"/>
      <c r="C751" s="44"/>
      <c r="D751" s="44"/>
      <c r="E751" s="44"/>
      <c r="F751" s="44"/>
      <c r="K751" s="44"/>
      <c r="L751" s="44"/>
      <c r="M751" s="44"/>
    </row>
    <row r="752" ht="15.75" customHeight="1">
      <c r="A752" s="44"/>
      <c r="B752" s="44"/>
      <c r="C752" s="44"/>
      <c r="D752" s="44"/>
      <c r="E752" s="44"/>
      <c r="F752" s="44"/>
      <c r="K752" s="44"/>
      <c r="L752" s="44"/>
      <c r="M752" s="44"/>
    </row>
    <row r="753" ht="15.75" customHeight="1">
      <c r="A753" s="44"/>
      <c r="B753" s="44"/>
      <c r="C753" s="44"/>
      <c r="D753" s="44"/>
      <c r="E753" s="44"/>
      <c r="F753" s="44"/>
      <c r="K753" s="44"/>
      <c r="L753" s="44"/>
      <c r="M753" s="44"/>
    </row>
    <row r="754" ht="15.75" customHeight="1">
      <c r="A754" s="44"/>
      <c r="B754" s="44"/>
      <c r="C754" s="44"/>
      <c r="D754" s="44"/>
      <c r="E754" s="44"/>
      <c r="F754" s="44"/>
      <c r="K754" s="44"/>
      <c r="L754" s="44"/>
      <c r="M754" s="44"/>
    </row>
    <row r="755" ht="15.75" customHeight="1">
      <c r="A755" s="44"/>
      <c r="B755" s="44"/>
      <c r="C755" s="44"/>
      <c r="D755" s="44"/>
      <c r="E755" s="44"/>
      <c r="F755" s="44"/>
      <c r="K755" s="44"/>
      <c r="L755" s="44"/>
      <c r="M755" s="44"/>
    </row>
    <row r="756" ht="15.75" customHeight="1">
      <c r="A756" s="44"/>
      <c r="B756" s="44"/>
      <c r="C756" s="44"/>
      <c r="D756" s="44"/>
      <c r="E756" s="44"/>
      <c r="F756" s="44"/>
      <c r="K756" s="44"/>
      <c r="L756" s="44"/>
      <c r="M756" s="44"/>
    </row>
    <row r="757" ht="15.75" customHeight="1">
      <c r="A757" s="44"/>
      <c r="B757" s="44"/>
      <c r="C757" s="44"/>
      <c r="D757" s="44"/>
      <c r="E757" s="44"/>
      <c r="F757" s="44"/>
      <c r="K757" s="44"/>
      <c r="L757" s="44"/>
      <c r="M757" s="44"/>
    </row>
    <row r="758" ht="15.75" customHeight="1">
      <c r="A758" s="44"/>
      <c r="B758" s="44"/>
      <c r="C758" s="44"/>
      <c r="D758" s="44"/>
      <c r="E758" s="44"/>
      <c r="F758" s="44"/>
      <c r="K758" s="44"/>
      <c r="L758" s="44"/>
      <c r="M758" s="44"/>
    </row>
    <row r="759" ht="15.75" customHeight="1">
      <c r="A759" s="44"/>
      <c r="B759" s="44"/>
      <c r="C759" s="44"/>
      <c r="D759" s="44"/>
      <c r="E759" s="44"/>
      <c r="F759" s="44"/>
      <c r="K759" s="44"/>
      <c r="L759" s="44"/>
      <c r="M759" s="44"/>
    </row>
    <row r="760" ht="15.75" customHeight="1">
      <c r="A760" s="44"/>
      <c r="B760" s="44"/>
      <c r="C760" s="44"/>
      <c r="D760" s="44"/>
      <c r="E760" s="44"/>
      <c r="F760" s="44"/>
      <c r="K760" s="44"/>
      <c r="L760" s="44"/>
      <c r="M760" s="44"/>
    </row>
    <row r="761" ht="15.75" customHeight="1">
      <c r="A761" s="44"/>
      <c r="B761" s="44"/>
      <c r="C761" s="44"/>
      <c r="D761" s="44"/>
      <c r="E761" s="44"/>
      <c r="F761" s="44"/>
      <c r="K761" s="44"/>
      <c r="L761" s="44"/>
      <c r="M761" s="44"/>
    </row>
    <row r="762" ht="15.75" customHeight="1">
      <c r="A762" s="44"/>
      <c r="B762" s="44"/>
      <c r="C762" s="44"/>
      <c r="D762" s="44"/>
      <c r="E762" s="44"/>
      <c r="F762" s="44"/>
      <c r="K762" s="44"/>
      <c r="L762" s="44"/>
      <c r="M762" s="44"/>
    </row>
    <row r="763" ht="15.75" customHeight="1">
      <c r="A763" s="44"/>
      <c r="B763" s="44"/>
      <c r="C763" s="44"/>
      <c r="D763" s="44"/>
      <c r="E763" s="44"/>
      <c r="F763" s="44"/>
      <c r="K763" s="44"/>
      <c r="L763" s="44"/>
      <c r="M763" s="44"/>
    </row>
    <row r="764" ht="15.75" customHeight="1">
      <c r="A764" s="44"/>
      <c r="B764" s="44"/>
      <c r="C764" s="44"/>
      <c r="D764" s="44"/>
      <c r="E764" s="44"/>
      <c r="F764" s="44"/>
      <c r="K764" s="44"/>
      <c r="L764" s="44"/>
      <c r="M764" s="44"/>
    </row>
    <row r="765" ht="15.75" customHeight="1">
      <c r="A765" s="44"/>
      <c r="B765" s="44"/>
      <c r="C765" s="44"/>
      <c r="D765" s="44"/>
      <c r="E765" s="44"/>
      <c r="F765" s="44"/>
      <c r="K765" s="44"/>
      <c r="L765" s="44"/>
      <c r="M765" s="44"/>
    </row>
    <row r="766" ht="15.75" customHeight="1">
      <c r="A766" s="44"/>
      <c r="B766" s="44"/>
      <c r="C766" s="44"/>
      <c r="D766" s="44"/>
      <c r="E766" s="44"/>
      <c r="F766" s="44"/>
      <c r="K766" s="44"/>
      <c r="L766" s="44"/>
      <c r="M766" s="44"/>
    </row>
    <row r="767" ht="15.75" customHeight="1">
      <c r="A767" s="44"/>
      <c r="B767" s="44"/>
      <c r="C767" s="44"/>
      <c r="D767" s="44"/>
      <c r="E767" s="44"/>
      <c r="F767" s="44"/>
      <c r="K767" s="44"/>
      <c r="L767" s="44"/>
      <c r="M767" s="44"/>
    </row>
    <row r="768" ht="15.75" customHeight="1">
      <c r="A768" s="44"/>
      <c r="B768" s="44"/>
      <c r="C768" s="44"/>
      <c r="D768" s="44"/>
      <c r="E768" s="44"/>
      <c r="F768" s="44"/>
      <c r="K768" s="44"/>
      <c r="L768" s="44"/>
      <c r="M768" s="44"/>
    </row>
    <row r="769" ht="15.75" customHeight="1">
      <c r="A769" s="44"/>
      <c r="B769" s="44"/>
      <c r="C769" s="44"/>
      <c r="D769" s="44"/>
      <c r="E769" s="44"/>
      <c r="F769" s="44"/>
      <c r="K769" s="44"/>
      <c r="L769" s="44"/>
      <c r="M769" s="44"/>
    </row>
    <row r="770" ht="15.75" customHeight="1">
      <c r="A770" s="44"/>
      <c r="B770" s="44"/>
      <c r="C770" s="44"/>
      <c r="D770" s="44"/>
      <c r="E770" s="44"/>
      <c r="F770" s="44"/>
      <c r="K770" s="44"/>
      <c r="L770" s="44"/>
      <c r="M770" s="44"/>
    </row>
    <row r="771" ht="15.75" customHeight="1">
      <c r="A771" s="44"/>
      <c r="B771" s="44"/>
      <c r="C771" s="44"/>
      <c r="D771" s="44"/>
      <c r="E771" s="44"/>
      <c r="F771" s="44"/>
      <c r="K771" s="44"/>
      <c r="L771" s="44"/>
      <c r="M771" s="44"/>
    </row>
    <row r="772" ht="15.75" customHeight="1">
      <c r="A772" s="44"/>
      <c r="B772" s="44"/>
      <c r="C772" s="44"/>
      <c r="D772" s="44"/>
      <c r="E772" s="44"/>
      <c r="F772" s="44"/>
      <c r="K772" s="44"/>
      <c r="L772" s="44"/>
      <c r="M772" s="44"/>
    </row>
    <row r="773" ht="15.75" customHeight="1">
      <c r="A773" s="44"/>
      <c r="B773" s="44"/>
      <c r="C773" s="44"/>
      <c r="D773" s="44"/>
      <c r="E773" s="44"/>
      <c r="F773" s="44"/>
      <c r="K773" s="44"/>
      <c r="L773" s="44"/>
      <c r="M773" s="44"/>
    </row>
    <row r="774" ht="15.75" customHeight="1">
      <c r="A774" s="44"/>
      <c r="B774" s="44"/>
      <c r="C774" s="44"/>
      <c r="D774" s="44"/>
      <c r="E774" s="44"/>
      <c r="F774" s="44"/>
      <c r="K774" s="44"/>
      <c r="L774" s="44"/>
      <c r="M774" s="44"/>
    </row>
    <row r="775" ht="15.75" customHeight="1">
      <c r="A775" s="44"/>
      <c r="B775" s="44"/>
      <c r="C775" s="44"/>
      <c r="D775" s="44"/>
      <c r="E775" s="44"/>
      <c r="F775" s="44"/>
      <c r="K775" s="44"/>
      <c r="L775" s="44"/>
      <c r="M775" s="44"/>
    </row>
    <row r="776" ht="15.75" customHeight="1">
      <c r="A776" s="44"/>
      <c r="B776" s="44"/>
      <c r="C776" s="44"/>
      <c r="D776" s="44"/>
      <c r="E776" s="44"/>
      <c r="F776" s="44"/>
      <c r="K776" s="44"/>
      <c r="L776" s="44"/>
      <c r="M776" s="44"/>
    </row>
    <row r="777" ht="15.75" customHeight="1">
      <c r="A777" s="44"/>
      <c r="B777" s="44"/>
      <c r="C777" s="44"/>
      <c r="D777" s="44"/>
      <c r="E777" s="44"/>
      <c r="F777" s="44"/>
      <c r="K777" s="44"/>
      <c r="L777" s="44"/>
      <c r="M777" s="44"/>
    </row>
    <row r="778" ht="15.75" customHeight="1">
      <c r="A778" s="44"/>
      <c r="B778" s="44"/>
      <c r="C778" s="44"/>
      <c r="D778" s="44"/>
      <c r="E778" s="44"/>
      <c r="F778" s="44"/>
      <c r="K778" s="44"/>
      <c r="L778" s="44"/>
      <c r="M778" s="44"/>
    </row>
    <row r="779" ht="15.75" customHeight="1">
      <c r="A779" s="44"/>
      <c r="B779" s="44"/>
      <c r="C779" s="44"/>
      <c r="D779" s="44"/>
      <c r="E779" s="44"/>
      <c r="F779" s="44"/>
      <c r="K779" s="44"/>
      <c r="L779" s="44"/>
      <c r="M779" s="44"/>
    </row>
    <row r="780" ht="15.75" customHeight="1">
      <c r="A780" s="44"/>
      <c r="B780" s="44"/>
      <c r="C780" s="44"/>
      <c r="D780" s="44"/>
      <c r="E780" s="44"/>
      <c r="F780" s="44"/>
      <c r="K780" s="44"/>
      <c r="L780" s="44"/>
      <c r="M780" s="44"/>
    </row>
    <row r="781" ht="15.75" customHeight="1">
      <c r="A781" s="44"/>
      <c r="B781" s="44"/>
      <c r="C781" s="44"/>
      <c r="D781" s="44"/>
      <c r="E781" s="44"/>
      <c r="F781" s="44"/>
      <c r="K781" s="44"/>
      <c r="L781" s="44"/>
      <c r="M781" s="44"/>
    </row>
    <row r="782" ht="15.75" customHeight="1">
      <c r="A782" s="44"/>
      <c r="B782" s="44"/>
      <c r="C782" s="44"/>
      <c r="D782" s="44"/>
      <c r="E782" s="44"/>
      <c r="F782" s="44"/>
      <c r="K782" s="44"/>
      <c r="L782" s="44"/>
      <c r="M782" s="44"/>
    </row>
    <row r="783" ht="15.75" customHeight="1">
      <c r="A783" s="44"/>
      <c r="B783" s="44"/>
      <c r="C783" s="44"/>
      <c r="D783" s="44"/>
      <c r="E783" s="44"/>
      <c r="F783" s="44"/>
      <c r="K783" s="44"/>
      <c r="L783" s="44"/>
      <c r="M783" s="44"/>
    </row>
    <row r="784" ht="15.75" customHeight="1">
      <c r="A784" s="44"/>
      <c r="B784" s="44"/>
      <c r="C784" s="44"/>
      <c r="D784" s="44"/>
      <c r="E784" s="44"/>
      <c r="F784" s="44"/>
      <c r="K784" s="44"/>
      <c r="L784" s="44"/>
      <c r="M784" s="44"/>
    </row>
    <row r="785" ht="15.75" customHeight="1">
      <c r="A785" s="44"/>
      <c r="B785" s="44"/>
      <c r="C785" s="44"/>
      <c r="D785" s="44"/>
      <c r="E785" s="44"/>
      <c r="F785" s="44"/>
      <c r="K785" s="44"/>
      <c r="L785" s="44"/>
      <c r="M785" s="44"/>
    </row>
    <row r="786" ht="15.75" customHeight="1">
      <c r="A786" s="44"/>
      <c r="B786" s="44"/>
      <c r="C786" s="44"/>
      <c r="D786" s="44"/>
      <c r="E786" s="44"/>
      <c r="F786" s="44"/>
      <c r="K786" s="44"/>
      <c r="L786" s="44"/>
      <c r="M786" s="44"/>
    </row>
    <row r="787" ht="15.75" customHeight="1">
      <c r="A787" s="44"/>
      <c r="B787" s="44"/>
      <c r="C787" s="44"/>
      <c r="D787" s="44"/>
      <c r="E787" s="44"/>
      <c r="F787" s="44"/>
      <c r="K787" s="44"/>
      <c r="L787" s="44"/>
      <c r="M787" s="44"/>
    </row>
    <row r="788" ht="15.75" customHeight="1">
      <c r="A788" s="44"/>
      <c r="B788" s="44"/>
      <c r="C788" s="44"/>
      <c r="D788" s="44"/>
      <c r="E788" s="44"/>
      <c r="F788" s="44"/>
      <c r="K788" s="44"/>
      <c r="L788" s="44"/>
      <c r="M788" s="44"/>
    </row>
    <row r="789" ht="15.75" customHeight="1">
      <c r="A789" s="44"/>
      <c r="B789" s="44"/>
      <c r="C789" s="44"/>
      <c r="D789" s="44"/>
      <c r="E789" s="44"/>
      <c r="F789" s="44"/>
      <c r="K789" s="44"/>
      <c r="L789" s="44"/>
      <c r="M789" s="44"/>
    </row>
    <row r="790" ht="15.75" customHeight="1">
      <c r="A790" s="44"/>
      <c r="B790" s="44"/>
      <c r="C790" s="44"/>
      <c r="D790" s="44"/>
      <c r="E790" s="44"/>
      <c r="F790" s="44"/>
      <c r="K790" s="44"/>
      <c r="L790" s="44"/>
      <c r="M790" s="44"/>
    </row>
    <row r="791" ht="15.75" customHeight="1">
      <c r="A791" s="44"/>
      <c r="B791" s="44"/>
      <c r="C791" s="44"/>
      <c r="D791" s="44"/>
      <c r="E791" s="44"/>
      <c r="F791" s="44"/>
      <c r="K791" s="44"/>
      <c r="L791" s="44"/>
      <c r="M791" s="44"/>
    </row>
    <row r="792" ht="15.75" customHeight="1">
      <c r="A792" s="44"/>
      <c r="B792" s="44"/>
      <c r="C792" s="44"/>
      <c r="D792" s="44"/>
      <c r="E792" s="44"/>
      <c r="F792" s="44"/>
      <c r="K792" s="44"/>
      <c r="L792" s="44"/>
      <c r="M792" s="44"/>
    </row>
    <row r="793" ht="15.75" customHeight="1">
      <c r="A793" s="44"/>
      <c r="B793" s="44"/>
      <c r="C793" s="44"/>
      <c r="D793" s="44"/>
      <c r="E793" s="44"/>
      <c r="F793" s="44"/>
      <c r="K793" s="44"/>
      <c r="L793" s="44"/>
      <c r="M793" s="44"/>
    </row>
    <row r="794" ht="15.75" customHeight="1">
      <c r="A794" s="44"/>
      <c r="B794" s="44"/>
      <c r="C794" s="44"/>
      <c r="D794" s="44"/>
      <c r="E794" s="44"/>
      <c r="F794" s="44"/>
      <c r="K794" s="44"/>
      <c r="L794" s="44"/>
      <c r="M794" s="44"/>
    </row>
    <row r="795" ht="15.75" customHeight="1">
      <c r="A795" s="44"/>
      <c r="B795" s="44"/>
      <c r="C795" s="44"/>
      <c r="D795" s="44"/>
      <c r="E795" s="44"/>
      <c r="F795" s="44"/>
      <c r="K795" s="44"/>
      <c r="L795" s="44"/>
      <c r="M795" s="44"/>
    </row>
    <row r="796" ht="15.75" customHeight="1">
      <c r="A796" s="44"/>
      <c r="B796" s="44"/>
      <c r="C796" s="44"/>
      <c r="D796" s="44"/>
      <c r="E796" s="44"/>
      <c r="F796" s="44"/>
      <c r="K796" s="44"/>
      <c r="L796" s="44"/>
      <c r="M796" s="44"/>
    </row>
    <row r="797" ht="15.75" customHeight="1">
      <c r="A797" s="44"/>
      <c r="B797" s="44"/>
      <c r="C797" s="44"/>
      <c r="D797" s="44"/>
      <c r="E797" s="44"/>
      <c r="F797" s="44"/>
      <c r="K797" s="44"/>
      <c r="L797" s="44"/>
      <c r="M797" s="44"/>
    </row>
    <row r="798" ht="15.75" customHeight="1">
      <c r="A798" s="44"/>
      <c r="B798" s="44"/>
      <c r="C798" s="44"/>
      <c r="D798" s="44"/>
      <c r="E798" s="44"/>
      <c r="F798" s="44"/>
      <c r="K798" s="44"/>
      <c r="L798" s="44"/>
      <c r="M798" s="44"/>
    </row>
    <row r="799" ht="15.75" customHeight="1">
      <c r="A799" s="44"/>
      <c r="B799" s="44"/>
      <c r="C799" s="44"/>
      <c r="D799" s="44"/>
      <c r="E799" s="44"/>
      <c r="F799" s="44"/>
      <c r="K799" s="44"/>
      <c r="L799" s="44"/>
      <c r="M799" s="44"/>
    </row>
    <row r="800" ht="15.75" customHeight="1">
      <c r="A800" s="44"/>
      <c r="B800" s="44"/>
      <c r="C800" s="44"/>
      <c r="D800" s="44"/>
      <c r="E800" s="44"/>
      <c r="F800" s="44"/>
      <c r="K800" s="44"/>
      <c r="L800" s="44"/>
      <c r="M800" s="44"/>
    </row>
    <row r="801" ht="15.75" customHeight="1">
      <c r="A801" s="44"/>
      <c r="B801" s="44"/>
      <c r="C801" s="44"/>
      <c r="D801" s="44"/>
      <c r="E801" s="44"/>
      <c r="F801" s="44"/>
      <c r="K801" s="44"/>
      <c r="L801" s="44"/>
      <c r="M801" s="44"/>
    </row>
    <row r="802" ht="15.75" customHeight="1">
      <c r="A802" s="44"/>
      <c r="B802" s="44"/>
      <c r="C802" s="44"/>
      <c r="D802" s="44"/>
      <c r="E802" s="44"/>
      <c r="F802" s="44"/>
      <c r="K802" s="44"/>
      <c r="L802" s="44"/>
      <c r="M802" s="44"/>
    </row>
    <row r="803" ht="15.75" customHeight="1">
      <c r="A803" s="44"/>
      <c r="B803" s="44"/>
      <c r="C803" s="44"/>
      <c r="D803" s="44"/>
      <c r="E803" s="44"/>
      <c r="F803" s="44"/>
      <c r="K803" s="44"/>
      <c r="L803" s="44"/>
      <c r="M803" s="44"/>
    </row>
    <row r="804" ht="15.75" customHeight="1">
      <c r="A804" s="44"/>
      <c r="B804" s="44"/>
      <c r="C804" s="44"/>
      <c r="D804" s="44"/>
      <c r="E804" s="44"/>
      <c r="F804" s="44"/>
      <c r="K804" s="44"/>
      <c r="L804" s="44"/>
      <c r="M804" s="44"/>
    </row>
    <row r="805" ht="15.75" customHeight="1">
      <c r="A805" s="44"/>
      <c r="B805" s="44"/>
      <c r="C805" s="44"/>
      <c r="D805" s="44"/>
      <c r="E805" s="44"/>
      <c r="F805" s="44"/>
      <c r="K805" s="44"/>
      <c r="L805" s="44"/>
      <c r="M805" s="44"/>
    </row>
    <row r="806" ht="15.75" customHeight="1">
      <c r="A806" s="44"/>
      <c r="B806" s="44"/>
      <c r="C806" s="44"/>
      <c r="D806" s="44"/>
      <c r="E806" s="44"/>
      <c r="F806" s="44"/>
      <c r="K806" s="44"/>
      <c r="L806" s="44"/>
      <c r="M806" s="44"/>
    </row>
    <row r="807" ht="15.75" customHeight="1">
      <c r="A807" s="44"/>
      <c r="B807" s="44"/>
      <c r="C807" s="44"/>
      <c r="D807" s="44"/>
      <c r="E807" s="44"/>
      <c r="F807" s="44"/>
      <c r="K807" s="44"/>
      <c r="L807" s="44"/>
      <c r="M807" s="44"/>
    </row>
    <row r="808" ht="15.75" customHeight="1">
      <c r="A808" s="44"/>
      <c r="B808" s="44"/>
      <c r="C808" s="44"/>
      <c r="D808" s="44"/>
      <c r="E808" s="44"/>
      <c r="F808" s="44"/>
      <c r="K808" s="44"/>
      <c r="L808" s="44"/>
      <c r="M808" s="44"/>
    </row>
    <row r="809" ht="15.75" customHeight="1">
      <c r="A809" s="44"/>
      <c r="B809" s="44"/>
      <c r="C809" s="44"/>
      <c r="D809" s="44"/>
      <c r="E809" s="44"/>
      <c r="F809" s="44"/>
      <c r="K809" s="44"/>
      <c r="L809" s="44"/>
      <c r="M809" s="44"/>
    </row>
    <row r="810" ht="15.75" customHeight="1">
      <c r="A810" s="44"/>
      <c r="B810" s="44"/>
      <c r="C810" s="44"/>
      <c r="D810" s="44"/>
      <c r="E810" s="44"/>
      <c r="F810" s="44"/>
      <c r="K810" s="44"/>
      <c r="L810" s="44"/>
      <c r="M810" s="44"/>
    </row>
    <row r="811" ht="15.75" customHeight="1">
      <c r="A811" s="44"/>
      <c r="B811" s="44"/>
      <c r="C811" s="44"/>
      <c r="D811" s="44"/>
      <c r="E811" s="44"/>
      <c r="F811" s="44"/>
      <c r="K811" s="44"/>
      <c r="L811" s="44"/>
      <c r="M811" s="44"/>
    </row>
    <row r="812" ht="15.75" customHeight="1">
      <c r="A812" s="44"/>
      <c r="B812" s="44"/>
      <c r="C812" s="44"/>
      <c r="D812" s="44"/>
      <c r="E812" s="44"/>
      <c r="F812" s="44"/>
      <c r="K812" s="44"/>
      <c r="L812" s="44"/>
      <c r="M812" s="44"/>
    </row>
    <row r="813" ht="15.75" customHeight="1">
      <c r="A813" s="44"/>
      <c r="B813" s="44"/>
      <c r="C813" s="44"/>
      <c r="D813" s="44"/>
      <c r="E813" s="44"/>
      <c r="F813" s="44"/>
      <c r="K813" s="44"/>
      <c r="L813" s="44"/>
      <c r="M813" s="44"/>
    </row>
    <row r="814" ht="15.75" customHeight="1">
      <c r="A814" s="44"/>
      <c r="B814" s="44"/>
      <c r="C814" s="44"/>
      <c r="D814" s="44"/>
      <c r="E814" s="44"/>
      <c r="F814" s="44"/>
      <c r="K814" s="44"/>
      <c r="L814" s="44"/>
      <c r="M814" s="44"/>
    </row>
    <row r="815" ht="15.75" customHeight="1">
      <c r="A815" s="44"/>
      <c r="B815" s="44"/>
      <c r="C815" s="44"/>
      <c r="D815" s="44"/>
      <c r="E815" s="44"/>
      <c r="F815" s="44"/>
      <c r="K815" s="44"/>
      <c r="L815" s="44"/>
      <c r="M815" s="44"/>
    </row>
    <row r="816" ht="15.75" customHeight="1">
      <c r="A816" s="44"/>
      <c r="B816" s="44"/>
      <c r="C816" s="44"/>
      <c r="D816" s="44"/>
      <c r="E816" s="44"/>
      <c r="F816" s="44"/>
      <c r="K816" s="44"/>
      <c r="L816" s="44"/>
      <c r="M816" s="44"/>
    </row>
    <row r="817" ht="15.75" customHeight="1">
      <c r="A817" s="44"/>
      <c r="B817" s="44"/>
      <c r="C817" s="44"/>
      <c r="D817" s="44"/>
      <c r="E817" s="44"/>
      <c r="F817" s="44"/>
      <c r="K817" s="44"/>
      <c r="L817" s="44"/>
      <c r="M817" s="44"/>
    </row>
    <row r="818" ht="15.75" customHeight="1">
      <c r="A818" s="44"/>
      <c r="B818" s="44"/>
      <c r="C818" s="44"/>
      <c r="D818" s="44"/>
      <c r="E818" s="44"/>
      <c r="F818" s="44"/>
      <c r="K818" s="44"/>
      <c r="L818" s="44"/>
      <c r="M818" s="44"/>
    </row>
    <row r="819" ht="15.75" customHeight="1">
      <c r="A819" s="44"/>
      <c r="B819" s="44"/>
      <c r="C819" s="44"/>
      <c r="D819" s="44"/>
      <c r="E819" s="44"/>
      <c r="F819" s="44"/>
      <c r="K819" s="44"/>
      <c r="L819" s="44"/>
      <c r="M819" s="44"/>
    </row>
    <row r="820" ht="15.75" customHeight="1">
      <c r="A820" s="44"/>
      <c r="B820" s="44"/>
      <c r="C820" s="44"/>
      <c r="D820" s="44"/>
      <c r="E820" s="44"/>
      <c r="F820" s="44"/>
      <c r="K820" s="44"/>
      <c r="L820" s="44"/>
      <c r="M820" s="44"/>
    </row>
    <row r="821" ht="15.75" customHeight="1">
      <c r="A821" s="44"/>
      <c r="B821" s="44"/>
      <c r="C821" s="44"/>
      <c r="D821" s="44"/>
      <c r="E821" s="44"/>
      <c r="F821" s="44"/>
      <c r="K821" s="44"/>
      <c r="L821" s="44"/>
      <c r="M821" s="44"/>
    </row>
    <row r="822" ht="15.75" customHeight="1">
      <c r="A822" s="44"/>
      <c r="B822" s="44"/>
      <c r="C822" s="44"/>
      <c r="D822" s="44"/>
      <c r="E822" s="44"/>
      <c r="F822" s="44"/>
      <c r="K822" s="44"/>
      <c r="L822" s="44"/>
      <c r="M822" s="44"/>
    </row>
    <row r="823" ht="15.75" customHeight="1">
      <c r="A823" s="44"/>
      <c r="B823" s="44"/>
      <c r="C823" s="44"/>
      <c r="D823" s="44"/>
      <c r="E823" s="44"/>
      <c r="F823" s="44"/>
      <c r="K823" s="44"/>
      <c r="L823" s="44"/>
      <c r="M823" s="44"/>
    </row>
    <row r="824" ht="15.75" customHeight="1">
      <c r="A824" s="44"/>
      <c r="B824" s="44"/>
      <c r="C824" s="44"/>
      <c r="D824" s="44"/>
      <c r="E824" s="44"/>
      <c r="F824" s="44"/>
      <c r="K824" s="44"/>
      <c r="L824" s="44"/>
      <c r="M824" s="44"/>
    </row>
    <row r="825" ht="15.75" customHeight="1">
      <c r="A825" s="44"/>
      <c r="B825" s="44"/>
      <c r="C825" s="44"/>
      <c r="D825" s="44"/>
      <c r="E825" s="44"/>
      <c r="F825" s="44"/>
      <c r="K825" s="44"/>
      <c r="L825" s="44"/>
      <c r="M825" s="44"/>
    </row>
    <row r="826" ht="15.75" customHeight="1">
      <c r="A826" s="44"/>
      <c r="B826" s="44"/>
      <c r="C826" s="44"/>
      <c r="D826" s="44"/>
      <c r="E826" s="44"/>
      <c r="F826" s="44"/>
      <c r="K826" s="44"/>
      <c r="L826" s="44"/>
      <c r="M826" s="44"/>
    </row>
    <row r="827" ht="15.75" customHeight="1">
      <c r="A827" s="44"/>
      <c r="B827" s="44"/>
      <c r="C827" s="44"/>
      <c r="D827" s="44"/>
      <c r="E827" s="44"/>
      <c r="F827" s="44"/>
      <c r="K827" s="44"/>
      <c r="L827" s="44"/>
      <c r="M827" s="44"/>
    </row>
    <row r="828" ht="15.75" customHeight="1">
      <c r="A828" s="44"/>
      <c r="B828" s="44"/>
      <c r="C828" s="44"/>
      <c r="D828" s="44"/>
      <c r="E828" s="44"/>
      <c r="F828" s="44"/>
      <c r="K828" s="44"/>
      <c r="L828" s="44"/>
      <c r="M828" s="44"/>
    </row>
    <row r="829" ht="15.75" customHeight="1">
      <c r="A829" s="44"/>
      <c r="B829" s="44"/>
      <c r="C829" s="44"/>
      <c r="D829" s="44"/>
      <c r="E829" s="44"/>
      <c r="F829" s="44"/>
      <c r="K829" s="44"/>
      <c r="L829" s="44"/>
      <c r="M829" s="44"/>
    </row>
    <row r="830" ht="15.75" customHeight="1">
      <c r="A830" s="44"/>
      <c r="B830" s="44"/>
      <c r="C830" s="44"/>
      <c r="D830" s="44"/>
      <c r="E830" s="44"/>
      <c r="F830" s="44"/>
      <c r="K830" s="44"/>
      <c r="L830" s="44"/>
      <c r="M830" s="44"/>
    </row>
    <row r="831" ht="15.75" customHeight="1">
      <c r="A831" s="44"/>
      <c r="B831" s="44"/>
      <c r="C831" s="44"/>
      <c r="D831" s="44"/>
      <c r="E831" s="44"/>
      <c r="F831" s="44"/>
      <c r="K831" s="44"/>
      <c r="L831" s="44"/>
      <c r="M831" s="44"/>
    </row>
    <row r="832" ht="15.75" customHeight="1">
      <c r="A832" s="44"/>
      <c r="B832" s="44"/>
      <c r="C832" s="44"/>
      <c r="D832" s="44"/>
      <c r="E832" s="44"/>
      <c r="F832" s="44"/>
      <c r="K832" s="44"/>
      <c r="L832" s="44"/>
      <c r="M832" s="44"/>
    </row>
    <row r="833" ht="15.75" customHeight="1">
      <c r="A833" s="44"/>
      <c r="B833" s="44"/>
      <c r="C833" s="44"/>
      <c r="D833" s="44"/>
      <c r="E833" s="44"/>
      <c r="F833" s="44"/>
      <c r="K833" s="44"/>
      <c r="L833" s="44"/>
      <c r="M833" s="44"/>
    </row>
    <row r="834" ht="15.75" customHeight="1">
      <c r="A834" s="44"/>
      <c r="B834" s="44"/>
      <c r="C834" s="44"/>
      <c r="D834" s="44"/>
      <c r="E834" s="44"/>
      <c r="F834" s="44"/>
      <c r="K834" s="44"/>
      <c r="L834" s="44"/>
      <c r="M834" s="44"/>
    </row>
    <row r="835" ht="15.75" customHeight="1">
      <c r="A835" s="44"/>
      <c r="B835" s="44"/>
      <c r="C835" s="44"/>
      <c r="D835" s="44"/>
      <c r="E835" s="44"/>
      <c r="F835" s="44"/>
      <c r="K835" s="44"/>
      <c r="L835" s="44"/>
      <c r="M835" s="44"/>
    </row>
    <row r="836" ht="15.75" customHeight="1">
      <c r="A836" s="44"/>
      <c r="B836" s="44"/>
      <c r="C836" s="44"/>
      <c r="D836" s="44"/>
      <c r="E836" s="44"/>
      <c r="F836" s="44"/>
      <c r="K836" s="44"/>
      <c r="L836" s="44"/>
      <c r="M836" s="44"/>
    </row>
    <row r="837" ht="15.75" customHeight="1">
      <c r="A837" s="44"/>
      <c r="B837" s="44"/>
      <c r="C837" s="44"/>
      <c r="D837" s="44"/>
      <c r="E837" s="44"/>
      <c r="F837" s="44"/>
      <c r="K837" s="44"/>
      <c r="L837" s="44"/>
      <c r="M837" s="44"/>
    </row>
    <row r="838" ht="15.75" customHeight="1">
      <c r="A838" s="44"/>
      <c r="B838" s="44"/>
      <c r="C838" s="44"/>
      <c r="D838" s="44"/>
      <c r="E838" s="44"/>
      <c r="F838" s="44"/>
      <c r="K838" s="44"/>
      <c r="L838" s="44"/>
      <c r="M838" s="44"/>
    </row>
    <row r="839" ht="15.75" customHeight="1">
      <c r="A839" s="44"/>
      <c r="B839" s="44"/>
      <c r="C839" s="44"/>
      <c r="D839" s="44"/>
      <c r="E839" s="44"/>
      <c r="F839" s="44"/>
      <c r="K839" s="44"/>
      <c r="L839" s="44"/>
      <c r="M839" s="44"/>
    </row>
    <row r="840" ht="15.75" customHeight="1">
      <c r="A840" s="44"/>
      <c r="B840" s="44"/>
      <c r="C840" s="44"/>
      <c r="D840" s="44"/>
      <c r="E840" s="44"/>
      <c r="F840" s="44"/>
      <c r="K840" s="44"/>
      <c r="L840" s="44"/>
      <c r="M840" s="44"/>
    </row>
    <row r="841" ht="15.75" customHeight="1">
      <c r="A841" s="44"/>
      <c r="B841" s="44"/>
      <c r="C841" s="44"/>
      <c r="D841" s="44"/>
      <c r="E841" s="44"/>
      <c r="F841" s="44"/>
      <c r="K841" s="44"/>
      <c r="L841" s="44"/>
      <c r="M841" s="44"/>
    </row>
    <row r="842" ht="15.75" customHeight="1">
      <c r="A842" s="44"/>
      <c r="B842" s="44"/>
      <c r="C842" s="44"/>
      <c r="D842" s="44"/>
      <c r="E842" s="44"/>
      <c r="F842" s="44"/>
      <c r="K842" s="44"/>
      <c r="L842" s="44"/>
      <c r="M842" s="44"/>
    </row>
    <row r="843" ht="15.75" customHeight="1">
      <c r="A843" s="44"/>
      <c r="B843" s="44"/>
      <c r="C843" s="44"/>
      <c r="D843" s="44"/>
      <c r="E843" s="44"/>
      <c r="F843" s="44"/>
      <c r="K843" s="44"/>
      <c r="L843" s="44"/>
      <c r="M843" s="44"/>
    </row>
    <row r="844" ht="15.75" customHeight="1">
      <c r="A844" s="44"/>
      <c r="B844" s="44"/>
      <c r="C844" s="44"/>
      <c r="D844" s="44"/>
      <c r="E844" s="44"/>
      <c r="F844" s="44"/>
      <c r="K844" s="44"/>
      <c r="L844" s="44"/>
      <c r="M844" s="44"/>
    </row>
    <row r="845" ht="15.75" customHeight="1">
      <c r="A845" s="44"/>
      <c r="B845" s="44"/>
      <c r="C845" s="44"/>
      <c r="D845" s="44"/>
      <c r="E845" s="44"/>
      <c r="F845" s="44"/>
      <c r="K845" s="44"/>
      <c r="L845" s="44"/>
      <c r="M845" s="44"/>
    </row>
    <row r="846" ht="15.75" customHeight="1">
      <c r="A846" s="44"/>
      <c r="B846" s="44"/>
      <c r="C846" s="44"/>
      <c r="D846" s="44"/>
      <c r="E846" s="44"/>
      <c r="F846" s="44"/>
      <c r="K846" s="44"/>
      <c r="L846" s="44"/>
      <c r="M846" s="44"/>
    </row>
    <row r="847" ht="15.75" customHeight="1">
      <c r="A847" s="44"/>
      <c r="B847" s="44"/>
      <c r="C847" s="44"/>
      <c r="D847" s="44"/>
      <c r="E847" s="44"/>
      <c r="F847" s="44"/>
      <c r="K847" s="44"/>
      <c r="L847" s="44"/>
      <c r="M847" s="44"/>
    </row>
    <row r="848" ht="15.75" customHeight="1">
      <c r="A848" s="44"/>
      <c r="B848" s="44"/>
      <c r="C848" s="44"/>
      <c r="D848" s="44"/>
      <c r="E848" s="44"/>
      <c r="F848" s="44"/>
      <c r="K848" s="44"/>
      <c r="L848" s="44"/>
      <c r="M848" s="44"/>
    </row>
    <row r="849" ht="15.75" customHeight="1">
      <c r="A849" s="44"/>
      <c r="B849" s="44"/>
      <c r="C849" s="44"/>
      <c r="D849" s="44"/>
      <c r="E849" s="44"/>
      <c r="F849" s="44"/>
      <c r="K849" s="44"/>
      <c r="L849" s="44"/>
      <c r="M849" s="44"/>
    </row>
    <row r="850" ht="15.75" customHeight="1">
      <c r="A850" s="44"/>
      <c r="B850" s="44"/>
      <c r="C850" s="44"/>
      <c r="D850" s="44"/>
      <c r="E850" s="44"/>
      <c r="F850" s="44"/>
      <c r="K850" s="44"/>
      <c r="L850" s="44"/>
      <c r="M850" s="44"/>
    </row>
    <row r="851" ht="15.75" customHeight="1">
      <c r="A851" s="44"/>
      <c r="B851" s="44"/>
      <c r="C851" s="44"/>
      <c r="D851" s="44"/>
      <c r="E851" s="44"/>
      <c r="F851" s="44"/>
      <c r="K851" s="44"/>
      <c r="L851" s="44"/>
      <c r="M851" s="44"/>
    </row>
    <row r="852" ht="15.75" customHeight="1">
      <c r="A852" s="44"/>
      <c r="B852" s="44"/>
      <c r="C852" s="44"/>
      <c r="D852" s="44"/>
      <c r="E852" s="44"/>
      <c r="F852" s="44"/>
      <c r="K852" s="44"/>
      <c r="L852" s="44"/>
      <c r="M852" s="44"/>
    </row>
    <row r="853" ht="15.75" customHeight="1">
      <c r="A853" s="44"/>
      <c r="B853" s="44"/>
      <c r="C853" s="44"/>
      <c r="D853" s="44"/>
      <c r="E853" s="44"/>
      <c r="F853" s="44"/>
      <c r="K853" s="44"/>
      <c r="L853" s="44"/>
      <c r="M853" s="44"/>
    </row>
    <row r="854" ht="15.75" customHeight="1">
      <c r="A854" s="44"/>
      <c r="B854" s="44"/>
      <c r="C854" s="44"/>
      <c r="D854" s="44"/>
      <c r="E854" s="44"/>
      <c r="F854" s="44"/>
      <c r="K854" s="44"/>
      <c r="L854" s="44"/>
      <c r="M854" s="44"/>
    </row>
    <row r="855" ht="15.75" customHeight="1">
      <c r="A855" s="44"/>
      <c r="B855" s="44"/>
      <c r="C855" s="44"/>
      <c r="D855" s="44"/>
      <c r="E855" s="44"/>
      <c r="F855" s="44"/>
      <c r="K855" s="44"/>
      <c r="L855" s="44"/>
      <c r="M855" s="44"/>
    </row>
    <row r="856" ht="15.75" customHeight="1">
      <c r="A856" s="44"/>
      <c r="B856" s="44"/>
      <c r="C856" s="44"/>
      <c r="D856" s="44"/>
      <c r="E856" s="44"/>
      <c r="F856" s="44"/>
      <c r="K856" s="44"/>
      <c r="L856" s="44"/>
      <c r="M856" s="44"/>
    </row>
    <row r="857" ht="15.75" customHeight="1">
      <c r="A857" s="44"/>
      <c r="B857" s="44"/>
      <c r="C857" s="44"/>
      <c r="D857" s="44"/>
      <c r="E857" s="44"/>
      <c r="F857" s="44"/>
      <c r="K857" s="44"/>
      <c r="L857" s="44"/>
      <c r="M857" s="44"/>
    </row>
    <row r="858" ht="15.75" customHeight="1">
      <c r="A858" s="44"/>
      <c r="B858" s="44"/>
      <c r="C858" s="44"/>
      <c r="D858" s="44"/>
      <c r="E858" s="44"/>
      <c r="F858" s="44"/>
      <c r="K858" s="44"/>
      <c r="L858" s="44"/>
      <c r="M858" s="44"/>
    </row>
    <row r="859" ht="15.75" customHeight="1">
      <c r="A859" s="44"/>
      <c r="B859" s="44"/>
      <c r="C859" s="44"/>
      <c r="D859" s="44"/>
      <c r="E859" s="44"/>
      <c r="F859" s="44"/>
      <c r="K859" s="44"/>
      <c r="L859" s="44"/>
      <c r="M859" s="44"/>
    </row>
    <row r="860" ht="15.75" customHeight="1">
      <c r="A860" s="44"/>
      <c r="B860" s="44"/>
      <c r="C860" s="44"/>
      <c r="D860" s="44"/>
      <c r="E860" s="44"/>
      <c r="F860" s="44"/>
      <c r="K860" s="44"/>
      <c r="L860" s="44"/>
      <c r="M860" s="44"/>
    </row>
    <row r="861" ht="15.75" customHeight="1">
      <c r="A861" s="44"/>
      <c r="B861" s="44"/>
      <c r="C861" s="44"/>
      <c r="D861" s="44"/>
      <c r="E861" s="44"/>
      <c r="F861" s="44"/>
      <c r="K861" s="44"/>
      <c r="L861" s="44"/>
      <c r="M861" s="44"/>
    </row>
    <row r="862" ht="15.75" customHeight="1">
      <c r="A862" s="44"/>
      <c r="B862" s="44"/>
      <c r="C862" s="44"/>
      <c r="D862" s="44"/>
      <c r="E862" s="44"/>
      <c r="F862" s="44"/>
      <c r="K862" s="44"/>
      <c r="L862" s="44"/>
      <c r="M862" s="44"/>
    </row>
    <row r="863" ht="15.75" customHeight="1">
      <c r="A863" s="44"/>
      <c r="B863" s="44"/>
      <c r="C863" s="44"/>
      <c r="D863" s="44"/>
      <c r="E863" s="44"/>
      <c r="F863" s="44"/>
      <c r="K863" s="44"/>
      <c r="L863" s="44"/>
      <c r="M863" s="44"/>
    </row>
    <row r="864" ht="15.75" customHeight="1">
      <c r="A864" s="44"/>
      <c r="B864" s="44"/>
      <c r="C864" s="44"/>
      <c r="D864" s="44"/>
      <c r="E864" s="44"/>
      <c r="F864" s="44"/>
      <c r="K864" s="44"/>
      <c r="L864" s="44"/>
      <c r="M864" s="44"/>
    </row>
    <row r="865" ht="15.75" customHeight="1">
      <c r="A865" s="44"/>
      <c r="B865" s="44"/>
      <c r="C865" s="44"/>
      <c r="D865" s="44"/>
      <c r="E865" s="44"/>
      <c r="F865" s="44"/>
      <c r="K865" s="44"/>
      <c r="L865" s="44"/>
      <c r="M865" s="44"/>
    </row>
    <row r="866" ht="15.75" customHeight="1">
      <c r="A866" s="44"/>
      <c r="B866" s="44"/>
      <c r="C866" s="44"/>
      <c r="D866" s="44"/>
      <c r="E866" s="44"/>
      <c r="F866" s="44"/>
      <c r="K866" s="44"/>
      <c r="L866" s="44"/>
      <c r="M866" s="44"/>
    </row>
    <row r="867" ht="15.75" customHeight="1">
      <c r="A867" s="44"/>
      <c r="B867" s="44"/>
      <c r="C867" s="44"/>
      <c r="D867" s="44"/>
      <c r="E867" s="44"/>
      <c r="F867" s="44"/>
      <c r="K867" s="44"/>
      <c r="L867" s="44"/>
      <c r="M867" s="44"/>
    </row>
    <row r="868" ht="15.75" customHeight="1">
      <c r="A868" s="44"/>
      <c r="B868" s="44"/>
      <c r="C868" s="44"/>
      <c r="D868" s="44"/>
      <c r="E868" s="44"/>
      <c r="F868" s="44"/>
      <c r="K868" s="44"/>
      <c r="L868" s="44"/>
      <c r="M868" s="44"/>
    </row>
    <row r="869" ht="15.75" customHeight="1">
      <c r="A869" s="44"/>
      <c r="B869" s="44"/>
      <c r="C869" s="44"/>
      <c r="D869" s="44"/>
      <c r="E869" s="44"/>
      <c r="F869" s="44"/>
      <c r="K869" s="44"/>
      <c r="L869" s="44"/>
      <c r="M869" s="44"/>
    </row>
    <row r="870" ht="15.75" customHeight="1">
      <c r="A870" s="44"/>
      <c r="B870" s="44"/>
      <c r="C870" s="44"/>
      <c r="D870" s="44"/>
      <c r="E870" s="44"/>
      <c r="F870" s="44"/>
      <c r="K870" s="44"/>
      <c r="L870" s="44"/>
      <c r="M870" s="44"/>
    </row>
    <row r="871" ht="15.75" customHeight="1">
      <c r="A871" s="44"/>
      <c r="B871" s="44"/>
      <c r="C871" s="44"/>
      <c r="D871" s="44"/>
      <c r="E871" s="44"/>
      <c r="F871" s="44"/>
      <c r="K871" s="44"/>
      <c r="L871" s="44"/>
      <c r="M871" s="44"/>
    </row>
    <row r="872" ht="15.75" customHeight="1">
      <c r="A872" s="44"/>
      <c r="B872" s="44"/>
      <c r="C872" s="44"/>
      <c r="D872" s="44"/>
      <c r="E872" s="44"/>
      <c r="F872" s="44"/>
      <c r="K872" s="44"/>
      <c r="L872" s="44"/>
      <c r="M872" s="44"/>
    </row>
    <row r="873" ht="15.75" customHeight="1">
      <c r="A873" s="44"/>
      <c r="B873" s="44"/>
      <c r="C873" s="44"/>
      <c r="D873" s="44"/>
      <c r="E873" s="44"/>
      <c r="F873" s="44"/>
      <c r="K873" s="44"/>
      <c r="L873" s="44"/>
      <c r="M873" s="44"/>
    </row>
    <row r="874" ht="15.75" customHeight="1">
      <c r="A874" s="44"/>
      <c r="B874" s="44"/>
      <c r="C874" s="44"/>
      <c r="D874" s="44"/>
      <c r="E874" s="44"/>
      <c r="F874" s="44"/>
      <c r="K874" s="44"/>
      <c r="L874" s="44"/>
      <c r="M874" s="44"/>
    </row>
    <row r="875" ht="15.75" customHeight="1">
      <c r="A875" s="44"/>
      <c r="B875" s="44"/>
      <c r="C875" s="44"/>
      <c r="D875" s="44"/>
      <c r="E875" s="44"/>
      <c r="F875" s="44"/>
      <c r="K875" s="44"/>
      <c r="L875" s="44"/>
      <c r="M875" s="44"/>
    </row>
    <row r="876" ht="15.75" customHeight="1">
      <c r="A876" s="44"/>
      <c r="B876" s="44"/>
      <c r="C876" s="44"/>
      <c r="D876" s="44"/>
      <c r="E876" s="44"/>
      <c r="F876" s="44"/>
      <c r="K876" s="44"/>
      <c r="L876" s="44"/>
      <c r="M876" s="44"/>
    </row>
    <row r="877" ht="15.75" customHeight="1">
      <c r="A877" s="44"/>
      <c r="B877" s="44"/>
      <c r="C877" s="44"/>
      <c r="D877" s="44"/>
      <c r="E877" s="44"/>
      <c r="F877" s="44"/>
      <c r="K877" s="44"/>
      <c r="L877" s="44"/>
      <c r="M877" s="44"/>
    </row>
    <row r="878" ht="15.75" customHeight="1">
      <c r="A878" s="44"/>
      <c r="B878" s="44"/>
      <c r="C878" s="44"/>
      <c r="D878" s="44"/>
      <c r="E878" s="44"/>
      <c r="F878" s="44"/>
      <c r="K878" s="44"/>
      <c r="L878" s="44"/>
      <c r="M878" s="44"/>
    </row>
    <row r="879" ht="15.75" customHeight="1">
      <c r="A879" s="44"/>
      <c r="B879" s="44"/>
      <c r="C879" s="44"/>
      <c r="D879" s="44"/>
      <c r="E879" s="44"/>
      <c r="F879" s="44"/>
      <c r="K879" s="44"/>
      <c r="L879" s="44"/>
      <c r="M879" s="44"/>
    </row>
    <row r="880" ht="15.75" customHeight="1">
      <c r="A880" s="44"/>
      <c r="B880" s="44"/>
      <c r="C880" s="44"/>
      <c r="D880" s="44"/>
      <c r="E880" s="44"/>
      <c r="F880" s="44"/>
      <c r="K880" s="44"/>
      <c r="L880" s="44"/>
      <c r="M880" s="44"/>
    </row>
    <row r="881" ht="15.75" customHeight="1">
      <c r="A881" s="44"/>
      <c r="B881" s="44"/>
      <c r="C881" s="44"/>
      <c r="D881" s="44"/>
      <c r="E881" s="44"/>
      <c r="F881" s="44"/>
      <c r="K881" s="44"/>
      <c r="L881" s="44"/>
      <c r="M881" s="44"/>
    </row>
    <row r="882" ht="15.75" customHeight="1">
      <c r="A882" s="44"/>
      <c r="B882" s="44"/>
      <c r="C882" s="44"/>
      <c r="D882" s="44"/>
      <c r="E882" s="44"/>
      <c r="F882" s="44"/>
      <c r="K882" s="44"/>
      <c r="L882" s="44"/>
      <c r="M882" s="44"/>
    </row>
    <row r="883" ht="15.75" customHeight="1">
      <c r="A883" s="44"/>
      <c r="B883" s="44"/>
      <c r="C883" s="44"/>
      <c r="D883" s="44"/>
      <c r="E883" s="44"/>
      <c r="F883" s="44"/>
      <c r="K883" s="44"/>
      <c r="L883" s="44"/>
      <c r="M883" s="44"/>
    </row>
    <row r="884" ht="15.75" customHeight="1">
      <c r="A884" s="44"/>
      <c r="B884" s="44"/>
      <c r="C884" s="44"/>
      <c r="D884" s="44"/>
      <c r="E884" s="44"/>
      <c r="F884" s="44"/>
      <c r="K884" s="44"/>
      <c r="L884" s="44"/>
      <c r="M884" s="44"/>
    </row>
    <row r="885" ht="15.75" customHeight="1">
      <c r="A885" s="44"/>
      <c r="B885" s="44"/>
      <c r="C885" s="44"/>
      <c r="D885" s="44"/>
      <c r="E885" s="44"/>
      <c r="F885" s="44"/>
      <c r="K885" s="44"/>
      <c r="L885" s="44"/>
      <c r="M885" s="44"/>
    </row>
    <row r="886" ht="15.75" customHeight="1">
      <c r="A886" s="44"/>
      <c r="B886" s="44"/>
      <c r="C886" s="44"/>
      <c r="D886" s="44"/>
      <c r="E886" s="44"/>
      <c r="F886" s="44"/>
      <c r="K886" s="44"/>
      <c r="L886" s="44"/>
      <c r="M886" s="44"/>
    </row>
    <row r="887" ht="15.75" customHeight="1">
      <c r="A887" s="44"/>
      <c r="B887" s="44"/>
      <c r="C887" s="44"/>
      <c r="D887" s="44"/>
      <c r="E887" s="44"/>
      <c r="F887" s="44"/>
      <c r="K887" s="44"/>
      <c r="L887" s="44"/>
      <c r="M887" s="44"/>
    </row>
    <row r="888" ht="15.75" customHeight="1">
      <c r="A888" s="44"/>
      <c r="B888" s="44"/>
      <c r="C888" s="44"/>
      <c r="D888" s="44"/>
      <c r="E888" s="44"/>
      <c r="F888" s="44"/>
      <c r="K888" s="44"/>
      <c r="L888" s="44"/>
      <c r="M888" s="44"/>
    </row>
    <row r="889" ht="15.75" customHeight="1">
      <c r="A889" s="44"/>
      <c r="B889" s="44"/>
      <c r="C889" s="44"/>
      <c r="D889" s="44"/>
      <c r="E889" s="44"/>
      <c r="F889" s="44"/>
      <c r="K889" s="44"/>
      <c r="L889" s="44"/>
      <c r="M889" s="44"/>
    </row>
    <row r="890" ht="15.75" customHeight="1">
      <c r="A890" s="44"/>
      <c r="B890" s="44"/>
      <c r="C890" s="44"/>
      <c r="D890" s="44"/>
      <c r="E890" s="44"/>
      <c r="F890" s="44"/>
      <c r="K890" s="44"/>
      <c r="L890" s="44"/>
      <c r="M890" s="44"/>
    </row>
    <row r="891" ht="15.75" customHeight="1">
      <c r="A891" s="44"/>
      <c r="B891" s="44"/>
      <c r="C891" s="44"/>
      <c r="D891" s="44"/>
      <c r="E891" s="44"/>
      <c r="F891" s="44"/>
      <c r="K891" s="44"/>
      <c r="L891" s="44"/>
      <c r="M891" s="44"/>
    </row>
    <row r="892" ht="15.75" customHeight="1">
      <c r="A892" s="44"/>
      <c r="B892" s="44"/>
      <c r="C892" s="44"/>
      <c r="D892" s="44"/>
      <c r="E892" s="44"/>
      <c r="F892" s="44"/>
      <c r="K892" s="44"/>
      <c r="L892" s="44"/>
      <c r="M892" s="44"/>
    </row>
    <row r="893" ht="15.75" customHeight="1">
      <c r="A893" s="44"/>
      <c r="B893" s="44"/>
      <c r="C893" s="44"/>
      <c r="D893" s="44"/>
      <c r="E893" s="44"/>
      <c r="F893" s="44"/>
      <c r="K893" s="44"/>
      <c r="L893" s="44"/>
      <c r="M893" s="44"/>
    </row>
    <row r="894" ht="15.75" customHeight="1">
      <c r="A894" s="44"/>
      <c r="B894" s="44"/>
      <c r="C894" s="44"/>
      <c r="D894" s="44"/>
      <c r="E894" s="44"/>
      <c r="F894" s="44"/>
      <c r="K894" s="44"/>
      <c r="L894" s="44"/>
      <c r="M894" s="44"/>
    </row>
    <row r="895" ht="15.75" customHeight="1">
      <c r="A895" s="44"/>
      <c r="B895" s="44"/>
      <c r="C895" s="44"/>
      <c r="D895" s="44"/>
      <c r="E895" s="44"/>
      <c r="F895" s="44"/>
      <c r="K895" s="44"/>
      <c r="L895" s="44"/>
      <c r="M895" s="44"/>
    </row>
    <row r="896" ht="15.75" customHeight="1">
      <c r="A896" s="44"/>
      <c r="B896" s="44"/>
      <c r="C896" s="44"/>
      <c r="D896" s="44"/>
      <c r="E896" s="44"/>
      <c r="F896" s="44"/>
      <c r="K896" s="44"/>
      <c r="L896" s="44"/>
      <c r="M896" s="44"/>
    </row>
    <row r="897" ht="15.75" customHeight="1">
      <c r="A897" s="44"/>
      <c r="B897" s="44"/>
      <c r="C897" s="44"/>
      <c r="D897" s="44"/>
      <c r="E897" s="44"/>
      <c r="F897" s="44"/>
      <c r="K897" s="44"/>
      <c r="L897" s="44"/>
      <c r="M897" s="44"/>
    </row>
    <row r="898" ht="15.75" customHeight="1">
      <c r="A898" s="44"/>
      <c r="B898" s="44"/>
      <c r="C898" s="44"/>
      <c r="D898" s="44"/>
      <c r="E898" s="44"/>
      <c r="F898" s="44"/>
      <c r="K898" s="44"/>
      <c r="L898" s="44"/>
      <c r="M898" s="44"/>
    </row>
    <row r="899" ht="15.75" customHeight="1">
      <c r="A899" s="44"/>
      <c r="B899" s="44"/>
      <c r="C899" s="44"/>
      <c r="D899" s="44"/>
      <c r="E899" s="44"/>
      <c r="F899" s="44"/>
      <c r="K899" s="44"/>
      <c r="L899" s="44"/>
      <c r="M899" s="44"/>
    </row>
    <row r="900" ht="15.75" customHeight="1">
      <c r="A900" s="44"/>
      <c r="B900" s="44"/>
      <c r="C900" s="44"/>
      <c r="D900" s="44"/>
      <c r="E900" s="44"/>
      <c r="F900" s="44"/>
      <c r="K900" s="44"/>
      <c r="L900" s="44"/>
      <c r="M900" s="44"/>
    </row>
    <row r="901" ht="15.75" customHeight="1">
      <c r="A901" s="44"/>
      <c r="B901" s="44"/>
      <c r="C901" s="44"/>
      <c r="D901" s="44"/>
      <c r="E901" s="44"/>
      <c r="F901" s="44"/>
      <c r="K901" s="44"/>
      <c r="L901" s="44"/>
      <c r="M901" s="44"/>
    </row>
    <row r="902" ht="15.75" customHeight="1">
      <c r="A902" s="44"/>
      <c r="B902" s="44"/>
      <c r="C902" s="44"/>
      <c r="D902" s="44"/>
      <c r="E902" s="44"/>
      <c r="F902" s="44"/>
      <c r="K902" s="44"/>
      <c r="L902" s="44"/>
      <c r="M902" s="44"/>
    </row>
    <row r="903" ht="15.75" customHeight="1">
      <c r="A903" s="44"/>
      <c r="B903" s="44"/>
      <c r="C903" s="44"/>
      <c r="D903" s="44"/>
      <c r="E903" s="44"/>
      <c r="F903" s="44"/>
      <c r="K903" s="44"/>
      <c r="L903" s="44"/>
      <c r="M903" s="44"/>
    </row>
    <row r="904" ht="15.75" customHeight="1">
      <c r="A904" s="44"/>
      <c r="B904" s="44"/>
      <c r="C904" s="44"/>
      <c r="D904" s="44"/>
      <c r="E904" s="44"/>
      <c r="F904" s="44"/>
      <c r="K904" s="44"/>
      <c r="L904" s="44"/>
      <c r="M904" s="44"/>
    </row>
    <row r="905" ht="15.75" customHeight="1">
      <c r="A905" s="44"/>
      <c r="B905" s="44"/>
      <c r="C905" s="44"/>
      <c r="D905" s="44"/>
      <c r="E905" s="44"/>
      <c r="F905" s="44"/>
      <c r="K905" s="44"/>
      <c r="L905" s="44"/>
      <c r="M905" s="44"/>
    </row>
    <row r="906" ht="15.75" customHeight="1">
      <c r="A906" s="44"/>
      <c r="B906" s="44"/>
      <c r="C906" s="44"/>
      <c r="D906" s="44"/>
      <c r="E906" s="44"/>
      <c r="F906" s="44"/>
      <c r="K906" s="44"/>
      <c r="L906" s="44"/>
      <c r="M906" s="44"/>
    </row>
    <row r="907" ht="15.75" customHeight="1">
      <c r="A907" s="44"/>
      <c r="B907" s="44"/>
      <c r="C907" s="44"/>
      <c r="D907" s="44"/>
      <c r="E907" s="44"/>
      <c r="F907" s="44"/>
      <c r="K907" s="44"/>
      <c r="L907" s="44"/>
      <c r="M907" s="44"/>
    </row>
    <row r="908" ht="15.75" customHeight="1">
      <c r="A908" s="44"/>
      <c r="B908" s="44"/>
      <c r="C908" s="44"/>
      <c r="D908" s="44"/>
      <c r="E908" s="44"/>
      <c r="F908" s="44"/>
      <c r="K908" s="44"/>
      <c r="L908" s="44"/>
      <c r="M908" s="44"/>
    </row>
    <row r="909" ht="15.75" customHeight="1">
      <c r="A909" s="44"/>
      <c r="B909" s="44"/>
      <c r="C909" s="44"/>
      <c r="D909" s="44"/>
      <c r="E909" s="44"/>
      <c r="F909" s="44"/>
      <c r="K909" s="44"/>
      <c r="L909" s="44"/>
      <c r="M909" s="44"/>
    </row>
    <row r="910" ht="15.75" customHeight="1">
      <c r="A910" s="44"/>
      <c r="B910" s="44"/>
      <c r="C910" s="44"/>
      <c r="D910" s="44"/>
      <c r="E910" s="44"/>
      <c r="F910" s="44"/>
      <c r="K910" s="44"/>
      <c r="L910" s="44"/>
      <c r="M910" s="44"/>
    </row>
    <row r="911" ht="15.75" customHeight="1">
      <c r="A911" s="44"/>
      <c r="B911" s="44"/>
      <c r="C911" s="44"/>
      <c r="D911" s="44"/>
      <c r="E911" s="44"/>
      <c r="F911" s="44"/>
      <c r="K911" s="44"/>
      <c r="L911" s="44"/>
      <c r="M911" s="44"/>
    </row>
    <row r="912" ht="15.75" customHeight="1">
      <c r="A912" s="44"/>
      <c r="B912" s="44"/>
      <c r="C912" s="44"/>
      <c r="D912" s="44"/>
      <c r="E912" s="44"/>
      <c r="F912" s="44"/>
      <c r="K912" s="44"/>
      <c r="L912" s="44"/>
      <c r="M912" s="44"/>
    </row>
    <row r="913" ht="15.75" customHeight="1">
      <c r="A913" s="44"/>
      <c r="B913" s="44"/>
      <c r="C913" s="44"/>
      <c r="D913" s="44"/>
      <c r="E913" s="44"/>
      <c r="F913" s="44"/>
      <c r="K913" s="44"/>
      <c r="L913" s="44"/>
      <c r="M913" s="44"/>
    </row>
    <row r="914" ht="15.75" customHeight="1">
      <c r="A914" s="44"/>
      <c r="B914" s="44"/>
      <c r="C914" s="44"/>
      <c r="D914" s="44"/>
      <c r="E914" s="44"/>
      <c r="F914" s="44"/>
      <c r="K914" s="44"/>
      <c r="L914" s="44"/>
      <c r="M914" s="44"/>
    </row>
    <row r="915" ht="15.75" customHeight="1">
      <c r="A915" s="44"/>
      <c r="B915" s="44"/>
      <c r="C915" s="44"/>
      <c r="D915" s="44"/>
      <c r="E915" s="44"/>
      <c r="F915" s="44"/>
      <c r="K915" s="44"/>
      <c r="L915" s="44"/>
      <c r="M915" s="44"/>
    </row>
    <row r="916" ht="15.75" customHeight="1">
      <c r="A916" s="44"/>
      <c r="B916" s="44"/>
      <c r="C916" s="44"/>
      <c r="D916" s="44"/>
      <c r="E916" s="44"/>
      <c r="F916" s="44"/>
      <c r="K916" s="44"/>
      <c r="L916" s="44"/>
      <c r="M916" s="44"/>
    </row>
    <row r="917" ht="15.75" customHeight="1">
      <c r="A917" s="44"/>
      <c r="B917" s="44"/>
      <c r="C917" s="44"/>
      <c r="D917" s="44"/>
      <c r="E917" s="44"/>
      <c r="F917" s="44"/>
      <c r="K917" s="44"/>
      <c r="L917" s="44"/>
      <c r="M917" s="44"/>
    </row>
    <row r="918" ht="15.75" customHeight="1">
      <c r="A918" s="44"/>
      <c r="B918" s="44"/>
      <c r="C918" s="44"/>
      <c r="D918" s="44"/>
      <c r="E918" s="44"/>
      <c r="F918" s="44"/>
      <c r="K918" s="44"/>
      <c r="L918" s="44"/>
      <c r="M918" s="44"/>
    </row>
    <row r="919" ht="15.75" customHeight="1">
      <c r="A919" s="44"/>
      <c r="B919" s="44"/>
      <c r="C919" s="44"/>
      <c r="D919" s="44"/>
      <c r="E919" s="44"/>
      <c r="F919" s="44"/>
      <c r="K919" s="44"/>
      <c r="L919" s="44"/>
      <c r="M919" s="44"/>
    </row>
    <row r="920" ht="15.75" customHeight="1">
      <c r="A920" s="44"/>
      <c r="B920" s="44"/>
      <c r="C920" s="44"/>
      <c r="D920" s="44"/>
      <c r="E920" s="44"/>
      <c r="F920" s="44"/>
      <c r="K920" s="44"/>
      <c r="L920" s="44"/>
      <c r="M920" s="44"/>
    </row>
    <row r="921" ht="15.75" customHeight="1">
      <c r="A921" s="44"/>
      <c r="B921" s="44"/>
      <c r="C921" s="44"/>
      <c r="D921" s="44"/>
      <c r="E921" s="44"/>
      <c r="F921" s="44"/>
      <c r="K921" s="44"/>
      <c r="L921" s="44"/>
      <c r="M921" s="44"/>
    </row>
    <row r="922" ht="15.75" customHeight="1">
      <c r="A922" s="44"/>
      <c r="B922" s="44"/>
      <c r="C922" s="44"/>
      <c r="D922" s="44"/>
      <c r="E922" s="44"/>
      <c r="F922" s="44"/>
      <c r="K922" s="44"/>
      <c r="L922" s="44"/>
      <c r="M922" s="44"/>
    </row>
    <row r="923" ht="15.75" customHeight="1">
      <c r="A923" s="44"/>
      <c r="B923" s="44"/>
      <c r="C923" s="44"/>
      <c r="D923" s="44"/>
      <c r="E923" s="44"/>
      <c r="F923" s="44"/>
      <c r="K923" s="44"/>
      <c r="L923" s="44"/>
      <c r="M923" s="44"/>
    </row>
    <row r="924" ht="15.75" customHeight="1">
      <c r="A924" s="44"/>
      <c r="B924" s="44"/>
      <c r="C924" s="44"/>
      <c r="D924" s="44"/>
      <c r="E924" s="44"/>
      <c r="F924" s="44"/>
      <c r="K924" s="44"/>
      <c r="L924" s="44"/>
      <c r="M924" s="44"/>
    </row>
    <row r="925" ht="15.75" customHeight="1">
      <c r="A925" s="44"/>
      <c r="B925" s="44"/>
      <c r="C925" s="44"/>
      <c r="D925" s="44"/>
      <c r="E925" s="44"/>
      <c r="F925" s="44"/>
      <c r="K925" s="44"/>
      <c r="L925" s="44"/>
      <c r="M925" s="44"/>
    </row>
    <row r="926" ht="15.75" customHeight="1">
      <c r="A926" s="44"/>
      <c r="B926" s="44"/>
      <c r="C926" s="44"/>
      <c r="D926" s="44"/>
      <c r="E926" s="44"/>
      <c r="F926" s="44"/>
      <c r="K926" s="44"/>
      <c r="L926" s="44"/>
      <c r="M926" s="44"/>
    </row>
    <row r="927" ht="15.75" customHeight="1">
      <c r="A927" s="44"/>
      <c r="B927" s="44"/>
      <c r="C927" s="44"/>
      <c r="D927" s="44"/>
      <c r="E927" s="44"/>
      <c r="F927" s="44"/>
      <c r="K927" s="44"/>
      <c r="L927" s="44"/>
      <c r="M927" s="44"/>
    </row>
    <row r="928" ht="15.75" customHeight="1">
      <c r="A928" s="44"/>
      <c r="B928" s="44"/>
      <c r="C928" s="44"/>
      <c r="D928" s="44"/>
      <c r="E928" s="44"/>
      <c r="F928" s="44"/>
      <c r="K928" s="44"/>
      <c r="L928" s="44"/>
      <c r="M928" s="44"/>
    </row>
    <row r="929" ht="15.75" customHeight="1">
      <c r="A929" s="44"/>
      <c r="B929" s="44"/>
      <c r="C929" s="44"/>
      <c r="D929" s="44"/>
      <c r="E929" s="44"/>
      <c r="F929" s="44"/>
      <c r="K929" s="44"/>
      <c r="L929" s="44"/>
      <c r="M929" s="44"/>
    </row>
    <row r="930" ht="15.75" customHeight="1">
      <c r="A930" s="44"/>
      <c r="B930" s="44"/>
      <c r="C930" s="44"/>
      <c r="D930" s="44"/>
      <c r="E930" s="44"/>
      <c r="F930" s="44"/>
      <c r="K930" s="44"/>
      <c r="L930" s="44"/>
      <c r="M930" s="44"/>
    </row>
    <row r="931" ht="15.75" customHeight="1">
      <c r="A931" s="44"/>
      <c r="B931" s="44"/>
      <c r="C931" s="44"/>
      <c r="D931" s="44"/>
      <c r="E931" s="44"/>
      <c r="F931" s="44"/>
      <c r="K931" s="44"/>
      <c r="L931" s="44"/>
      <c r="M931" s="44"/>
    </row>
    <row r="932" ht="15.75" customHeight="1">
      <c r="A932" s="44"/>
      <c r="B932" s="44"/>
      <c r="C932" s="44"/>
      <c r="D932" s="44"/>
      <c r="E932" s="44"/>
      <c r="F932" s="44"/>
      <c r="K932" s="44"/>
      <c r="L932" s="44"/>
      <c r="M932" s="44"/>
    </row>
    <row r="933" ht="15.75" customHeight="1">
      <c r="A933" s="44"/>
      <c r="B933" s="44"/>
      <c r="C933" s="44"/>
      <c r="D933" s="44"/>
      <c r="E933" s="44"/>
      <c r="F933" s="44"/>
      <c r="K933" s="44"/>
      <c r="L933" s="44"/>
      <c r="M933" s="44"/>
    </row>
    <row r="934" ht="15.75" customHeight="1">
      <c r="A934" s="44"/>
      <c r="B934" s="44"/>
      <c r="C934" s="44"/>
      <c r="D934" s="44"/>
      <c r="E934" s="44"/>
      <c r="F934" s="44"/>
      <c r="K934" s="44"/>
      <c r="L934" s="44"/>
      <c r="M934" s="44"/>
    </row>
    <row r="935" ht="15.75" customHeight="1">
      <c r="A935" s="44"/>
      <c r="B935" s="44"/>
      <c r="C935" s="44"/>
      <c r="D935" s="44"/>
      <c r="E935" s="44"/>
      <c r="F935" s="44"/>
      <c r="K935" s="44"/>
      <c r="L935" s="44"/>
      <c r="M935" s="44"/>
    </row>
    <row r="936" ht="15.75" customHeight="1">
      <c r="A936" s="44"/>
      <c r="B936" s="44"/>
      <c r="C936" s="44"/>
      <c r="D936" s="44"/>
      <c r="E936" s="44"/>
      <c r="F936" s="44"/>
      <c r="K936" s="44"/>
      <c r="L936" s="44"/>
      <c r="M936" s="44"/>
    </row>
    <row r="937" ht="15.75" customHeight="1">
      <c r="A937" s="44"/>
      <c r="B937" s="44"/>
      <c r="C937" s="44"/>
      <c r="D937" s="44"/>
      <c r="E937" s="44"/>
      <c r="F937" s="44"/>
      <c r="K937" s="44"/>
      <c r="L937" s="44"/>
      <c r="M937" s="44"/>
    </row>
    <row r="938" ht="15.75" customHeight="1">
      <c r="A938" s="44"/>
      <c r="B938" s="44"/>
      <c r="C938" s="44"/>
      <c r="D938" s="44"/>
      <c r="E938" s="44"/>
      <c r="F938" s="44"/>
      <c r="K938" s="44"/>
      <c r="L938" s="44"/>
      <c r="M938" s="44"/>
    </row>
    <row r="939" ht="15.75" customHeight="1">
      <c r="A939" s="44"/>
      <c r="B939" s="44"/>
      <c r="C939" s="44"/>
      <c r="D939" s="44"/>
      <c r="E939" s="44"/>
      <c r="F939" s="44"/>
      <c r="K939" s="44"/>
      <c r="L939" s="44"/>
      <c r="M939" s="44"/>
    </row>
    <row r="940" ht="15.75" customHeight="1">
      <c r="A940" s="44"/>
      <c r="B940" s="44"/>
      <c r="C940" s="44"/>
      <c r="D940" s="44"/>
      <c r="E940" s="44"/>
      <c r="F940" s="44"/>
      <c r="K940" s="44"/>
      <c r="L940" s="44"/>
      <c r="M940" s="44"/>
    </row>
    <row r="941" ht="15.75" customHeight="1">
      <c r="A941" s="44"/>
      <c r="B941" s="44"/>
      <c r="C941" s="44"/>
      <c r="D941" s="44"/>
      <c r="E941" s="44"/>
      <c r="F941" s="44"/>
      <c r="K941" s="44"/>
      <c r="L941" s="44"/>
      <c r="M941" s="44"/>
    </row>
    <row r="942" ht="15.75" customHeight="1">
      <c r="A942" s="44"/>
      <c r="B942" s="44"/>
      <c r="C942" s="44"/>
      <c r="D942" s="44"/>
      <c r="E942" s="44"/>
      <c r="F942" s="44"/>
      <c r="K942" s="44"/>
      <c r="L942" s="44"/>
      <c r="M942" s="44"/>
    </row>
    <row r="943" ht="15.75" customHeight="1">
      <c r="A943" s="44"/>
      <c r="B943" s="44"/>
      <c r="C943" s="44"/>
      <c r="D943" s="44"/>
      <c r="E943" s="44"/>
      <c r="F943" s="44"/>
      <c r="K943" s="44"/>
      <c r="L943" s="44"/>
      <c r="M943" s="44"/>
    </row>
    <row r="944" ht="15.75" customHeight="1">
      <c r="A944" s="44"/>
      <c r="B944" s="44"/>
      <c r="C944" s="44"/>
      <c r="D944" s="44"/>
      <c r="E944" s="44"/>
      <c r="F944" s="44"/>
      <c r="K944" s="44"/>
      <c r="L944" s="44"/>
      <c r="M944" s="44"/>
    </row>
    <row r="945" ht="15.75" customHeight="1">
      <c r="A945" s="44"/>
      <c r="B945" s="44"/>
      <c r="C945" s="44"/>
      <c r="D945" s="44"/>
      <c r="E945" s="44"/>
      <c r="F945" s="44"/>
      <c r="K945" s="44"/>
      <c r="L945" s="44"/>
      <c r="M945" s="44"/>
    </row>
    <row r="946" ht="15.75" customHeight="1">
      <c r="A946" s="44"/>
      <c r="B946" s="44"/>
      <c r="C946" s="44"/>
      <c r="D946" s="44"/>
      <c r="E946" s="44"/>
      <c r="F946" s="44"/>
      <c r="K946" s="44"/>
      <c r="L946" s="44"/>
      <c r="M946" s="44"/>
    </row>
    <row r="947" ht="15.75" customHeight="1">
      <c r="A947" s="44"/>
      <c r="B947" s="44"/>
      <c r="C947" s="44"/>
      <c r="D947" s="44"/>
      <c r="E947" s="44"/>
      <c r="F947" s="44"/>
      <c r="K947" s="44"/>
      <c r="L947" s="44"/>
      <c r="M947" s="44"/>
    </row>
    <row r="948" ht="15.75" customHeight="1">
      <c r="A948" s="44"/>
      <c r="B948" s="44"/>
      <c r="C948" s="44"/>
      <c r="D948" s="44"/>
      <c r="E948" s="44"/>
      <c r="F948" s="44"/>
      <c r="K948" s="44"/>
      <c r="L948" s="44"/>
      <c r="M948" s="44"/>
    </row>
    <row r="949" ht="15.75" customHeight="1">
      <c r="A949" s="44"/>
      <c r="B949" s="44"/>
      <c r="C949" s="44"/>
      <c r="D949" s="44"/>
      <c r="E949" s="44"/>
      <c r="F949" s="44"/>
      <c r="K949" s="44"/>
      <c r="L949" s="44"/>
      <c r="M949" s="44"/>
    </row>
    <row r="950" ht="15.75" customHeight="1">
      <c r="A950" s="44"/>
      <c r="B950" s="44"/>
      <c r="C950" s="44"/>
      <c r="D950" s="44"/>
      <c r="E950" s="44"/>
      <c r="F950" s="44"/>
      <c r="K950" s="44"/>
      <c r="L950" s="44"/>
      <c r="M950" s="44"/>
    </row>
    <row r="951" ht="15.75" customHeight="1">
      <c r="A951" s="44"/>
      <c r="B951" s="44"/>
      <c r="C951" s="44"/>
      <c r="D951" s="44"/>
      <c r="E951" s="44"/>
      <c r="F951" s="44"/>
      <c r="K951" s="44"/>
      <c r="L951" s="44"/>
      <c r="M951" s="44"/>
    </row>
    <row r="952" ht="15.75" customHeight="1">
      <c r="A952" s="44"/>
      <c r="B952" s="44"/>
      <c r="C952" s="44"/>
      <c r="D952" s="44"/>
      <c r="E952" s="44"/>
      <c r="F952" s="44"/>
      <c r="K952" s="44"/>
      <c r="L952" s="44"/>
      <c r="M952" s="44"/>
    </row>
    <row r="953" ht="15.75" customHeight="1">
      <c r="A953" s="44"/>
      <c r="B953" s="44"/>
      <c r="C953" s="44"/>
      <c r="D953" s="44"/>
      <c r="E953" s="44"/>
      <c r="F953" s="44"/>
      <c r="K953" s="44"/>
      <c r="L953" s="44"/>
      <c r="M953" s="44"/>
    </row>
    <row r="954" ht="15.75" customHeight="1">
      <c r="A954" s="44"/>
      <c r="B954" s="44"/>
      <c r="C954" s="44"/>
      <c r="D954" s="44"/>
      <c r="E954" s="44"/>
      <c r="F954" s="44"/>
      <c r="K954" s="44"/>
      <c r="L954" s="44"/>
      <c r="M954" s="44"/>
    </row>
    <row r="955" ht="15.75" customHeight="1">
      <c r="A955" s="44"/>
      <c r="B955" s="44"/>
      <c r="C955" s="44"/>
      <c r="D955" s="44"/>
      <c r="E955" s="44"/>
      <c r="F955" s="44"/>
      <c r="K955" s="44"/>
      <c r="L955" s="44"/>
      <c r="M955" s="44"/>
    </row>
    <row r="956" ht="15.75" customHeight="1">
      <c r="A956" s="44"/>
      <c r="B956" s="44"/>
      <c r="C956" s="44"/>
      <c r="D956" s="44"/>
      <c r="E956" s="44"/>
      <c r="F956" s="44"/>
      <c r="K956" s="44"/>
      <c r="L956" s="44"/>
      <c r="M956" s="44"/>
    </row>
    <row r="957" ht="15.75" customHeight="1">
      <c r="A957" s="44"/>
      <c r="B957" s="44"/>
      <c r="C957" s="44"/>
      <c r="D957" s="44"/>
      <c r="E957" s="44"/>
      <c r="F957" s="44"/>
      <c r="K957" s="44"/>
      <c r="L957" s="44"/>
      <c r="M957" s="44"/>
    </row>
    <row r="958" ht="15.75" customHeight="1">
      <c r="A958" s="44"/>
      <c r="B958" s="44"/>
      <c r="C958" s="44"/>
      <c r="D958" s="44"/>
      <c r="E958" s="44"/>
      <c r="F958" s="44"/>
      <c r="K958" s="44"/>
      <c r="L958" s="44"/>
      <c r="M958" s="44"/>
    </row>
    <row r="959" ht="15.75" customHeight="1">
      <c r="A959" s="44"/>
      <c r="B959" s="44"/>
      <c r="C959" s="44"/>
      <c r="D959" s="44"/>
      <c r="E959" s="44"/>
      <c r="F959" s="44"/>
      <c r="K959" s="44"/>
      <c r="L959" s="44"/>
      <c r="M959" s="44"/>
    </row>
    <row r="960" ht="15.75" customHeight="1">
      <c r="A960" s="44"/>
      <c r="B960" s="44"/>
      <c r="C960" s="44"/>
      <c r="D960" s="44"/>
      <c r="E960" s="44"/>
      <c r="F960" s="44"/>
      <c r="K960" s="44"/>
      <c r="L960" s="44"/>
      <c r="M960" s="44"/>
    </row>
    <row r="961" ht="15.75" customHeight="1">
      <c r="A961" s="44"/>
      <c r="B961" s="44"/>
      <c r="C961" s="44"/>
      <c r="D961" s="44"/>
      <c r="E961" s="44"/>
      <c r="F961" s="44"/>
      <c r="K961" s="44"/>
      <c r="L961" s="44"/>
      <c r="M961" s="44"/>
    </row>
    <row r="962" ht="15.75" customHeight="1">
      <c r="A962" s="44"/>
      <c r="B962" s="44"/>
      <c r="C962" s="44"/>
      <c r="D962" s="44"/>
      <c r="E962" s="44"/>
      <c r="F962" s="44"/>
      <c r="K962" s="44"/>
      <c r="L962" s="44"/>
      <c r="M962" s="44"/>
    </row>
    <row r="963" ht="15.75" customHeight="1">
      <c r="A963" s="44"/>
      <c r="B963" s="44"/>
      <c r="C963" s="44"/>
      <c r="D963" s="44"/>
      <c r="E963" s="44"/>
      <c r="F963" s="44"/>
      <c r="K963" s="44"/>
      <c r="L963" s="44"/>
      <c r="M963" s="44"/>
    </row>
    <row r="964" ht="15.75" customHeight="1">
      <c r="A964" s="44"/>
      <c r="B964" s="44"/>
      <c r="C964" s="44"/>
      <c r="D964" s="44"/>
      <c r="E964" s="44"/>
      <c r="F964" s="44"/>
      <c r="K964" s="44"/>
      <c r="L964" s="44"/>
      <c r="M964" s="44"/>
    </row>
    <row r="965" ht="15.75" customHeight="1">
      <c r="A965" s="44"/>
      <c r="B965" s="44"/>
      <c r="C965" s="44"/>
      <c r="D965" s="44"/>
      <c r="E965" s="44"/>
      <c r="F965" s="44"/>
      <c r="K965" s="44"/>
      <c r="L965" s="44"/>
      <c r="M965" s="44"/>
    </row>
    <row r="966" ht="15.75" customHeight="1">
      <c r="A966" s="44"/>
      <c r="B966" s="44"/>
      <c r="C966" s="44"/>
      <c r="D966" s="44"/>
      <c r="E966" s="44"/>
      <c r="F966" s="44"/>
      <c r="K966" s="44"/>
      <c r="L966" s="44"/>
      <c r="M966" s="44"/>
    </row>
    <row r="967" ht="15.75" customHeight="1">
      <c r="A967" s="44"/>
      <c r="B967" s="44"/>
      <c r="C967" s="44"/>
      <c r="D967" s="44"/>
      <c r="E967" s="44"/>
      <c r="F967" s="44"/>
      <c r="K967" s="44"/>
      <c r="L967" s="44"/>
      <c r="M967" s="44"/>
    </row>
    <row r="968" ht="15.75" customHeight="1">
      <c r="A968" s="44"/>
      <c r="B968" s="44"/>
      <c r="C968" s="44"/>
      <c r="D968" s="44"/>
      <c r="E968" s="44"/>
      <c r="F968" s="44"/>
      <c r="K968" s="44"/>
      <c r="L968" s="44"/>
      <c r="M968" s="44"/>
    </row>
    <row r="969" ht="15.75" customHeight="1">
      <c r="A969" s="44"/>
      <c r="B969" s="44"/>
      <c r="C969" s="44"/>
      <c r="D969" s="44"/>
      <c r="E969" s="44"/>
      <c r="F969" s="44"/>
      <c r="K969" s="44"/>
      <c r="L969" s="44"/>
      <c r="M969" s="44"/>
    </row>
    <row r="970" ht="15.75" customHeight="1">
      <c r="A970" s="44"/>
      <c r="B970" s="44"/>
      <c r="C970" s="44"/>
      <c r="D970" s="44"/>
      <c r="E970" s="44"/>
      <c r="F970" s="44"/>
      <c r="K970" s="44"/>
      <c r="L970" s="44"/>
      <c r="M970" s="44"/>
    </row>
    <row r="971" ht="15.75" customHeight="1">
      <c r="A971" s="44"/>
      <c r="B971" s="44"/>
      <c r="C971" s="44"/>
      <c r="D971" s="44"/>
      <c r="E971" s="44"/>
      <c r="F971" s="44"/>
      <c r="K971" s="44"/>
      <c r="L971" s="44"/>
      <c r="M971" s="44"/>
    </row>
    <row r="972" ht="15.75" customHeight="1">
      <c r="A972" s="44"/>
      <c r="B972" s="44"/>
      <c r="C972" s="44"/>
      <c r="D972" s="44"/>
      <c r="E972" s="44"/>
      <c r="F972" s="44"/>
      <c r="K972" s="44"/>
      <c r="L972" s="44"/>
      <c r="M972" s="44"/>
    </row>
    <row r="973" ht="15.75" customHeight="1">
      <c r="A973" s="44"/>
      <c r="B973" s="44"/>
      <c r="C973" s="44"/>
      <c r="D973" s="44"/>
      <c r="E973" s="44"/>
      <c r="F973" s="44"/>
      <c r="K973" s="44"/>
      <c r="L973" s="44"/>
      <c r="M973" s="44"/>
    </row>
    <row r="974" ht="15.75" customHeight="1">
      <c r="A974" s="44"/>
      <c r="B974" s="44"/>
      <c r="C974" s="44"/>
      <c r="D974" s="44"/>
      <c r="E974" s="44"/>
      <c r="F974" s="44"/>
      <c r="K974" s="44"/>
      <c r="L974" s="44"/>
      <c r="M974" s="44"/>
    </row>
    <row r="975" ht="15.75" customHeight="1">
      <c r="A975" s="44"/>
      <c r="B975" s="44"/>
      <c r="C975" s="44"/>
      <c r="D975" s="44"/>
      <c r="E975" s="44"/>
      <c r="F975" s="44"/>
      <c r="K975" s="44"/>
      <c r="L975" s="44"/>
      <c r="M975" s="44"/>
    </row>
    <row r="976" ht="15.75" customHeight="1">
      <c r="A976" s="44"/>
      <c r="B976" s="44"/>
      <c r="C976" s="44"/>
      <c r="D976" s="44"/>
      <c r="E976" s="44"/>
      <c r="F976" s="44"/>
      <c r="K976" s="44"/>
      <c r="L976" s="44"/>
      <c r="M976" s="44"/>
    </row>
    <row r="977" ht="15.75" customHeight="1">
      <c r="A977" s="44"/>
      <c r="B977" s="44"/>
      <c r="C977" s="44"/>
      <c r="D977" s="44"/>
      <c r="E977" s="44"/>
      <c r="F977" s="44"/>
      <c r="K977" s="44"/>
      <c r="L977" s="44"/>
      <c r="M977" s="44"/>
    </row>
    <row r="978" ht="15.75" customHeight="1">
      <c r="A978" s="44"/>
      <c r="B978" s="44"/>
      <c r="C978" s="44"/>
      <c r="D978" s="44"/>
      <c r="E978" s="44"/>
      <c r="F978" s="44"/>
      <c r="K978" s="44"/>
      <c r="L978" s="44"/>
      <c r="M978" s="44"/>
    </row>
    <row r="979" ht="15.75" customHeight="1">
      <c r="A979" s="44"/>
      <c r="B979" s="44"/>
      <c r="C979" s="44"/>
      <c r="D979" s="44"/>
      <c r="E979" s="44"/>
      <c r="F979" s="44"/>
      <c r="K979" s="44"/>
      <c r="L979" s="44"/>
      <c r="M979" s="44"/>
    </row>
    <row r="980" ht="15.75" customHeight="1">
      <c r="A980" s="44"/>
      <c r="B980" s="44"/>
      <c r="C980" s="44"/>
      <c r="D980" s="44"/>
      <c r="E980" s="44"/>
      <c r="F980" s="44"/>
      <c r="K980" s="44"/>
      <c r="L980" s="44"/>
      <c r="M980" s="44"/>
    </row>
    <row r="981" ht="15.75" customHeight="1">
      <c r="A981" s="44"/>
      <c r="B981" s="44"/>
      <c r="C981" s="44"/>
      <c r="D981" s="44"/>
      <c r="E981" s="44"/>
      <c r="F981" s="44"/>
      <c r="K981" s="44"/>
      <c r="L981" s="44"/>
      <c r="M981" s="44"/>
    </row>
    <row r="982" ht="15.75" customHeight="1">
      <c r="A982" s="44"/>
      <c r="B982" s="44"/>
      <c r="C982" s="44"/>
      <c r="D982" s="44"/>
      <c r="E982" s="44"/>
      <c r="F982" s="44"/>
      <c r="K982" s="44"/>
      <c r="L982" s="44"/>
      <c r="M982" s="44"/>
    </row>
    <row r="983" ht="15.75" customHeight="1">
      <c r="A983" s="44"/>
      <c r="B983" s="44"/>
      <c r="C983" s="44"/>
      <c r="D983" s="44"/>
      <c r="E983" s="44"/>
      <c r="F983" s="44"/>
      <c r="K983" s="44"/>
      <c r="L983" s="44"/>
      <c r="M983" s="44"/>
    </row>
    <row r="984" ht="15.75" customHeight="1">
      <c r="A984" s="44"/>
      <c r="B984" s="44"/>
      <c r="C984" s="44"/>
      <c r="D984" s="44"/>
      <c r="E984" s="44"/>
      <c r="F984" s="44"/>
      <c r="K984" s="44"/>
      <c r="L984" s="44"/>
      <c r="M984" s="44"/>
    </row>
    <row r="985" ht="15.75" customHeight="1">
      <c r="A985" s="44"/>
      <c r="B985" s="44"/>
      <c r="C985" s="44"/>
      <c r="D985" s="44"/>
      <c r="E985" s="44"/>
      <c r="F985" s="44"/>
      <c r="K985" s="44"/>
      <c r="L985" s="44"/>
      <c r="M985" s="44"/>
    </row>
    <row r="986" ht="15.75" customHeight="1">
      <c r="A986" s="44"/>
      <c r="B986" s="44"/>
      <c r="C986" s="44"/>
      <c r="D986" s="44"/>
      <c r="E986" s="44"/>
      <c r="F986" s="44"/>
      <c r="K986" s="44"/>
      <c r="L986" s="44"/>
      <c r="M986" s="44"/>
    </row>
    <row r="987" ht="15.75" customHeight="1">
      <c r="A987" s="44"/>
      <c r="B987" s="44"/>
      <c r="C987" s="44"/>
      <c r="D987" s="44"/>
      <c r="E987" s="44"/>
      <c r="F987" s="44"/>
      <c r="K987" s="44"/>
      <c r="L987" s="44"/>
      <c r="M987" s="44"/>
    </row>
    <row r="988" ht="15.75" customHeight="1">
      <c r="A988" s="44"/>
      <c r="B988" s="44"/>
      <c r="C988" s="44"/>
      <c r="D988" s="44"/>
      <c r="E988" s="44"/>
      <c r="F988" s="44"/>
      <c r="K988" s="44"/>
      <c r="L988" s="44"/>
      <c r="M988" s="44"/>
    </row>
    <row r="989" ht="15.75" customHeight="1">
      <c r="A989" s="44"/>
      <c r="B989" s="44"/>
      <c r="C989" s="44"/>
      <c r="D989" s="44"/>
      <c r="E989" s="44"/>
      <c r="F989" s="44"/>
      <c r="K989" s="44"/>
      <c r="L989" s="44"/>
      <c r="M989" s="44"/>
    </row>
    <row r="990" ht="15.75" customHeight="1">
      <c r="A990" s="44"/>
      <c r="B990" s="44"/>
      <c r="C990" s="44"/>
      <c r="D990" s="44"/>
      <c r="E990" s="44"/>
      <c r="F990" s="44"/>
      <c r="K990" s="44"/>
      <c r="L990" s="44"/>
      <c r="M990" s="44"/>
    </row>
    <row r="991" ht="15.75" customHeight="1">
      <c r="A991" s="44"/>
      <c r="B991" s="44"/>
      <c r="C991" s="44"/>
      <c r="D991" s="44"/>
      <c r="E991" s="44"/>
      <c r="F991" s="44"/>
      <c r="K991" s="44"/>
      <c r="L991" s="44"/>
      <c r="M991" s="44"/>
    </row>
    <row r="992" ht="15.75" customHeight="1">
      <c r="A992" s="44"/>
      <c r="B992" s="44"/>
      <c r="C992" s="44"/>
      <c r="D992" s="44"/>
      <c r="E992" s="44"/>
      <c r="F992" s="44"/>
      <c r="K992" s="44"/>
      <c r="L992" s="44"/>
      <c r="M992" s="44"/>
    </row>
    <row r="993" ht="15.75" customHeight="1">
      <c r="A993" s="44"/>
      <c r="B993" s="44"/>
      <c r="C993" s="44"/>
      <c r="D993" s="44"/>
      <c r="E993" s="44"/>
      <c r="F993" s="44"/>
      <c r="K993" s="44"/>
      <c r="L993" s="44"/>
      <c r="M993" s="44"/>
    </row>
    <row r="994" ht="15.75" customHeight="1">
      <c r="A994" s="44"/>
      <c r="B994" s="44"/>
      <c r="C994" s="44"/>
      <c r="D994" s="44"/>
      <c r="E994" s="44"/>
      <c r="F994" s="44"/>
      <c r="K994" s="44"/>
      <c r="L994" s="44"/>
      <c r="M994" s="44"/>
    </row>
    <row r="995" ht="15.75" customHeight="1">
      <c r="A995" s="44"/>
      <c r="B995" s="44"/>
      <c r="C995" s="44"/>
      <c r="D995" s="44"/>
      <c r="E995" s="44"/>
      <c r="F995" s="44"/>
      <c r="K995" s="44"/>
      <c r="L995" s="44"/>
      <c r="M995" s="44"/>
    </row>
    <row r="996" ht="15.75" customHeight="1">
      <c r="A996" s="44"/>
      <c r="B996" s="44"/>
      <c r="C996" s="44"/>
      <c r="D996" s="44"/>
      <c r="E996" s="44"/>
      <c r="F996" s="44"/>
      <c r="K996" s="44"/>
      <c r="L996" s="44"/>
      <c r="M996" s="44"/>
    </row>
    <row r="997" ht="15.75" customHeight="1">
      <c r="A997" s="44"/>
      <c r="B997" s="44"/>
      <c r="C997" s="44"/>
      <c r="D997" s="44"/>
      <c r="E997" s="44"/>
      <c r="F997" s="44"/>
      <c r="K997" s="44"/>
      <c r="L997" s="44"/>
      <c r="M997" s="44"/>
    </row>
    <row r="998" ht="15.75" customHeight="1">
      <c r="A998" s="44"/>
      <c r="B998" s="44"/>
      <c r="C998" s="44"/>
      <c r="D998" s="44"/>
      <c r="E998" s="44"/>
      <c r="F998" s="44"/>
      <c r="K998" s="44"/>
      <c r="L998" s="44"/>
      <c r="M998" s="44"/>
    </row>
    <row r="999" ht="15.75" customHeight="1">
      <c r="A999" s="44"/>
      <c r="B999" s="44"/>
      <c r="C999" s="44"/>
      <c r="D999" s="44"/>
      <c r="E999" s="44"/>
      <c r="F999" s="44"/>
      <c r="K999" s="44"/>
      <c r="L999" s="44"/>
      <c r="M999" s="44"/>
    </row>
    <row r="1000" ht="15.75" customHeight="1">
      <c r="A1000" s="44"/>
      <c r="B1000" s="44"/>
      <c r="C1000" s="44"/>
      <c r="D1000" s="44"/>
      <c r="E1000" s="44"/>
      <c r="F1000" s="44"/>
      <c r="K1000" s="44"/>
      <c r="L1000" s="44"/>
      <c r="M1000" s="44"/>
    </row>
  </sheetData>
  <conditionalFormatting sqref="F2:J23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35.0"/>
    <col customWidth="1" min="3" max="3" width="20.0"/>
    <col customWidth="1" min="4" max="4" width="35.0"/>
    <col customWidth="1" min="5" max="5" width="15.0"/>
    <col customWidth="1" min="6" max="6" width="20.0"/>
    <col customWidth="1" min="7" max="26" width="8.71"/>
  </cols>
  <sheetData>
    <row r="1" ht="21.0" customHeight="1">
      <c r="A1" s="205" t="s">
        <v>880</v>
      </c>
      <c r="B1" s="206"/>
      <c r="C1" s="206"/>
      <c r="D1" s="206"/>
      <c r="E1" s="206"/>
      <c r="F1" s="207"/>
    </row>
    <row r="2" ht="14.25" customHeight="1">
      <c r="A2" s="208"/>
      <c r="B2" s="208"/>
      <c r="C2" s="208"/>
      <c r="D2" s="208"/>
      <c r="E2" s="208"/>
      <c r="F2" s="208"/>
    </row>
    <row r="3" ht="14.25" customHeight="1">
      <c r="A3" s="209" t="s">
        <v>881</v>
      </c>
      <c r="B3" s="208" t="s">
        <v>882</v>
      </c>
      <c r="C3" s="208"/>
      <c r="D3" s="208"/>
      <c r="E3" s="208"/>
      <c r="F3" s="208"/>
    </row>
    <row r="4" ht="14.25" customHeight="1">
      <c r="A4" s="209" t="s">
        <v>883</v>
      </c>
      <c r="B4" s="208" t="s">
        <v>884</v>
      </c>
      <c r="C4" s="208"/>
      <c r="D4" s="208"/>
      <c r="E4" s="208"/>
      <c r="F4" s="208"/>
    </row>
    <row r="5" ht="14.25" customHeight="1">
      <c r="A5" s="209" t="s">
        <v>885</v>
      </c>
      <c r="B5" s="208" t="s">
        <v>886</v>
      </c>
      <c r="C5" s="208"/>
      <c r="D5" s="208"/>
      <c r="E5" s="208"/>
      <c r="F5" s="208"/>
    </row>
    <row r="6" ht="14.25" customHeight="1">
      <c r="A6" s="209" t="s">
        <v>887</v>
      </c>
      <c r="B6" s="208" t="s">
        <v>888</v>
      </c>
      <c r="C6" s="208"/>
      <c r="D6" s="208"/>
      <c r="E6" s="208"/>
      <c r="F6" s="208"/>
    </row>
    <row r="7" ht="14.25" customHeight="1">
      <c r="A7" s="208"/>
      <c r="B7" s="208"/>
      <c r="C7" s="208"/>
      <c r="D7" s="208"/>
      <c r="E7" s="208"/>
      <c r="F7" s="208"/>
    </row>
    <row r="8" ht="14.25" customHeight="1">
      <c r="A8" s="208"/>
      <c r="B8" s="208"/>
      <c r="C8" s="208"/>
      <c r="D8" s="208"/>
      <c r="E8" s="208"/>
      <c r="F8" s="208"/>
    </row>
    <row r="9" ht="15.0" customHeight="1">
      <c r="A9" s="210" t="s">
        <v>889</v>
      </c>
      <c r="B9" s="211"/>
      <c r="C9" s="208"/>
      <c r="D9" s="208"/>
      <c r="E9" s="208"/>
      <c r="F9" s="208"/>
    </row>
    <row r="10" ht="28.5" customHeight="1">
      <c r="A10" s="212" t="s">
        <v>789</v>
      </c>
      <c r="B10" s="212" t="s">
        <v>890</v>
      </c>
      <c r="C10" s="212" t="s">
        <v>891</v>
      </c>
      <c r="D10" s="212" t="s">
        <v>892</v>
      </c>
      <c r="E10" s="212" t="s">
        <v>893</v>
      </c>
      <c r="F10" s="212" t="s">
        <v>894</v>
      </c>
    </row>
    <row r="11" ht="28.5" customHeight="1">
      <c r="A11" s="213">
        <v>1.0</v>
      </c>
      <c r="B11" s="213" t="s">
        <v>226</v>
      </c>
      <c r="C11" s="213" t="s">
        <v>541</v>
      </c>
      <c r="D11" s="214" t="s">
        <v>216</v>
      </c>
      <c r="E11" s="213" t="s">
        <v>895</v>
      </c>
      <c r="F11" s="213">
        <v>11.0</v>
      </c>
    </row>
    <row r="12" ht="14.25" customHeight="1">
      <c r="A12" s="213">
        <v>2.0</v>
      </c>
      <c r="B12" s="213" t="s">
        <v>308</v>
      </c>
      <c r="C12" s="213" t="s">
        <v>896</v>
      </c>
      <c r="D12" s="215" t="s">
        <v>897</v>
      </c>
      <c r="E12" s="213" t="s">
        <v>898</v>
      </c>
      <c r="F12" s="213">
        <v>6.0</v>
      </c>
    </row>
    <row r="13" ht="14.25" customHeight="1">
      <c r="A13" s="213">
        <v>3.0</v>
      </c>
      <c r="B13" s="213" t="s">
        <v>255</v>
      </c>
      <c r="C13" s="213" t="s">
        <v>899</v>
      </c>
      <c r="D13" s="216" t="s">
        <v>64</v>
      </c>
      <c r="E13" s="213" t="s">
        <v>900</v>
      </c>
      <c r="F13" s="213">
        <v>8.0</v>
      </c>
    </row>
    <row r="14" ht="14.25" customHeight="1">
      <c r="A14" s="213">
        <v>4.0</v>
      </c>
      <c r="B14" s="213" t="s">
        <v>244</v>
      </c>
      <c r="C14" s="213" t="s">
        <v>901</v>
      </c>
      <c r="D14" s="217" t="s">
        <v>101</v>
      </c>
      <c r="E14" s="213" t="s">
        <v>902</v>
      </c>
      <c r="F14" s="213">
        <v>4.0</v>
      </c>
    </row>
    <row r="15" ht="14.25" customHeight="1">
      <c r="A15" s="213">
        <v>5.0</v>
      </c>
      <c r="B15" s="213" t="s">
        <v>282</v>
      </c>
      <c r="C15" s="213" t="s">
        <v>903</v>
      </c>
      <c r="D15" s="216" t="s">
        <v>64</v>
      </c>
      <c r="E15" s="213" t="s">
        <v>904</v>
      </c>
      <c r="F15" s="213">
        <v>5.0</v>
      </c>
    </row>
    <row r="16" ht="14.25" customHeight="1">
      <c r="A16" s="213">
        <v>6.0</v>
      </c>
      <c r="B16" s="213" t="s">
        <v>298</v>
      </c>
      <c r="C16" s="213" t="s">
        <v>905</v>
      </c>
      <c r="D16" s="216" t="s">
        <v>64</v>
      </c>
      <c r="E16" s="213" t="s">
        <v>906</v>
      </c>
      <c r="F16" s="213">
        <v>4.0</v>
      </c>
    </row>
    <row r="17" ht="14.25" customHeight="1">
      <c r="A17" s="213">
        <v>7.0</v>
      </c>
      <c r="B17" s="213" t="s">
        <v>327</v>
      </c>
      <c r="C17" s="213" t="s">
        <v>907</v>
      </c>
      <c r="D17" s="217" t="s">
        <v>101</v>
      </c>
      <c r="E17" s="213" t="s">
        <v>908</v>
      </c>
      <c r="F17" s="213">
        <v>8.0</v>
      </c>
    </row>
    <row r="18" ht="14.25" customHeight="1">
      <c r="A18" s="213">
        <v>8.0</v>
      </c>
      <c r="B18" s="213" t="s">
        <v>339</v>
      </c>
      <c r="C18" s="213" t="s">
        <v>909</v>
      </c>
      <c r="D18" s="214" t="s">
        <v>216</v>
      </c>
      <c r="E18" s="213" t="s">
        <v>910</v>
      </c>
      <c r="F18" s="213">
        <v>7.0</v>
      </c>
    </row>
    <row r="19" ht="14.25" customHeight="1">
      <c r="A19" s="213">
        <v>9.0</v>
      </c>
      <c r="B19" s="213" t="s">
        <v>352</v>
      </c>
      <c r="C19" s="213" t="s">
        <v>911</v>
      </c>
      <c r="D19" s="217" t="s">
        <v>101</v>
      </c>
      <c r="E19" s="213" t="s">
        <v>912</v>
      </c>
      <c r="F19" s="213">
        <v>5.0</v>
      </c>
    </row>
    <row r="20" ht="14.25" customHeight="1">
      <c r="A20" s="208"/>
      <c r="B20" s="208"/>
      <c r="C20" s="208"/>
      <c r="D20" s="208"/>
      <c r="E20" s="208"/>
      <c r="F20" s="208"/>
    </row>
    <row r="21" ht="14.25" customHeight="1">
      <c r="A21" s="208"/>
      <c r="B21" s="208"/>
      <c r="C21" s="208"/>
      <c r="D21" s="208"/>
      <c r="E21" s="208"/>
      <c r="F21" s="208"/>
    </row>
    <row r="22" ht="15.0" customHeight="1">
      <c r="A22" s="218" t="s">
        <v>913</v>
      </c>
      <c r="B22" s="207"/>
      <c r="C22" s="208"/>
      <c r="D22" s="208"/>
      <c r="E22" s="208"/>
      <c r="F22" s="208"/>
    </row>
    <row r="23" ht="14.25" customHeight="1">
      <c r="A23" s="219" t="s">
        <v>220</v>
      </c>
      <c r="B23" s="220"/>
      <c r="C23" s="221"/>
      <c r="D23" s="221"/>
      <c r="E23" s="221"/>
      <c r="F23" s="221"/>
      <c r="G23" s="221"/>
      <c r="H23" s="222"/>
    </row>
    <row r="24" ht="14.25" customHeight="1">
      <c r="A24" s="223" t="s">
        <v>914</v>
      </c>
      <c r="B24" s="223" t="s">
        <v>915</v>
      </c>
      <c r="C24" s="223" t="s">
        <v>916</v>
      </c>
      <c r="D24" s="223" t="s">
        <v>917</v>
      </c>
      <c r="E24" s="223" t="s">
        <v>22</v>
      </c>
      <c r="F24" s="223" t="s">
        <v>23</v>
      </c>
    </row>
    <row r="25" ht="57.0" customHeight="1">
      <c r="A25" s="213" t="s">
        <v>918</v>
      </c>
      <c r="B25" s="213" t="s">
        <v>224</v>
      </c>
      <c r="C25" s="213" t="s">
        <v>919</v>
      </c>
      <c r="D25" s="213" t="s">
        <v>920</v>
      </c>
      <c r="E25" s="213" t="s">
        <v>225</v>
      </c>
      <c r="F25" s="213" t="s">
        <v>226</v>
      </c>
    </row>
    <row r="26" ht="28.5" customHeight="1">
      <c r="A26" s="213" t="s">
        <v>921</v>
      </c>
      <c r="B26" s="213" t="s">
        <v>227</v>
      </c>
      <c r="C26" s="213" t="s">
        <v>228</v>
      </c>
      <c r="D26" s="213" t="s">
        <v>229</v>
      </c>
      <c r="E26" s="213" t="s">
        <v>131</v>
      </c>
      <c r="F26" s="213" t="s">
        <v>226</v>
      </c>
    </row>
    <row r="27" ht="42.75" customHeight="1">
      <c r="A27" s="213" t="s">
        <v>922</v>
      </c>
      <c r="B27" s="213" t="s">
        <v>230</v>
      </c>
      <c r="C27" s="213" t="s">
        <v>231</v>
      </c>
      <c r="D27" s="213" t="s">
        <v>232</v>
      </c>
      <c r="E27" s="213" t="s">
        <v>225</v>
      </c>
      <c r="F27" s="213" t="s">
        <v>226</v>
      </c>
    </row>
    <row r="28" ht="57.0" customHeight="1">
      <c r="A28" s="213" t="s">
        <v>923</v>
      </c>
      <c r="B28" s="213" t="s">
        <v>233</v>
      </c>
      <c r="C28" s="213" t="s">
        <v>234</v>
      </c>
      <c r="D28" s="213" t="s">
        <v>924</v>
      </c>
      <c r="E28" s="213" t="s">
        <v>225</v>
      </c>
      <c r="F28" s="213" t="s">
        <v>226</v>
      </c>
    </row>
    <row r="29" ht="72.0" customHeight="1">
      <c r="A29" s="213" t="s">
        <v>925</v>
      </c>
      <c r="B29" s="213" t="s">
        <v>235</v>
      </c>
      <c r="C29" s="213" t="s">
        <v>236</v>
      </c>
      <c r="D29" s="213" t="s">
        <v>237</v>
      </c>
      <c r="E29" s="213" t="s">
        <v>131</v>
      </c>
      <c r="F29" s="213" t="s">
        <v>226</v>
      </c>
    </row>
    <row r="30" ht="72.0" customHeight="1">
      <c r="A30" s="213" t="s">
        <v>926</v>
      </c>
      <c r="B30" s="213" t="s">
        <v>238</v>
      </c>
      <c r="C30" s="213" t="s">
        <v>239</v>
      </c>
      <c r="D30" s="213" t="s">
        <v>240</v>
      </c>
      <c r="E30" s="213" t="s">
        <v>241</v>
      </c>
      <c r="F30" s="213" t="s">
        <v>226</v>
      </c>
    </row>
    <row r="31" ht="14.25" customHeight="1">
      <c r="A31" s="208"/>
      <c r="B31" s="208"/>
      <c r="C31" s="208"/>
      <c r="D31" s="208"/>
      <c r="E31" s="208"/>
      <c r="F31" s="208"/>
    </row>
    <row r="32" ht="14.25" customHeight="1">
      <c r="A32" s="219" t="s">
        <v>357</v>
      </c>
      <c r="B32" s="220"/>
      <c r="C32" s="221"/>
      <c r="D32" s="221"/>
      <c r="E32" s="221"/>
      <c r="F32" s="221"/>
      <c r="G32" s="221"/>
      <c r="H32" s="222"/>
    </row>
    <row r="33" ht="14.25" customHeight="1">
      <c r="A33" s="223" t="s">
        <v>914</v>
      </c>
      <c r="B33" s="223" t="s">
        <v>915</v>
      </c>
      <c r="C33" s="223" t="s">
        <v>916</v>
      </c>
      <c r="D33" s="223" t="s">
        <v>917</v>
      </c>
      <c r="E33" s="223" t="s">
        <v>22</v>
      </c>
      <c r="F33" s="223" t="s">
        <v>23</v>
      </c>
    </row>
    <row r="34" ht="28.5" customHeight="1">
      <c r="A34" s="213" t="s">
        <v>927</v>
      </c>
      <c r="B34" s="213" t="s">
        <v>358</v>
      </c>
      <c r="C34" s="213" t="s">
        <v>359</v>
      </c>
      <c r="D34" s="213" t="s">
        <v>360</v>
      </c>
      <c r="E34" s="213" t="s">
        <v>131</v>
      </c>
      <c r="F34" s="213" t="s">
        <v>226</v>
      </c>
    </row>
    <row r="35" ht="57.0" customHeight="1">
      <c r="A35" s="213" t="s">
        <v>928</v>
      </c>
      <c r="B35" s="213" t="s">
        <v>363</v>
      </c>
      <c r="C35" s="213" t="s">
        <v>364</v>
      </c>
      <c r="D35" s="213" t="s">
        <v>364</v>
      </c>
      <c r="E35" s="213" t="s">
        <v>365</v>
      </c>
      <c r="F35" s="213" t="s">
        <v>66</v>
      </c>
    </row>
    <row r="36" ht="14.25" customHeight="1">
      <c r="A36" s="208"/>
      <c r="B36" s="208"/>
      <c r="C36" s="208"/>
      <c r="D36" s="208"/>
      <c r="E36" s="208"/>
      <c r="F36" s="208"/>
    </row>
    <row r="37" ht="14.25" customHeight="1">
      <c r="A37" s="224" t="s">
        <v>242</v>
      </c>
      <c r="B37" s="220"/>
      <c r="C37" s="221"/>
      <c r="D37" s="221"/>
      <c r="E37" s="221"/>
      <c r="F37" s="221"/>
      <c r="G37" s="221"/>
      <c r="H37" s="222"/>
    </row>
    <row r="38" ht="14.25" customHeight="1">
      <c r="A38" s="223" t="s">
        <v>914</v>
      </c>
      <c r="B38" s="223" t="s">
        <v>915</v>
      </c>
      <c r="C38" s="223" t="s">
        <v>916</v>
      </c>
      <c r="D38" s="223" t="s">
        <v>917</v>
      </c>
      <c r="E38" s="223" t="s">
        <v>22</v>
      </c>
      <c r="F38" s="223" t="s">
        <v>23</v>
      </c>
    </row>
    <row r="39" ht="14.25" customHeight="1">
      <c r="A39" s="213" t="s">
        <v>929</v>
      </c>
      <c r="B39" s="213" t="s">
        <v>243</v>
      </c>
      <c r="C39" s="213" t="s">
        <v>930</v>
      </c>
      <c r="D39" s="213" t="s">
        <v>931</v>
      </c>
      <c r="E39" s="213"/>
      <c r="F39" s="213" t="s">
        <v>244</v>
      </c>
    </row>
    <row r="40" ht="28.5" customHeight="1">
      <c r="A40" s="213" t="s">
        <v>932</v>
      </c>
      <c r="B40" s="213" t="s">
        <v>245</v>
      </c>
      <c r="C40" s="213" t="s">
        <v>933</v>
      </c>
      <c r="D40" s="213" t="s">
        <v>934</v>
      </c>
      <c r="E40" s="213"/>
      <c r="F40" s="213" t="s">
        <v>244</v>
      </c>
    </row>
    <row r="41" ht="28.5" customHeight="1">
      <c r="A41" s="213" t="s">
        <v>935</v>
      </c>
      <c r="B41" s="213" t="s">
        <v>246</v>
      </c>
      <c r="C41" s="213" t="s">
        <v>247</v>
      </c>
      <c r="D41" s="213" t="s">
        <v>248</v>
      </c>
      <c r="E41" s="213"/>
      <c r="F41" s="213" t="s">
        <v>244</v>
      </c>
    </row>
    <row r="42" ht="42.75" customHeight="1">
      <c r="A42" s="213" t="s">
        <v>936</v>
      </c>
      <c r="B42" s="213" t="s">
        <v>249</v>
      </c>
      <c r="C42" s="213"/>
      <c r="D42" s="213" t="s">
        <v>250</v>
      </c>
      <c r="E42" s="213"/>
      <c r="F42" s="213" t="s">
        <v>244</v>
      </c>
    </row>
    <row r="43" ht="14.25" customHeight="1">
      <c r="A43" s="208"/>
      <c r="B43" s="208"/>
      <c r="C43" s="208"/>
      <c r="D43" s="208"/>
      <c r="E43" s="208"/>
      <c r="F43" s="208"/>
    </row>
    <row r="44" ht="14.25" customHeight="1">
      <c r="A44" s="225" t="s">
        <v>251</v>
      </c>
      <c r="B44" s="220"/>
      <c r="C44" s="221"/>
      <c r="D44" s="221"/>
      <c r="E44" s="221"/>
      <c r="F44" s="221"/>
      <c r="G44" s="221"/>
      <c r="H44" s="222"/>
    </row>
    <row r="45" ht="14.25" customHeight="1">
      <c r="A45" s="223" t="s">
        <v>914</v>
      </c>
      <c r="B45" s="223" t="s">
        <v>915</v>
      </c>
      <c r="C45" s="223" t="s">
        <v>916</v>
      </c>
      <c r="D45" s="223" t="s">
        <v>917</v>
      </c>
      <c r="E45" s="223" t="s">
        <v>22</v>
      </c>
      <c r="F45" s="223" t="s">
        <v>23</v>
      </c>
    </row>
    <row r="46" ht="28.5" customHeight="1">
      <c r="A46" s="213" t="s">
        <v>937</v>
      </c>
      <c r="B46" s="213" t="s">
        <v>252</v>
      </c>
      <c r="C46" s="213" t="s">
        <v>253</v>
      </c>
      <c r="D46" s="213" t="s">
        <v>254</v>
      </c>
      <c r="E46" s="213" t="s">
        <v>131</v>
      </c>
      <c r="F46" s="213" t="s">
        <v>255</v>
      </c>
    </row>
    <row r="47" ht="57.0" customHeight="1">
      <c r="A47" s="213" t="s">
        <v>938</v>
      </c>
      <c r="B47" s="213" t="s">
        <v>256</v>
      </c>
      <c r="C47" s="213" t="s">
        <v>257</v>
      </c>
      <c r="D47" s="213" t="s">
        <v>258</v>
      </c>
      <c r="E47" s="213" t="s">
        <v>29</v>
      </c>
      <c r="F47" s="213" t="s">
        <v>255</v>
      </c>
    </row>
    <row r="48" ht="72.0" customHeight="1">
      <c r="A48" s="213" t="s">
        <v>939</v>
      </c>
      <c r="B48" s="213" t="s">
        <v>259</v>
      </c>
      <c r="C48" s="213" t="s">
        <v>260</v>
      </c>
      <c r="D48" s="213" t="s">
        <v>261</v>
      </c>
      <c r="E48" s="213" t="s">
        <v>29</v>
      </c>
      <c r="F48" s="213" t="s">
        <v>255</v>
      </c>
    </row>
    <row r="49" ht="57.0" customHeight="1">
      <c r="A49" s="213" t="s">
        <v>940</v>
      </c>
      <c r="B49" s="213" t="s">
        <v>262</v>
      </c>
      <c r="C49" s="213" t="s">
        <v>263</v>
      </c>
      <c r="D49" s="213" t="s">
        <v>264</v>
      </c>
      <c r="E49" s="213" t="s">
        <v>29</v>
      </c>
      <c r="F49" s="213" t="s">
        <v>255</v>
      </c>
    </row>
    <row r="50" ht="72.0" customHeight="1">
      <c r="A50" s="213" t="s">
        <v>941</v>
      </c>
      <c r="B50" s="213" t="s">
        <v>265</v>
      </c>
      <c r="C50" s="213" t="s">
        <v>942</v>
      </c>
      <c r="D50" s="213" t="s">
        <v>943</v>
      </c>
      <c r="E50" s="213" t="s">
        <v>29</v>
      </c>
      <c r="F50" s="213" t="s">
        <v>255</v>
      </c>
    </row>
    <row r="51" ht="14.25" customHeight="1">
      <c r="A51" s="208"/>
      <c r="B51" s="208"/>
      <c r="C51" s="208"/>
      <c r="D51" s="208"/>
      <c r="E51" s="208"/>
      <c r="F51" s="208"/>
    </row>
    <row r="52" ht="14.25" customHeight="1">
      <c r="A52" s="219" t="s">
        <v>266</v>
      </c>
      <c r="B52" s="220"/>
      <c r="C52" s="221"/>
      <c r="D52" s="221"/>
      <c r="E52" s="221"/>
      <c r="F52" s="221"/>
      <c r="G52" s="221"/>
      <c r="H52" s="222"/>
    </row>
    <row r="53" ht="14.25" customHeight="1">
      <c r="A53" s="223" t="s">
        <v>914</v>
      </c>
      <c r="B53" s="223" t="s">
        <v>915</v>
      </c>
      <c r="C53" s="223" t="s">
        <v>916</v>
      </c>
      <c r="D53" s="223" t="s">
        <v>917</v>
      </c>
      <c r="E53" s="223" t="s">
        <v>22</v>
      </c>
      <c r="F53" s="223" t="s">
        <v>23</v>
      </c>
    </row>
    <row r="54" ht="28.5" customHeight="1">
      <c r="A54" s="213" t="s">
        <v>944</v>
      </c>
      <c r="B54" s="213" t="s">
        <v>267</v>
      </c>
      <c r="C54" s="213" t="s">
        <v>268</v>
      </c>
      <c r="D54" s="213" t="s">
        <v>269</v>
      </c>
      <c r="E54" s="213" t="s">
        <v>131</v>
      </c>
      <c r="F54" s="213" t="s">
        <v>226</v>
      </c>
    </row>
    <row r="55" ht="42.75" customHeight="1">
      <c r="A55" s="213" t="s">
        <v>945</v>
      </c>
      <c r="B55" s="213" t="s">
        <v>271</v>
      </c>
      <c r="C55" s="213" t="s">
        <v>272</v>
      </c>
      <c r="D55" s="213" t="s">
        <v>273</v>
      </c>
      <c r="E55" s="213" t="s">
        <v>131</v>
      </c>
      <c r="F55" s="213" t="s">
        <v>255</v>
      </c>
    </row>
    <row r="56" ht="42.75" customHeight="1">
      <c r="A56" s="213" t="s">
        <v>946</v>
      </c>
      <c r="B56" s="213" t="s">
        <v>275</v>
      </c>
      <c r="C56" s="213" t="s">
        <v>272</v>
      </c>
      <c r="D56" s="213" t="s">
        <v>276</v>
      </c>
      <c r="E56" s="213" t="s">
        <v>277</v>
      </c>
      <c r="F56" s="213" t="s">
        <v>255</v>
      </c>
    </row>
    <row r="57" ht="14.25" customHeight="1">
      <c r="A57" s="208"/>
      <c r="B57" s="208"/>
      <c r="C57" s="208"/>
      <c r="D57" s="208"/>
      <c r="E57" s="208"/>
      <c r="F57" s="208"/>
    </row>
    <row r="58" ht="14.25" customHeight="1">
      <c r="A58" s="225" t="s">
        <v>278</v>
      </c>
      <c r="B58" s="220"/>
      <c r="C58" s="221"/>
      <c r="D58" s="221"/>
      <c r="E58" s="221"/>
      <c r="F58" s="221"/>
      <c r="G58" s="221"/>
      <c r="H58" s="222"/>
    </row>
    <row r="59" ht="14.25" customHeight="1">
      <c r="A59" s="223" t="s">
        <v>914</v>
      </c>
      <c r="B59" s="223" t="s">
        <v>915</v>
      </c>
      <c r="C59" s="223" t="s">
        <v>916</v>
      </c>
      <c r="D59" s="223" t="s">
        <v>917</v>
      </c>
      <c r="E59" s="223" t="s">
        <v>22</v>
      </c>
      <c r="F59" s="223" t="s">
        <v>23</v>
      </c>
    </row>
    <row r="60" ht="42.75" customHeight="1">
      <c r="A60" s="213" t="s">
        <v>947</v>
      </c>
      <c r="B60" s="213" t="s">
        <v>279</v>
      </c>
      <c r="C60" s="213" t="s">
        <v>280</v>
      </c>
      <c r="D60" s="213" t="s">
        <v>281</v>
      </c>
      <c r="E60" s="213" t="s">
        <v>29</v>
      </c>
      <c r="F60" s="213" t="s">
        <v>282</v>
      </c>
    </row>
    <row r="61" ht="42.75" customHeight="1">
      <c r="A61" s="213" t="s">
        <v>948</v>
      </c>
      <c r="B61" s="213" t="s">
        <v>283</v>
      </c>
      <c r="C61" s="213" t="s">
        <v>284</v>
      </c>
      <c r="D61" s="213" t="s">
        <v>285</v>
      </c>
      <c r="E61" s="213" t="s">
        <v>29</v>
      </c>
      <c r="F61" s="213" t="s">
        <v>282</v>
      </c>
    </row>
    <row r="62" ht="42.75" customHeight="1">
      <c r="A62" s="213" t="s">
        <v>949</v>
      </c>
      <c r="B62" s="213" t="s">
        <v>286</v>
      </c>
      <c r="C62" s="213" t="s">
        <v>287</v>
      </c>
      <c r="D62" s="213" t="s">
        <v>288</v>
      </c>
      <c r="E62" s="213" t="s">
        <v>29</v>
      </c>
      <c r="F62" s="213" t="s">
        <v>282</v>
      </c>
    </row>
    <row r="63" ht="42.75" customHeight="1">
      <c r="A63" s="213" t="s">
        <v>950</v>
      </c>
      <c r="B63" s="213" t="s">
        <v>289</v>
      </c>
      <c r="C63" s="213" t="s">
        <v>290</v>
      </c>
      <c r="D63" s="213" t="s">
        <v>291</v>
      </c>
      <c r="E63" s="213" t="s">
        <v>29</v>
      </c>
      <c r="F63" s="213" t="s">
        <v>282</v>
      </c>
    </row>
    <row r="64" ht="42.75" customHeight="1">
      <c r="A64" s="213" t="s">
        <v>951</v>
      </c>
      <c r="B64" s="213" t="s">
        <v>293</v>
      </c>
      <c r="C64" s="213" t="s">
        <v>294</v>
      </c>
      <c r="D64" s="213" t="s">
        <v>295</v>
      </c>
      <c r="E64" s="213" t="s">
        <v>29</v>
      </c>
      <c r="F64" s="213" t="s">
        <v>282</v>
      </c>
    </row>
    <row r="65" ht="14.25" customHeight="1">
      <c r="A65" s="208"/>
      <c r="B65" s="208"/>
      <c r="C65" s="208"/>
      <c r="D65" s="208"/>
      <c r="E65" s="208"/>
      <c r="F65" s="208"/>
    </row>
    <row r="66" ht="14.25" customHeight="1">
      <c r="A66" s="226" t="s">
        <v>296</v>
      </c>
      <c r="B66" s="221"/>
      <c r="C66" s="221"/>
      <c r="D66" s="221"/>
      <c r="E66" s="221"/>
      <c r="F66" s="221"/>
      <c r="G66" s="221"/>
      <c r="H66" s="222"/>
    </row>
    <row r="67" ht="14.25" customHeight="1">
      <c r="A67" s="223" t="s">
        <v>914</v>
      </c>
      <c r="B67" s="223" t="s">
        <v>915</v>
      </c>
      <c r="C67" s="223" t="s">
        <v>916</v>
      </c>
      <c r="D67" s="223" t="s">
        <v>917</v>
      </c>
      <c r="E67" s="223" t="s">
        <v>22</v>
      </c>
      <c r="F67" s="223" t="s">
        <v>23</v>
      </c>
    </row>
    <row r="68" ht="57.0" customHeight="1">
      <c r="A68" s="213" t="s">
        <v>952</v>
      </c>
      <c r="B68" s="213" t="s">
        <v>297</v>
      </c>
      <c r="C68" s="213"/>
      <c r="D68" s="213"/>
      <c r="E68" s="213" t="s">
        <v>29</v>
      </c>
      <c r="F68" s="213" t="s">
        <v>298</v>
      </c>
    </row>
    <row r="69" ht="28.5" customHeight="1">
      <c r="A69" s="213" t="s">
        <v>953</v>
      </c>
      <c r="B69" s="213" t="s">
        <v>299</v>
      </c>
      <c r="C69" s="213"/>
      <c r="D69" s="213"/>
      <c r="E69" s="213" t="s">
        <v>29</v>
      </c>
      <c r="F69" s="213" t="s">
        <v>298</v>
      </c>
    </row>
    <row r="70" ht="42.75" customHeight="1">
      <c r="A70" s="213" t="s">
        <v>954</v>
      </c>
      <c r="B70" s="213" t="s">
        <v>300</v>
      </c>
      <c r="C70" s="213"/>
      <c r="D70" s="213"/>
      <c r="E70" s="213" t="s">
        <v>29</v>
      </c>
      <c r="F70" s="213" t="s">
        <v>298</v>
      </c>
    </row>
    <row r="71" ht="28.5" customHeight="1">
      <c r="A71" s="213" t="s">
        <v>955</v>
      </c>
      <c r="B71" s="213" t="s">
        <v>301</v>
      </c>
      <c r="C71" s="213"/>
      <c r="D71" s="213" t="s">
        <v>302</v>
      </c>
      <c r="E71" s="213" t="s">
        <v>29</v>
      </c>
      <c r="F71" s="213" t="s">
        <v>298</v>
      </c>
    </row>
    <row r="72" ht="14.25" customHeight="1">
      <c r="A72" s="208"/>
      <c r="B72" s="208"/>
      <c r="C72" s="208"/>
      <c r="D72" s="208"/>
      <c r="E72" s="208"/>
      <c r="F72" s="208"/>
    </row>
    <row r="73" ht="14.25" customHeight="1">
      <c r="A73" s="227" t="s">
        <v>303</v>
      </c>
      <c r="B73" s="221"/>
      <c r="C73" s="221"/>
      <c r="D73" s="221"/>
      <c r="E73" s="221"/>
      <c r="F73" s="221"/>
      <c r="G73" s="221"/>
      <c r="H73" s="222"/>
    </row>
    <row r="74" ht="14.25" customHeight="1">
      <c r="A74" s="223" t="s">
        <v>914</v>
      </c>
      <c r="B74" s="223" t="s">
        <v>915</v>
      </c>
      <c r="C74" s="223" t="s">
        <v>916</v>
      </c>
      <c r="D74" s="223" t="s">
        <v>917</v>
      </c>
      <c r="E74" s="223" t="s">
        <v>22</v>
      </c>
      <c r="F74" s="223" t="s">
        <v>23</v>
      </c>
    </row>
    <row r="75" ht="57.0" customHeight="1">
      <c r="A75" s="213" t="s">
        <v>956</v>
      </c>
      <c r="B75" s="213" t="s">
        <v>304</v>
      </c>
      <c r="C75" s="213" t="s">
        <v>305</v>
      </c>
      <c r="D75" s="213" t="s">
        <v>306</v>
      </c>
      <c r="E75" s="213" t="s">
        <v>307</v>
      </c>
      <c r="F75" s="213" t="s">
        <v>308</v>
      </c>
    </row>
    <row r="76" ht="72.0" customHeight="1">
      <c r="A76" s="213" t="s">
        <v>957</v>
      </c>
      <c r="B76" s="213" t="s">
        <v>309</v>
      </c>
      <c r="C76" s="213" t="s">
        <v>310</v>
      </c>
      <c r="D76" s="213" t="s">
        <v>311</v>
      </c>
      <c r="E76" s="213"/>
      <c r="F76" s="213" t="s">
        <v>308</v>
      </c>
    </row>
    <row r="77" ht="28.5" customHeight="1">
      <c r="A77" s="213" t="s">
        <v>958</v>
      </c>
      <c r="B77" s="213" t="s">
        <v>312</v>
      </c>
      <c r="C77" s="213" t="s">
        <v>313</v>
      </c>
      <c r="D77" s="213" t="s">
        <v>314</v>
      </c>
      <c r="E77" s="213"/>
      <c r="F77" s="213" t="s">
        <v>308</v>
      </c>
    </row>
    <row r="78" ht="100.5" customHeight="1">
      <c r="A78" s="213" t="s">
        <v>959</v>
      </c>
      <c r="B78" s="213" t="s">
        <v>317</v>
      </c>
      <c r="C78" s="213" t="s">
        <v>960</v>
      </c>
      <c r="D78" s="213" t="s">
        <v>319</v>
      </c>
      <c r="E78" s="213" t="s">
        <v>315</v>
      </c>
      <c r="F78" s="213" t="s">
        <v>308</v>
      </c>
    </row>
    <row r="79" ht="28.5" customHeight="1">
      <c r="A79" s="213" t="s">
        <v>961</v>
      </c>
      <c r="B79" s="213" t="s">
        <v>320</v>
      </c>
      <c r="C79" s="213" t="s">
        <v>321</v>
      </c>
      <c r="D79" s="213" t="s">
        <v>322</v>
      </c>
      <c r="E79" s="213"/>
      <c r="F79" s="213" t="s">
        <v>308</v>
      </c>
    </row>
    <row r="80" ht="28.5" customHeight="1">
      <c r="A80" s="213" t="s">
        <v>962</v>
      </c>
      <c r="B80" s="213" t="s">
        <v>323</v>
      </c>
      <c r="C80" s="213" t="s">
        <v>284</v>
      </c>
      <c r="D80" s="213" t="s">
        <v>285</v>
      </c>
      <c r="E80" s="213"/>
      <c r="F80" s="213" t="s">
        <v>308</v>
      </c>
    </row>
    <row r="81" ht="14.25" customHeight="1">
      <c r="A81" s="208"/>
      <c r="B81" s="208"/>
      <c r="C81" s="208"/>
      <c r="D81" s="208"/>
      <c r="E81" s="208"/>
      <c r="F81" s="208"/>
    </row>
    <row r="82" ht="14.25" customHeight="1">
      <c r="A82" s="224" t="s">
        <v>324</v>
      </c>
      <c r="B82" s="220"/>
      <c r="C82" s="221"/>
      <c r="D82" s="221"/>
      <c r="E82" s="221"/>
      <c r="F82" s="221"/>
      <c r="G82" s="221"/>
      <c r="H82" s="222"/>
    </row>
    <row r="83" ht="14.25" customHeight="1">
      <c r="A83" s="223" t="s">
        <v>914</v>
      </c>
      <c r="B83" s="223" t="s">
        <v>915</v>
      </c>
      <c r="C83" s="223" t="s">
        <v>916</v>
      </c>
      <c r="D83" s="223" t="s">
        <v>917</v>
      </c>
      <c r="E83" s="223" t="s">
        <v>22</v>
      </c>
      <c r="F83" s="223" t="s">
        <v>23</v>
      </c>
    </row>
    <row r="84" ht="57.0" customHeight="1">
      <c r="A84" s="213" t="s">
        <v>963</v>
      </c>
      <c r="B84" s="213" t="s">
        <v>325</v>
      </c>
      <c r="C84" s="213" t="s">
        <v>326</v>
      </c>
      <c r="D84" s="213"/>
      <c r="E84" s="213"/>
      <c r="F84" s="213" t="s">
        <v>327</v>
      </c>
    </row>
    <row r="85" ht="42.75" customHeight="1">
      <c r="A85" s="213" t="s">
        <v>964</v>
      </c>
      <c r="B85" s="213" t="s">
        <v>328</v>
      </c>
      <c r="C85" s="213" t="s">
        <v>965</v>
      </c>
      <c r="D85" s="213"/>
      <c r="E85" s="213"/>
      <c r="F85" s="213" t="s">
        <v>327</v>
      </c>
    </row>
    <row r="86" ht="42.75" customHeight="1">
      <c r="A86" s="213" t="s">
        <v>966</v>
      </c>
      <c r="B86" s="213" t="s">
        <v>329</v>
      </c>
      <c r="C86" s="213" t="s">
        <v>967</v>
      </c>
      <c r="D86" s="213"/>
      <c r="E86" s="213"/>
      <c r="F86" s="213" t="s">
        <v>327</v>
      </c>
    </row>
    <row r="87" ht="42.75" customHeight="1">
      <c r="A87" s="213" t="s">
        <v>968</v>
      </c>
      <c r="B87" s="213" t="s">
        <v>330</v>
      </c>
      <c r="C87" s="213" t="s">
        <v>969</v>
      </c>
      <c r="D87" s="213"/>
      <c r="E87" s="213"/>
      <c r="F87" s="213" t="s">
        <v>327</v>
      </c>
    </row>
    <row r="88" ht="42.75" customHeight="1">
      <c r="A88" s="213" t="s">
        <v>970</v>
      </c>
      <c r="B88" s="213" t="s">
        <v>331</v>
      </c>
      <c r="C88" s="213"/>
      <c r="D88" s="213"/>
      <c r="E88" s="213" t="s">
        <v>332</v>
      </c>
      <c r="F88" s="213" t="s">
        <v>327</v>
      </c>
    </row>
    <row r="89" ht="28.5" customHeight="1">
      <c r="A89" s="213" t="s">
        <v>971</v>
      </c>
      <c r="B89" s="213" t="s">
        <v>333</v>
      </c>
      <c r="C89" s="213"/>
      <c r="D89" s="213"/>
      <c r="E89" s="213" t="s">
        <v>332</v>
      </c>
      <c r="F89" s="213" t="s">
        <v>327</v>
      </c>
    </row>
    <row r="90" ht="42.75" customHeight="1">
      <c r="A90" s="213" t="s">
        <v>972</v>
      </c>
      <c r="B90" s="213" t="s">
        <v>334</v>
      </c>
      <c r="C90" s="213"/>
      <c r="D90" s="213"/>
      <c r="E90" s="213" t="s">
        <v>332</v>
      </c>
      <c r="F90" s="213" t="s">
        <v>327</v>
      </c>
    </row>
    <row r="91" ht="28.5" customHeight="1">
      <c r="A91" s="213" t="s">
        <v>973</v>
      </c>
      <c r="B91" s="213" t="s">
        <v>335</v>
      </c>
      <c r="C91" s="213"/>
      <c r="D91" s="213"/>
      <c r="E91" s="213" t="s">
        <v>336</v>
      </c>
      <c r="F91" s="213" t="s">
        <v>327</v>
      </c>
    </row>
    <row r="92" ht="14.25" customHeight="1">
      <c r="A92" s="208"/>
      <c r="B92" s="208"/>
      <c r="C92" s="208"/>
      <c r="D92" s="208"/>
      <c r="E92" s="208"/>
      <c r="F92" s="208"/>
    </row>
    <row r="93" ht="14.25" customHeight="1">
      <c r="A93" s="224" t="s">
        <v>974</v>
      </c>
      <c r="B93" s="220"/>
      <c r="C93" s="221"/>
      <c r="D93" s="221"/>
      <c r="E93" s="221"/>
      <c r="F93" s="221"/>
      <c r="G93" s="221"/>
      <c r="H93" s="222"/>
    </row>
    <row r="94" ht="14.25" customHeight="1">
      <c r="A94" s="223" t="s">
        <v>914</v>
      </c>
      <c r="B94" s="223" t="s">
        <v>915</v>
      </c>
      <c r="C94" s="223" t="s">
        <v>916</v>
      </c>
      <c r="D94" s="223" t="s">
        <v>917</v>
      </c>
      <c r="E94" s="223" t="s">
        <v>22</v>
      </c>
      <c r="F94" s="223" t="s">
        <v>23</v>
      </c>
    </row>
    <row r="95" ht="57.0" customHeight="1">
      <c r="A95" s="213" t="s">
        <v>975</v>
      </c>
      <c r="B95" s="213" t="s">
        <v>351</v>
      </c>
      <c r="C95" s="213"/>
      <c r="D95" s="213"/>
      <c r="E95" s="213" t="s">
        <v>225</v>
      </c>
      <c r="F95" s="213" t="s">
        <v>352</v>
      </c>
    </row>
    <row r="96" ht="57.0" customHeight="1">
      <c r="A96" s="213" t="s">
        <v>976</v>
      </c>
      <c r="B96" s="213" t="s">
        <v>353</v>
      </c>
      <c r="C96" s="213"/>
      <c r="D96" s="213"/>
      <c r="E96" s="213"/>
      <c r="F96" s="213" t="s">
        <v>352</v>
      </c>
    </row>
    <row r="97" ht="28.5" customHeight="1">
      <c r="A97" s="213" t="s">
        <v>977</v>
      </c>
      <c r="B97" s="213" t="s">
        <v>354</v>
      </c>
      <c r="C97" s="213"/>
      <c r="D97" s="213"/>
      <c r="E97" s="213"/>
      <c r="F97" s="213" t="s">
        <v>352</v>
      </c>
    </row>
    <row r="98" ht="28.5" customHeight="1">
      <c r="A98" s="213" t="s">
        <v>978</v>
      </c>
      <c r="B98" s="213" t="s">
        <v>355</v>
      </c>
      <c r="C98" s="213"/>
      <c r="D98" s="213"/>
      <c r="E98" s="213"/>
      <c r="F98" s="213" t="s">
        <v>352</v>
      </c>
    </row>
    <row r="99" ht="14.25" customHeight="1">
      <c r="A99" s="213" t="s">
        <v>979</v>
      </c>
      <c r="B99" s="213" t="s">
        <v>356</v>
      </c>
      <c r="C99" s="213"/>
      <c r="D99" s="213"/>
      <c r="E99" s="213"/>
      <c r="F99" s="213" t="s">
        <v>352</v>
      </c>
    </row>
    <row r="100" ht="14.25" customHeight="1">
      <c r="A100" s="208"/>
      <c r="B100" s="208"/>
      <c r="C100" s="208"/>
      <c r="D100" s="208"/>
      <c r="E100" s="208"/>
      <c r="F100" s="208"/>
    </row>
    <row r="101" ht="14.25" customHeight="1">
      <c r="A101" s="219" t="s">
        <v>980</v>
      </c>
      <c r="B101" s="220"/>
      <c r="C101" s="221"/>
      <c r="D101" s="221"/>
      <c r="E101" s="221"/>
      <c r="F101" s="221"/>
      <c r="G101" s="221"/>
      <c r="H101" s="222"/>
    </row>
    <row r="102" ht="14.25" customHeight="1">
      <c r="A102" s="223" t="s">
        <v>914</v>
      </c>
      <c r="B102" s="223" t="s">
        <v>915</v>
      </c>
      <c r="C102" s="223" t="s">
        <v>916</v>
      </c>
      <c r="D102" s="223" t="s">
        <v>917</v>
      </c>
      <c r="E102" s="223" t="s">
        <v>22</v>
      </c>
      <c r="F102" s="223" t="s">
        <v>23</v>
      </c>
    </row>
    <row r="103" ht="28.5" customHeight="1">
      <c r="A103" s="213" t="s">
        <v>981</v>
      </c>
      <c r="B103" s="213" t="s">
        <v>338</v>
      </c>
      <c r="C103" s="213"/>
      <c r="D103" s="213"/>
      <c r="E103" s="213" t="s">
        <v>131</v>
      </c>
      <c r="F103" s="213" t="s">
        <v>339</v>
      </c>
    </row>
    <row r="104" ht="42.75" customHeight="1">
      <c r="A104" s="213" t="s">
        <v>982</v>
      </c>
      <c r="B104" s="213" t="s">
        <v>340</v>
      </c>
      <c r="C104" s="213" t="s">
        <v>341</v>
      </c>
      <c r="D104" s="213"/>
      <c r="E104" s="213" t="s">
        <v>342</v>
      </c>
      <c r="F104" s="213" t="s">
        <v>339</v>
      </c>
    </row>
    <row r="105" ht="57.0" customHeight="1">
      <c r="A105" s="213" t="s">
        <v>983</v>
      </c>
      <c r="B105" s="213" t="s">
        <v>343</v>
      </c>
      <c r="C105" s="213" t="s">
        <v>344</v>
      </c>
      <c r="D105" s="213" t="s">
        <v>345</v>
      </c>
      <c r="E105" s="213"/>
      <c r="F105" s="213" t="s">
        <v>339</v>
      </c>
    </row>
    <row r="106" ht="14.25" customHeight="1">
      <c r="A106" s="213" t="s">
        <v>984</v>
      </c>
      <c r="B106" s="213" t="s">
        <v>346</v>
      </c>
      <c r="C106" s="213" t="s">
        <v>985</v>
      </c>
      <c r="D106" s="213" t="s">
        <v>986</v>
      </c>
      <c r="E106" s="213" t="s">
        <v>225</v>
      </c>
      <c r="F106" s="213" t="s">
        <v>339</v>
      </c>
    </row>
    <row r="107" ht="42.75" customHeight="1">
      <c r="A107" s="213" t="s">
        <v>987</v>
      </c>
      <c r="B107" s="213" t="s">
        <v>347</v>
      </c>
      <c r="C107" s="213"/>
      <c r="D107" s="213"/>
      <c r="E107" s="213"/>
      <c r="F107" s="213" t="s">
        <v>339</v>
      </c>
    </row>
    <row r="108" ht="57.0" customHeight="1">
      <c r="A108" s="213" t="s">
        <v>988</v>
      </c>
      <c r="B108" s="213" t="s">
        <v>348</v>
      </c>
      <c r="C108" s="213"/>
      <c r="D108" s="213"/>
      <c r="E108" s="213"/>
      <c r="F108" s="213" t="s">
        <v>339</v>
      </c>
    </row>
    <row r="109" ht="14.25" customHeight="1">
      <c r="A109" s="213" t="s">
        <v>989</v>
      </c>
      <c r="B109" s="213" t="s">
        <v>349</v>
      </c>
      <c r="C109" s="213"/>
      <c r="D109" s="213"/>
      <c r="E109" s="213"/>
      <c r="F109" s="213"/>
    </row>
    <row r="110" ht="14.25" customHeight="1">
      <c r="A110" s="208"/>
      <c r="B110" s="208"/>
      <c r="C110" s="208"/>
      <c r="D110" s="208"/>
      <c r="E110" s="208"/>
      <c r="F110" s="208"/>
    </row>
    <row r="111" ht="14.25" customHeight="1">
      <c r="A111" s="208"/>
      <c r="B111" s="208"/>
      <c r="C111" s="208"/>
      <c r="D111" s="208"/>
      <c r="E111" s="208"/>
      <c r="F111" s="208"/>
    </row>
    <row r="112" ht="14.25" customHeight="1">
      <c r="A112" s="208"/>
      <c r="B112" s="208"/>
      <c r="C112" s="208"/>
      <c r="D112" s="208"/>
      <c r="E112" s="208"/>
      <c r="F112" s="208"/>
    </row>
    <row r="113" ht="14.25" customHeight="1">
      <c r="A113" s="208"/>
      <c r="B113" s="208"/>
      <c r="C113" s="208"/>
      <c r="D113" s="208"/>
      <c r="E113" s="208"/>
      <c r="F113" s="208"/>
    </row>
    <row r="114" ht="14.25" customHeight="1">
      <c r="A114" s="208"/>
      <c r="B114" s="208"/>
      <c r="C114" s="208"/>
      <c r="D114" s="208"/>
      <c r="E114" s="208"/>
      <c r="F114" s="208"/>
    </row>
    <row r="115" ht="14.25" customHeight="1">
      <c r="A115" s="208"/>
      <c r="B115" s="208"/>
      <c r="C115" s="208"/>
      <c r="D115" s="208"/>
      <c r="E115" s="208"/>
      <c r="F115" s="208"/>
    </row>
    <row r="116" ht="14.25" customHeight="1">
      <c r="A116" s="208"/>
      <c r="B116" s="208"/>
      <c r="C116" s="208"/>
      <c r="D116" s="208"/>
      <c r="E116" s="208"/>
      <c r="F116" s="208"/>
    </row>
    <row r="117" ht="14.25" customHeight="1">
      <c r="A117" s="208"/>
      <c r="B117" s="208"/>
      <c r="C117" s="208"/>
      <c r="D117" s="208"/>
      <c r="E117" s="208"/>
      <c r="F117" s="208"/>
    </row>
    <row r="118" ht="14.25" customHeight="1">
      <c r="A118" s="208"/>
      <c r="B118" s="208"/>
      <c r="C118" s="208"/>
      <c r="D118" s="208"/>
      <c r="E118" s="208"/>
      <c r="F118" s="208"/>
    </row>
    <row r="119" ht="14.25" customHeight="1">
      <c r="A119" s="208"/>
      <c r="B119" s="208"/>
      <c r="C119" s="208"/>
      <c r="D119" s="208"/>
      <c r="E119" s="208"/>
      <c r="F119" s="208"/>
    </row>
    <row r="120" ht="14.25" customHeight="1">
      <c r="A120" s="208"/>
      <c r="B120" s="208"/>
      <c r="C120" s="208"/>
      <c r="D120" s="208"/>
      <c r="E120" s="208"/>
      <c r="F120" s="208"/>
    </row>
    <row r="121" ht="14.25" customHeight="1">
      <c r="A121" s="208"/>
      <c r="B121" s="208"/>
      <c r="C121" s="208"/>
      <c r="D121" s="208"/>
      <c r="E121" s="208"/>
      <c r="F121" s="208"/>
    </row>
    <row r="122" ht="14.25" customHeight="1">
      <c r="A122" s="208"/>
      <c r="B122" s="208"/>
      <c r="C122" s="208"/>
      <c r="D122" s="208"/>
      <c r="E122" s="208"/>
      <c r="F122" s="208"/>
    </row>
    <row r="123" ht="14.25" customHeight="1">
      <c r="A123" s="208"/>
      <c r="B123" s="208"/>
      <c r="C123" s="208"/>
      <c r="D123" s="208"/>
      <c r="E123" s="208"/>
      <c r="F123" s="208"/>
    </row>
    <row r="124" ht="14.25" customHeight="1">
      <c r="A124" s="208"/>
      <c r="B124" s="208"/>
      <c r="C124" s="208"/>
      <c r="D124" s="208"/>
      <c r="E124" s="208"/>
      <c r="F124" s="208"/>
    </row>
    <row r="125" ht="14.25" customHeight="1">
      <c r="A125" s="208"/>
      <c r="B125" s="208"/>
      <c r="C125" s="208"/>
      <c r="D125" s="208"/>
      <c r="E125" s="208"/>
      <c r="F125" s="208"/>
    </row>
    <row r="126" ht="14.25" customHeight="1">
      <c r="A126" s="208"/>
      <c r="B126" s="208"/>
      <c r="C126" s="208"/>
      <c r="D126" s="208"/>
      <c r="E126" s="208"/>
      <c r="F126" s="208"/>
    </row>
    <row r="127" ht="14.25" customHeight="1">
      <c r="A127" s="208"/>
      <c r="B127" s="208"/>
      <c r="C127" s="208"/>
      <c r="D127" s="208"/>
      <c r="E127" s="208"/>
      <c r="F127" s="208"/>
    </row>
    <row r="128" ht="14.25" customHeight="1">
      <c r="A128" s="208"/>
      <c r="B128" s="208"/>
      <c r="C128" s="208"/>
      <c r="D128" s="208"/>
      <c r="E128" s="208"/>
      <c r="F128" s="208"/>
    </row>
    <row r="129" ht="14.25" customHeight="1">
      <c r="A129" s="208"/>
      <c r="B129" s="208"/>
      <c r="C129" s="208"/>
      <c r="D129" s="208"/>
      <c r="E129" s="208"/>
      <c r="F129" s="208"/>
    </row>
    <row r="130" ht="14.25" customHeight="1">
      <c r="A130" s="208"/>
      <c r="B130" s="208"/>
      <c r="C130" s="208"/>
      <c r="D130" s="208"/>
      <c r="E130" s="208"/>
      <c r="F130" s="208"/>
    </row>
    <row r="131" ht="14.25" customHeight="1">
      <c r="A131" s="208"/>
      <c r="B131" s="208"/>
      <c r="C131" s="208"/>
      <c r="D131" s="208"/>
      <c r="E131" s="208"/>
      <c r="F131" s="208"/>
    </row>
    <row r="132" ht="14.25" customHeight="1">
      <c r="A132" s="208"/>
      <c r="B132" s="208"/>
      <c r="C132" s="208"/>
      <c r="D132" s="208"/>
      <c r="E132" s="208"/>
      <c r="F132" s="208"/>
    </row>
    <row r="133" ht="14.25" customHeight="1">
      <c r="A133" s="208"/>
      <c r="B133" s="208"/>
      <c r="C133" s="208"/>
      <c r="D133" s="208"/>
      <c r="E133" s="208"/>
      <c r="F133" s="208"/>
    </row>
    <row r="134" ht="14.25" customHeight="1">
      <c r="A134" s="208"/>
      <c r="B134" s="208"/>
      <c r="C134" s="208"/>
      <c r="D134" s="208"/>
      <c r="E134" s="208"/>
      <c r="F134" s="208"/>
    </row>
    <row r="135" ht="14.25" customHeight="1">
      <c r="A135" s="208"/>
      <c r="B135" s="208"/>
      <c r="C135" s="208"/>
      <c r="D135" s="208"/>
      <c r="E135" s="208"/>
      <c r="F135" s="208"/>
    </row>
    <row r="136" ht="14.25" customHeight="1">
      <c r="A136" s="208"/>
      <c r="B136" s="208"/>
      <c r="C136" s="208"/>
      <c r="D136" s="208"/>
      <c r="E136" s="208"/>
      <c r="F136" s="208"/>
    </row>
    <row r="137" ht="14.25" customHeight="1">
      <c r="A137" s="208"/>
      <c r="B137" s="208"/>
      <c r="C137" s="208"/>
      <c r="D137" s="208"/>
      <c r="E137" s="208"/>
      <c r="F137" s="208"/>
    </row>
    <row r="138" ht="14.25" customHeight="1">
      <c r="A138" s="208"/>
      <c r="B138" s="208"/>
      <c r="C138" s="208"/>
      <c r="D138" s="208"/>
      <c r="E138" s="208"/>
      <c r="F138" s="208"/>
    </row>
    <row r="139" ht="14.25" customHeight="1">
      <c r="A139" s="208"/>
      <c r="B139" s="208"/>
      <c r="C139" s="208"/>
      <c r="D139" s="208"/>
      <c r="E139" s="208"/>
      <c r="F139" s="208"/>
    </row>
    <row r="140" ht="14.25" customHeight="1">
      <c r="A140" s="208"/>
      <c r="B140" s="208"/>
      <c r="C140" s="208"/>
      <c r="D140" s="208"/>
      <c r="E140" s="208"/>
      <c r="F140" s="208"/>
    </row>
    <row r="141" ht="14.25" customHeight="1">
      <c r="A141" s="208"/>
      <c r="B141" s="208"/>
      <c r="C141" s="208"/>
      <c r="D141" s="208"/>
      <c r="E141" s="208"/>
      <c r="F141" s="208"/>
    </row>
    <row r="142" ht="14.25" customHeight="1">
      <c r="A142" s="208"/>
      <c r="B142" s="208"/>
      <c r="C142" s="208"/>
      <c r="D142" s="208"/>
      <c r="E142" s="208"/>
      <c r="F142" s="208"/>
    </row>
    <row r="143" ht="14.25" customHeight="1">
      <c r="A143" s="208"/>
      <c r="B143" s="208"/>
      <c r="C143" s="208"/>
      <c r="D143" s="208"/>
      <c r="E143" s="208"/>
      <c r="F143" s="208"/>
    </row>
    <row r="144" ht="14.25" customHeight="1">
      <c r="A144" s="208"/>
      <c r="B144" s="208"/>
      <c r="C144" s="208"/>
      <c r="D144" s="208"/>
      <c r="E144" s="208"/>
      <c r="F144" s="208"/>
    </row>
    <row r="145" ht="14.25" customHeight="1">
      <c r="A145" s="208"/>
      <c r="B145" s="208"/>
      <c r="C145" s="208"/>
      <c r="D145" s="208"/>
      <c r="E145" s="208"/>
      <c r="F145" s="208"/>
    </row>
    <row r="146" ht="14.25" customHeight="1">
      <c r="A146" s="208"/>
      <c r="B146" s="208"/>
      <c r="C146" s="208"/>
      <c r="D146" s="208"/>
      <c r="E146" s="208"/>
      <c r="F146" s="208"/>
    </row>
    <row r="147" ht="14.25" customHeight="1">
      <c r="A147" s="208"/>
      <c r="B147" s="208"/>
      <c r="C147" s="208"/>
      <c r="D147" s="208"/>
      <c r="E147" s="208"/>
      <c r="F147" s="208"/>
    </row>
    <row r="148" ht="14.25" customHeight="1">
      <c r="A148" s="208"/>
      <c r="B148" s="208"/>
      <c r="C148" s="208"/>
      <c r="D148" s="208"/>
      <c r="E148" s="208"/>
      <c r="F148" s="208"/>
    </row>
    <row r="149" ht="14.25" customHeight="1">
      <c r="A149" s="208"/>
      <c r="B149" s="208"/>
      <c r="C149" s="208"/>
      <c r="D149" s="208"/>
      <c r="E149" s="208"/>
      <c r="F149" s="208"/>
    </row>
    <row r="150" ht="14.25" customHeight="1">
      <c r="A150" s="208"/>
      <c r="B150" s="208"/>
      <c r="C150" s="208"/>
      <c r="D150" s="208"/>
      <c r="E150" s="208"/>
      <c r="F150" s="208"/>
    </row>
    <row r="151" ht="14.25" customHeight="1">
      <c r="A151" s="208"/>
      <c r="B151" s="208"/>
      <c r="C151" s="208"/>
      <c r="D151" s="208"/>
      <c r="E151" s="208"/>
      <c r="F151" s="208"/>
    </row>
    <row r="152" ht="14.25" customHeight="1">
      <c r="A152" s="208"/>
      <c r="B152" s="208"/>
      <c r="C152" s="208"/>
      <c r="D152" s="208"/>
      <c r="E152" s="208"/>
      <c r="F152" s="208"/>
    </row>
    <row r="153" ht="14.25" customHeight="1">
      <c r="A153" s="208"/>
      <c r="B153" s="208"/>
      <c r="C153" s="208"/>
      <c r="D153" s="208"/>
      <c r="E153" s="208"/>
      <c r="F153" s="208"/>
    </row>
    <row r="154" ht="14.25" customHeight="1">
      <c r="A154" s="208"/>
      <c r="B154" s="208"/>
      <c r="C154" s="208"/>
      <c r="D154" s="208"/>
      <c r="E154" s="208"/>
      <c r="F154" s="208"/>
    </row>
    <row r="155" ht="14.25" customHeight="1">
      <c r="A155" s="208"/>
      <c r="B155" s="208"/>
      <c r="C155" s="208"/>
      <c r="D155" s="208"/>
      <c r="E155" s="208"/>
      <c r="F155" s="208"/>
    </row>
    <row r="156" ht="14.25" customHeight="1">
      <c r="A156" s="208"/>
      <c r="B156" s="208"/>
      <c r="C156" s="208"/>
      <c r="D156" s="208"/>
      <c r="E156" s="208"/>
      <c r="F156" s="208"/>
    </row>
    <row r="157" ht="14.25" customHeight="1">
      <c r="A157" s="208"/>
      <c r="B157" s="208"/>
      <c r="C157" s="208"/>
      <c r="D157" s="208"/>
      <c r="E157" s="208"/>
      <c r="F157" s="208"/>
    </row>
    <row r="158" ht="14.25" customHeight="1">
      <c r="A158" s="208"/>
      <c r="B158" s="208"/>
      <c r="C158" s="208"/>
      <c r="D158" s="208"/>
      <c r="E158" s="208"/>
      <c r="F158" s="208"/>
    </row>
    <row r="159" ht="14.25" customHeight="1">
      <c r="A159" s="208"/>
      <c r="B159" s="208"/>
      <c r="C159" s="208"/>
      <c r="D159" s="208"/>
      <c r="E159" s="208"/>
      <c r="F159" s="208"/>
    </row>
    <row r="160" ht="14.25" customHeight="1">
      <c r="A160" s="208"/>
      <c r="B160" s="208"/>
      <c r="C160" s="208"/>
      <c r="D160" s="208"/>
      <c r="E160" s="208"/>
      <c r="F160" s="208"/>
    </row>
    <row r="161" ht="14.25" customHeight="1">
      <c r="A161" s="208"/>
      <c r="B161" s="208"/>
      <c r="C161" s="208"/>
      <c r="D161" s="208"/>
      <c r="E161" s="208"/>
      <c r="F161" s="208"/>
    </row>
    <row r="162" ht="14.25" customHeight="1">
      <c r="A162" s="208"/>
      <c r="B162" s="208"/>
      <c r="C162" s="208"/>
      <c r="D162" s="208"/>
      <c r="E162" s="208"/>
      <c r="F162" s="208"/>
    </row>
    <row r="163" ht="14.25" customHeight="1">
      <c r="A163" s="208"/>
      <c r="B163" s="208"/>
      <c r="C163" s="208"/>
      <c r="D163" s="208"/>
      <c r="E163" s="208"/>
      <c r="F163" s="208"/>
    </row>
    <row r="164" ht="14.25" customHeight="1">
      <c r="A164" s="208"/>
      <c r="B164" s="208"/>
      <c r="C164" s="208"/>
      <c r="D164" s="208"/>
      <c r="E164" s="208"/>
      <c r="F164" s="208"/>
    </row>
    <row r="165" ht="14.25" customHeight="1">
      <c r="A165" s="208"/>
      <c r="B165" s="208"/>
      <c r="C165" s="208"/>
      <c r="D165" s="208"/>
      <c r="E165" s="208"/>
      <c r="F165" s="208"/>
    </row>
    <row r="166" ht="14.25" customHeight="1">
      <c r="A166" s="208"/>
      <c r="B166" s="208"/>
      <c r="C166" s="208"/>
      <c r="D166" s="208"/>
      <c r="E166" s="208"/>
      <c r="F166" s="208"/>
    </row>
    <row r="167" ht="14.25" customHeight="1">
      <c r="A167" s="208"/>
      <c r="B167" s="208"/>
      <c r="C167" s="208"/>
      <c r="D167" s="208"/>
      <c r="E167" s="208"/>
      <c r="F167" s="208"/>
    </row>
    <row r="168" ht="14.25" customHeight="1">
      <c r="A168" s="208"/>
      <c r="B168" s="208"/>
      <c r="C168" s="208"/>
      <c r="D168" s="208"/>
      <c r="E168" s="208"/>
      <c r="F168" s="208"/>
    </row>
    <row r="169" ht="14.25" customHeight="1">
      <c r="A169" s="208"/>
      <c r="B169" s="208"/>
      <c r="C169" s="208"/>
      <c r="D169" s="208"/>
      <c r="E169" s="208"/>
      <c r="F169" s="208"/>
    </row>
    <row r="170" ht="14.25" customHeight="1">
      <c r="A170" s="208"/>
      <c r="B170" s="208"/>
      <c r="C170" s="208"/>
      <c r="D170" s="208"/>
      <c r="E170" s="208"/>
      <c r="F170" s="208"/>
    </row>
    <row r="171" ht="14.25" customHeight="1">
      <c r="A171" s="208"/>
      <c r="B171" s="208"/>
      <c r="C171" s="208"/>
      <c r="D171" s="208"/>
      <c r="E171" s="208"/>
      <c r="F171" s="208"/>
    </row>
    <row r="172" ht="14.25" customHeight="1">
      <c r="A172" s="208"/>
      <c r="B172" s="208"/>
      <c r="C172" s="208"/>
      <c r="D172" s="208"/>
      <c r="E172" s="208"/>
      <c r="F172" s="208"/>
    </row>
    <row r="173" ht="14.25" customHeight="1">
      <c r="A173" s="208"/>
      <c r="B173" s="208"/>
      <c r="C173" s="208"/>
      <c r="D173" s="208"/>
      <c r="E173" s="208"/>
      <c r="F173" s="208"/>
    </row>
    <row r="174" ht="14.25" customHeight="1">
      <c r="A174" s="208"/>
      <c r="B174" s="208"/>
      <c r="C174" s="208"/>
      <c r="D174" s="208"/>
      <c r="E174" s="208"/>
      <c r="F174" s="208"/>
    </row>
    <row r="175" ht="14.25" customHeight="1">
      <c r="A175" s="208"/>
      <c r="B175" s="208"/>
      <c r="C175" s="208"/>
      <c r="D175" s="208"/>
      <c r="E175" s="208"/>
      <c r="F175" s="208"/>
    </row>
    <row r="176" ht="14.25" customHeight="1">
      <c r="A176" s="208"/>
      <c r="B176" s="208"/>
      <c r="C176" s="208"/>
      <c r="D176" s="208"/>
      <c r="E176" s="208"/>
      <c r="F176" s="208"/>
    </row>
    <row r="177" ht="14.25" customHeight="1">
      <c r="A177" s="208"/>
      <c r="B177" s="208"/>
      <c r="C177" s="208"/>
      <c r="D177" s="208"/>
      <c r="E177" s="208"/>
      <c r="F177" s="208"/>
    </row>
    <row r="178" ht="14.25" customHeight="1">
      <c r="A178" s="208"/>
      <c r="B178" s="208"/>
      <c r="C178" s="208"/>
      <c r="D178" s="208"/>
      <c r="E178" s="208"/>
      <c r="F178" s="208"/>
    </row>
    <row r="179" ht="14.25" customHeight="1">
      <c r="A179" s="208"/>
      <c r="B179" s="208"/>
      <c r="C179" s="208"/>
      <c r="D179" s="208"/>
      <c r="E179" s="208"/>
      <c r="F179" s="208"/>
    </row>
    <row r="180" ht="14.25" customHeight="1">
      <c r="A180" s="208"/>
      <c r="B180" s="208"/>
      <c r="C180" s="208"/>
      <c r="D180" s="208"/>
      <c r="E180" s="208"/>
      <c r="F180" s="208"/>
    </row>
    <row r="181" ht="14.25" customHeight="1">
      <c r="A181" s="208"/>
      <c r="B181" s="208"/>
      <c r="C181" s="208"/>
      <c r="D181" s="208"/>
      <c r="E181" s="208"/>
      <c r="F181" s="208"/>
    </row>
    <row r="182" ht="14.25" customHeight="1">
      <c r="A182" s="208"/>
      <c r="B182" s="208"/>
      <c r="C182" s="208"/>
      <c r="D182" s="208"/>
      <c r="E182" s="208"/>
      <c r="F182" s="208"/>
    </row>
    <row r="183" ht="14.25" customHeight="1">
      <c r="A183" s="208"/>
      <c r="B183" s="208"/>
      <c r="C183" s="208"/>
      <c r="D183" s="208"/>
      <c r="E183" s="208"/>
      <c r="F183" s="208"/>
    </row>
    <row r="184" ht="14.25" customHeight="1">
      <c r="A184" s="208"/>
      <c r="B184" s="208"/>
      <c r="C184" s="208"/>
      <c r="D184" s="208"/>
      <c r="E184" s="208"/>
      <c r="F184" s="208"/>
    </row>
    <row r="185" ht="14.25" customHeight="1">
      <c r="A185" s="208"/>
      <c r="B185" s="208"/>
      <c r="C185" s="208"/>
      <c r="D185" s="208"/>
      <c r="E185" s="208"/>
      <c r="F185" s="208"/>
    </row>
    <row r="186" ht="14.25" customHeight="1">
      <c r="A186" s="208"/>
      <c r="B186" s="208"/>
      <c r="C186" s="208"/>
      <c r="D186" s="208"/>
      <c r="E186" s="208"/>
      <c r="F186" s="208"/>
    </row>
    <row r="187" ht="14.25" customHeight="1">
      <c r="A187" s="208"/>
      <c r="B187" s="208"/>
      <c r="C187" s="208"/>
      <c r="D187" s="208"/>
      <c r="E187" s="208"/>
      <c r="F187" s="208"/>
    </row>
    <row r="188" ht="14.25" customHeight="1">
      <c r="A188" s="208"/>
      <c r="B188" s="208"/>
      <c r="C188" s="208"/>
      <c r="D188" s="208"/>
      <c r="E188" s="208"/>
      <c r="F188" s="208"/>
    </row>
    <row r="189" ht="14.25" customHeight="1">
      <c r="A189" s="208"/>
      <c r="B189" s="208"/>
      <c r="C189" s="208"/>
      <c r="D189" s="208"/>
      <c r="E189" s="208"/>
      <c r="F189" s="208"/>
    </row>
    <row r="190" ht="14.25" customHeight="1">
      <c r="A190" s="208"/>
      <c r="B190" s="208"/>
      <c r="C190" s="208"/>
      <c r="D190" s="208"/>
      <c r="E190" s="208"/>
      <c r="F190" s="208"/>
    </row>
    <row r="191" ht="14.25" customHeight="1">
      <c r="A191" s="208"/>
      <c r="B191" s="208"/>
      <c r="C191" s="208"/>
      <c r="D191" s="208"/>
      <c r="E191" s="208"/>
      <c r="F191" s="208"/>
    </row>
    <row r="192" ht="14.25" customHeight="1">
      <c r="A192" s="208"/>
      <c r="B192" s="208"/>
      <c r="C192" s="208"/>
      <c r="D192" s="208"/>
      <c r="E192" s="208"/>
      <c r="F192" s="208"/>
    </row>
    <row r="193" ht="14.25" customHeight="1">
      <c r="A193" s="208"/>
      <c r="B193" s="208"/>
      <c r="C193" s="208"/>
      <c r="D193" s="208"/>
      <c r="E193" s="208"/>
      <c r="F193" s="208"/>
    </row>
    <row r="194" ht="14.25" customHeight="1">
      <c r="A194" s="208"/>
      <c r="B194" s="208"/>
      <c r="C194" s="208"/>
      <c r="D194" s="208"/>
      <c r="E194" s="208"/>
      <c r="F194" s="208"/>
    </row>
    <row r="195" ht="14.25" customHeight="1">
      <c r="A195" s="208"/>
      <c r="B195" s="208"/>
      <c r="C195" s="208"/>
      <c r="D195" s="208"/>
      <c r="E195" s="208"/>
      <c r="F195" s="208"/>
    </row>
    <row r="196" ht="14.25" customHeight="1">
      <c r="A196" s="208"/>
      <c r="B196" s="208"/>
      <c r="C196" s="208"/>
      <c r="D196" s="208"/>
      <c r="E196" s="208"/>
      <c r="F196" s="208"/>
    </row>
    <row r="197" ht="14.25" customHeight="1">
      <c r="A197" s="208"/>
      <c r="B197" s="208"/>
      <c r="C197" s="208"/>
      <c r="D197" s="208"/>
      <c r="E197" s="208"/>
      <c r="F197" s="208"/>
    </row>
    <row r="198" ht="14.25" customHeight="1">
      <c r="A198" s="208"/>
      <c r="B198" s="208"/>
      <c r="C198" s="208"/>
      <c r="D198" s="208"/>
      <c r="E198" s="208"/>
      <c r="F198" s="208"/>
    </row>
    <row r="199" ht="14.25" customHeight="1">
      <c r="A199" s="208"/>
      <c r="B199" s="208"/>
      <c r="C199" s="208"/>
      <c r="D199" s="208"/>
      <c r="E199" s="208"/>
      <c r="F199" s="208"/>
    </row>
    <row r="200" ht="14.25" customHeight="1">
      <c r="A200" s="208"/>
      <c r="B200" s="208"/>
      <c r="C200" s="208"/>
      <c r="D200" s="208"/>
      <c r="E200" s="208"/>
      <c r="F200" s="208"/>
    </row>
    <row r="201" ht="14.25" customHeight="1">
      <c r="A201" s="208"/>
      <c r="B201" s="208"/>
      <c r="C201" s="208"/>
      <c r="D201" s="208"/>
      <c r="E201" s="208"/>
      <c r="F201" s="208"/>
    </row>
    <row r="202" ht="14.25" customHeight="1">
      <c r="A202" s="208"/>
      <c r="B202" s="208"/>
      <c r="C202" s="208"/>
      <c r="D202" s="208"/>
      <c r="E202" s="208"/>
      <c r="F202" s="208"/>
    </row>
    <row r="203" ht="14.25" customHeight="1">
      <c r="A203" s="208"/>
      <c r="B203" s="208"/>
      <c r="C203" s="208"/>
      <c r="D203" s="208"/>
      <c r="E203" s="208"/>
      <c r="F203" s="208"/>
    </row>
    <row r="204" ht="14.25" customHeight="1">
      <c r="A204" s="208"/>
      <c r="B204" s="208"/>
      <c r="C204" s="208"/>
      <c r="D204" s="208"/>
      <c r="E204" s="208"/>
      <c r="F204" s="208"/>
    </row>
    <row r="205" ht="14.25" customHeight="1">
      <c r="A205" s="208"/>
      <c r="B205" s="208"/>
      <c r="C205" s="208"/>
      <c r="D205" s="208"/>
      <c r="E205" s="208"/>
      <c r="F205" s="208"/>
    </row>
    <row r="206" ht="14.25" customHeight="1">
      <c r="A206" s="208"/>
      <c r="B206" s="208"/>
      <c r="C206" s="208"/>
      <c r="D206" s="208"/>
      <c r="E206" s="208"/>
      <c r="F206" s="208"/>
    </row>
    <row r="207" ht="14.25" customHeight="1">
      <c r="A207" s="208"/>
      <c r="B207" s="208"/>
      <c r="C207" s="208"/>
      <c r="D207" s="208"/>
      <c r="E207" s="208"/>
      <c r="F207" s="208"/>
    </row>
    <row r="208" ht="14.25" customHeight="1">
      <c r="A208" s="208"/>
      <c r="B208" s="208"/>
      <c r="C208" s="208"/>
      <c r="D208" s="208"/>
      <c r="E208" s="208"/>
      <c r="F208" s="208"/>
    </row>
    <row r="209" ht="14.25" customHeight="1">
      <c r="A209" s="208"/>
      <c r="B209" s="208"/>
      <c r="C209" s="208"/>
      <c r="D209" s="208"/>
      <c r="E209" s="208"/>
      <c r="F209" s="208"/>
    </row>
    <row r="210" ht="14.25" customHeight="1">
      <c r="A210" s="208"/>
      <c r="B210" s="208"/>
      <c r="C210" s="208"/>
      <c r="D210" s="208"/>
      <c r="E210" s="208"/>
      <c r="F210" s="208"/>
    </row>
    <row r="211" ht="14.25" customHeight="1">
      <c r="A211" s="208"/>
      <c r="B211" s="208"/>
      <c r="C211" s="208"/>
      <c r="D211" s="208"/>
      <c r="E211" s="208"/>
      <c r="F211" s="208"/>
    </row>
    <row r="212" ht="14.25" customHeight="1">
      <c r="A212" s="208"/>
      <c r="B212" s="208"/>
      <c r="C212" s="208"/>
      <c r="D212" s="208"/>
      <c r="E212" s="208"/>
      <c r="F212" s="208"/>
    </row>
    <row r="213" ht="14.25" customHeight="1">
      <c r="A213" s="208"/>
      <c r="B213" s="208"/>
      <c r="C213" s="208"/>
      <c r="D213" s="208"/>
      <c r="E213" s="208"/>
      <c r="F213" s="208"/>
    </row>
    <row r="214" ht="14.25" customHeight="1">
      <c r="A214" s="208"/>
      <c r="B214" s="208"/>
      <c r="C214" s="208"/>
      <c r="D214" s="208"/>
      <c r="E214" s="208"/>
      <c r="F214" s="208"/>
    </row>
    <row r="215" ht="14.25" customHeight="1">
      <c r="A215" s="208"/>
      <c r="B215" s="208"/>
      <c r="C215" s="208"/>
      <c r="D215" s="208"/>
      <c r="E215" s="208"/>
      <c r="F215" s="208"/>
    </row>
    <row r="216" ht="14.25" customHeight="1">
      <c r="A216" s="208"/>
      <c r="B216" s="208"/>
      <c r="C216" s="208"/>
      <c r="D216" s="208"/>
      <c r="E216" s="208"/>
      <c r="F216" s="208"/>
    </row>
    <row r="217" ht="14.25" customHeight="1">
      <c r="A217" s="208"/>
      <c r="B217" s="208"/>
      <c r="C217" s="208"/>
      <c r="D217" s="208"/>
      <c r="E217" s="208"/>
      <c r="F217" s="208"/>
    </row>
    <row r="218" ht="14.25" customHeight="1">
      <c r="A218" s="208"/>
      <c r="B218" s="208"/>
      <c r="C218" s="208"/>
      <c r="D218" s="208"/>
      <c r="E218" s="208"/>
      <c r="F218" s="208"/>
    </row>
    <row r="219" ht="14.25" customHeight="1">
      <c r="A219" s="208"/>
      <c r="B219" s="208"/>
      <c r="C219" s="208"/>
      <c r="D219" s="208"/>
      <c r="E219" s="208"/>
      <c r="F219" s="208"/>
    </row>
    <row r="220" ht="14.25" customHeight="1">
      <c r="A220" s="208"/>
      <c r="B220" s="208"/>
      <c r="C220" s="208"/>
      <c r="D220" s="208"/>
      <c r="E220" s="208"/>
      <c r="F220" s="208"/>
    </row>
    <row r="221" ht="14.25" customHeight="1">
      <c r="A221" s="208"/>
      <c r="B221" s="208"/>
      <c r="C221" s="208"/>
      <c r="D221" s="208"/>
      <c r="E221" s="208"/>
      <c r="F221" s="208"/>
    </row>
    <row r="222" ht="14.25" customHeight="1">
      <c r="A222" s="208"/>
      <c r="B222" s="208"/>
      <c r="C222" s="208"/>
      <c r="D222" s="208"/>
      <c r="E222" s="208"/>
      <c r="F222" s="208"/>
    </row>
    <row r="223" ht="14.25" customHeight="1">
      <c r="A223" s="208"/>
      <c r="B223" s="208"/>
      <c r="C223" s="208"/>
      <c r="D223" s="208"/>
      <c r="E223" s="208"/>
      <c r="F223" s="208"/>
    </row>
    <row r="224" ht="14.25" customHeight="1">
      <c r="A224" s="208"/>
      <c r="B224" s="208"/>
      <c r="C224" s="208"/>
      <c r="D224" s="208"/>
      <c r="E224" s="208"/>
      <c r="F224" s="208"/>
    </row>
    <row r="225" ht="14.25" customHeight="1">
      <c r="A225" s="208"/>
      <c r="B225" s="208"/>
      <c r="C225" s="208"/>
      <c r="D225" s="208"/>
      <c r="E225" s="208"/>
      <c r="F225" s="208"/>
    </row>
    <row r="226" ht="14.25" customHeight="1">
      <c r="A226" s="208"/>
      <c r="B226" s="208"/>
      <c r="C226" s="208"/>
      <c r="D226" s="208"/>
      <c r="E226" s="208"/>
      <c r="F226" s="208"/>
    </row>
    <row r="227" ht="14.25" customHeight="1">
      <c r="A227" s="208"/>
      <c r="B227" s="208"/>
      <c r="C227" s="208"/>
      <c r="D227" s="208"/>
      <c r="E227" s="208"/>
      <c r="F227" s="208"/>
    </row>
    <row r="228" ht="14.25" customHeight="1">
      <c r="A228" s="208"/>
      <c r="B228" s="208"/>
      <c r="C228" s="208"/>
      <c r="D228" s="208"/>
      <c r="E228" s="208"/>
      <c r="F228" s="208"/>
    </row>
    <row r="229" ht="14.25" customHeight="1">
      <c r="A229" s="208"/>
      <c r="B229" s="208"/>
      <c r="C229" s="208"/>
      <c r="D229" s="208"/>
      <c r="E229" s="208"/>
      <c r="F229" s="208"/>
    </row>
    <row r="230" ht="14.25" customHeight="1">
      <c r="A230" s="208"/>
      <c r="B230" s="208"/>
      <c r="C230" s="208"/>
      <c r="D230" s="208"/>
      <c r="E230" s="208"/>
      <c r="F230" s="208"/>
    </row>
    <row r="231" ht="14.25" customHeight="1">
      <c r="A231" s="208"/>
      <c r="B231" s="208"/>
      <c r="C231" s="208"/>
      <c r="D231" s="208"/>
      <c r="E231" s="208"/>
      <c r="F231" s="208"/>
    </row>
    <row r="232" ht="14.25" customHeight="1">
      <c r="A232" s="208"/>
      <c r="B232" s="208"/>
      <c r="C232" s="208"/>
      <c r="D232" s="208"/>
      <c r="E232" s="208"/>
      <c r="F232" s="208"/>
    </row>
    <row r="233" ht="14.25" customHeight="1">
      <c r="A233" s="208"/>
      <c r="B233" s="208"/>
      <c r="C233" s="208"/>
      <c r="D233" s="208"/>
      <c r="E233" s="208"/>
      <c r="F233" s="208"/>
    </row>
    <row r="234" ht="14.25" customHeight="1">
      <c r="A234" s="208"/>
      <c r="B234" s="208"/>
      <c r="C234" s="208"/>
      <c r="D234" s="208"/>
      <c r="E234" s="208"/>
      <c r="F234" s="208"/>
    </row>
    <row r="235" ht="14.25" customHeight="1">
      <c r="A235" s="208"/>
      <c r="B235" s="208"/>
      <c r="C235" s="208"/>
      <c r="D235" s="208"/>
      <c r="E235" s="208"/>
      <c r="F235" s="208"/>
    </row>
    <row r="236" ht="14.25" customHeight="1">
      <c r="A236" s="208"/>
      <c r="B236" s="208"/>
      <c r="C236" s="208"/>
      <c r="D236" s="208"/>
      <c r="E236" s="208"/>
      <c r="F236" s="208"/>
    </row>
    <row r="237" ht="14.25" customHeight="1">
      <c r="A237" s="208"/>
      <c r="B237" s="208"/>
      <c r="C237" s="208"/>
      <c r="D237" s="208"/>
      <c r="E237" s="208"/>
      <c r="F237" s="208"/>
    </row>
    <row r="238" ht="14.25" customHeight="1">
      <c r="A238" s="208"/>
      <c r="B238" s="208"/>
      <c r="C238" s="208"/>
      <c r="D238" s="208"/>
      <c r="E238" s="208"/>
      <c r="F238" s="208"/>
    </row>
    <row r="239" ht="14.25" customHeight="1">
      <c r="A239" s="208"/>
      <c r="B239" s="208"/>
      <c r="C239" s="208"/>
      <c r="D239" s="208"/>
      <c r="E239" s="208"/>
      <c r="F239" s="208"/>
    </row>
    <row r="240" ht="14.25" customHeight="1">
      <c r="A240" s="208"/>
      <c r="B240" s="208"/>
      <c r="C240" s="208"/>
      <c r="D240" s="208"/>
      <c r="E240" s="208"/>
      <c r="F240" s="208"/>
    </row>
    <row r="241" ht="14.25" customHeight="1">
      <c r="A241" s="208"/>
      <c r="B241" s="208"/>
      <c r="C241" s="208"/>
      <c r="D241" s="208"/>
      <c r="E241" s="208"/>
      <c r="F241" s="208"/>
    </row>
    <row r="242" ht="14.25" customHeight="1">
      <c r="A242" s="208"/>
      <c r="B242" s="208"/>
      <c r="C242" s="208"/>
      <c r="D242" s="208"/>
      <c r="E242" s="208"/>
      <c r="F242" s="208"/>
    </row>
    <row r="243" ht="14.25" customHeight="1">
      <c r="A243" s="208"/>
      <c r="B243" s="208"/>
      <c r="C243" s="208"/>
      <c r="D243" s="208"/>
      <c r="E243" s="208"/>
      <c r="F243" s="208"/>
    </row>
    <row r="244" ht="14.25" customHeight="1">
      <c r="A244" s="208"/>
      <c r="B244" s="208"/>
      <c r="C244" s="208"/>
      <c r="D244" s="208"/>
      <c r="E244" s="208"/>
      <c r="F244" s="208"/>
    </row>
    <row r="245" ht="14.25" customHeight="1">
      <c r="A245" s="208"/>
      <c r="B245" s="208"/>
      <c r="C245" s="208"/>
      <c r="D245" s="208"/>
      <c r="E245" s="208"/>
      <c r="F245" s="208"/>
    </row>
    <row r="246" ht="14.25" customHeight="1">
      <c r="A246" s="208"/>
      <c r="B246" s="208"/>
      <c r="C246" s="208"/>
      <c r="D246" s="208"/>
      <c r="E246" s="208"/>
      <c r="F246" s="208"/>
    </row>
    <row r="247" ht="14.25" customHeight="1">
      <c r="A247" s="208"/>
      <c r="B247" s="208"/>
      <c r="C247" s="208"/>
      <c r="D247" s="208"/>
      <c r="E247" s="208"/>
      <c r="F247" s="208"/>
    </row>
    <row r="248" ht="14.25" customHeight="1">
      <c r="A248" s="208"/>
      <c r="B248" s="208"/>
      <c r="C248" s="208"/>
      <c r="D248" s="208"/>
      <c r="E248" s="208"/>
      <c r="F248" s="208"/>
    </row>
    <row r="249" ht="14.25" customHeight="1">
      <c r="A249" s="208"/>
      <c r="B249" s="208"/>
      <c r="C249" s="208"/>
      <c r="D249" s="208"/>
      <c r="E249" s="208"/>
      <c r="F249" s="208"/>
    </row>
    <row r="250" ht="14.25" customHeight="1">
      <c r="A250" s="208"/>
      <c r="B250" s="208"/>
      <c r="C250" s="208"/>
      <c r="D250" s="208"/>
      <c r="E250" s="208"/>
      <c r="F250" s="208"/>
    </row>
    <row r="251" ht="14.25" customHeight="1">
      <c r="A251" s="208"/>
      <c r="B251" s="208"/>
      <c r="C251" s="208"/>
      <c r="D251" s="208"/>
      <c r="E251" s="208"/>
      <c r="F251" s="208"/>
    </row>
    <row r="252" ht="14.25" customHeight="1">
      <c r="A252" s="208"/>
      <c r="B252" s="208"/>
      <c r="C252" s="208"/>
      <c r="D252" s="208"/>
      <c r="E252" s="208"/>
      <c r="F252" s="208"/>
    </row>
    <row r="253" ht="14.25" customHeight="1">
      <c r="A253" s="208"/>
      <c r="B253" s="208"/>
      <c r="C253" s="208"/>
      <c r="D253" s="208"/>
      <c r="E253" s="208"/>
      <c r="F253" s="208"/>
    </row>
    <row r="254" ht="14.25" customHeight="1">
      <c r="A254" s="208"/>
      <c r="B254" s="208"/>
      <c r="C254" s="208"/>
      <c r="D254" s="208"/>
      <c r="E254" s="208"/>
      <c r="F254" s="208"/>
    </row>
    <row r="255" ht="14.25" customHeight="1">
      <c r="A255" s="208"/>
      <c r="B255" s="208"/>
      <c r="C255" s="208"/>
      <c r="D255" s="208"/>
      <c r="E255" s="208"/>
      <c r="F255" s="208"/>
    </row>
    <row r="256" ht="14.25" customHeight="1">
      <c r="A256" s="208"/>
      <c r="B256" s="208"/>
      <c r="C256" s="208"/>
      <c r="D256" s="208"/>
      <c r="E256" s="208"/>
      <c r="F256" s="208"/>
    </row>
    <row r="257" ht="14.25" customHeight="1">
      <c r="A257" s="208"/>
      <c r="B257" s="208"/>
      <c r="C257" s="208"/>
      <c r="D257" s="208"/>
      <c r="E257" s="208"/>
      <c r="F257" s="208"/>
    </row>
    <row r="258" ht="14.25" customHeight="1">
      <c r="A258" s="208"/>
      <c r="B258" s="208"/>
      <c r="C258" s="208"/>
      <c r="D258" s="208"/>
      <c r="E258" s="208"/>
      <c r="F258" s="208"/>
    </row>
    <row r="259" ht="14.25" customHeight="1">
      <c r="A259" s="208"/>
      <c r="B259" s="208"/>
      <c r="C259" s="208"/>
      <c r="D259" s="208"/>
      <c r="E259" s="208"/>
      <c r="F259" s="208"/>
    </row>
    <row r="260" ht="14.25" customHeight="1">
      <c r="A260" s="208"/>
      <c r="B260" s="208"/>
      <c r="C260" s="208"/>
      <c r="D260" s="208"/>
      <c r="E260" s="208"/>
      <c r="F260" s="208"/>
    </row>
    <row r="261" ht="14.25" customHeight="1">
      <c r="A261" s="208"/>
      <c r="B261" s="208"/>
      <c r="C261" s="208"/>
      <c r="D261" s="208"/>
      <c r="E261" s="208"/>
      <c r="F261" s="208"/>
    </row>
    <row r="262" ht="14.25" customHeight="1">
      <c r="A262" s="208"/>
      <c r="B262" s="208"/>
      <c r="C262" s="208"/>
      <c r="D262" s="208"/>
      <c r="E262" s="208"/>
      <c r="F262" s="208"/>
    </row>
    <row r="263" ht="14.25" customHeight="1">
      <c r="A263" s="208"/>
      <c r="B263" s="208"/>
      <c r="C263" s="208"/>
      <c r="D263" s="208"/>
      <c r="E263" s="208"/>
      <c r="F263" s="208"/>
    </row>
    <row r="264" ht="14.25" customHeight="1">
      <c r="A264" s="208"/>
      <c r="B264" s="208"/>
      <c r="C264" s="208"/>
      <c r="D264" s="208"/>
      <c r="E264" s="208"/>
      <c r="F264" s="208"/>
    </row>
    <row r="265" ht="14.25" customHeight="1">
      <c r="A265" s="208"/>
      <c r="B265" s="208"/>
      <c r="C265" s="208"/>
      <c r="D265" s="208"/>
      <c r="E265" s="208"/>
      <c r="F265" s="208"/>
    </row>
    <row r="266" ht="14.25" customHeight="1">
      <c r="A266" s="208"/>
      <c r="B266" s="208"/>
      <c r="C266" s="208"/>
      <c r="D266" s="208"/>
      <c r="E266" s="208"/>
      <c r="F266" s="208"/>
    </row>
    <row r="267" ht="14.25" customHeight="1">
      <c r="A267" s="208"/>
      <c r="B267" s="208"/>
      <c r="C267" s="208"/>
      <c r="D267" s="208"/>
      <c r="E267" s="208"/>
      <c r="F267" s="208"/>
    </row>
    <row r="268" ht="14.25" customHeight="1">
      <c r="A268" s="208"/>
      <c r="B268" s="208"/>
      <c r="C268" s="208"/>
      <c r="D268" s="208"/>
      <c r="E268" s="208"/>
      <c r="F268" s="208"/>
    </row>
    <row r="269" ht="14.25" customHeight="1">
      <c r="A269" s="208"/>
      <c r="B269" s="208"/>
      <c r="C269" s="208"/>
      <c r="D269" s="208"/>
      <c r="E269" s="208"/>
      <c r="F269" s="208"/>
    </row>
    <row r="270" ht="14.25" customHeight="1">
      <c r="A270" s="208"/>
      <c r="B270" s="208"/>
      <c r="C270" s="208"/>
      <c r="D270" s="208"/>
      <c r="E270" s="208"/>
      <c r="F270" s="208"/>
    </row>
    <row r="271" ht="14.25" customHeight="1">
      <c r="A271" s="208"/>
      <c r="B271" s="208"/>
      <c r="C271" s="208"/>
      <c r="D271" s="208"/>
      <c r="E271" s="208"/>
      <c r="F271" s="208"/>
    </row>
    <row r="272" ht="14.25" customHeight="1">
      <c r="A272" s="208"/>
      <c r="B272" s="208"/>
      <c r="C272" s="208"/>
      <c r="D272" s="208"/>
      <c r="E272" s="208"/>
      <c r="F272" s="208"/>
    </row>
    <row r="273" ht="14.25" customHeight="1">
      <c r="A273" s="208"/>
      <c r="B273" s="208"/>
      <c r="C273" s="208"/>
      <c r="D273" s="208"/>
      <c r="E273" s="208"/>
      <c r="F273" s="208"/>
    </row>
    <row r="274" ht="14.25" customHeight="1">
      <c r="A274" s="208"/>
      <c r="B274" s="208"/>
      <c r="C274" s="208"/>
      <c r="D274" s="208"/>
      <c r="E274" s="208"/>
      <c r="F274" s="208"/>
    </row>
    <row r="275" ht="14.25" customHeight="1">
      <c r="A275" s="208"/>
      <c r="B275" s="208"/>
      <c r="C275" s="208"/>
      <c r="D275" s="208"/>
      <c r="E275" s="208"/>
      <c r="F275" s="208"/>
    </row>
    <row r="276" ht="14.25" customHeight="1">
      <c r="A276" s="208"/>
      <c r="B276" s="208"/>
      <c r="C276" s="208"/>
      <c r="D276" s="208"/>
      <c r="E276" s="208"/>
      <c r="F276" s="208"/>
    </row>
    <row r="277" ht="14.25" customHeight="1">
      <c r="A277" s="208"/>
      <c r="B277" s="208"/>
      <c r="C277" s="208"/>
      <c r="D277" s="208"/>
      <c r="E277" s="208"/>
      <c r="F277" s="208"/>
    </row>
    <row r="278" ht="14.25" customHeight="1">
      <c r="A278" s="208"/>
      <c r="B278" s="208"/>
      <c r="C278" s="208"/>
      <c r="D278" s="208"/>
      <c r="E278" s="208"/>
      <c r="F278" s="208"/>
    </row>
    <row r="279" ht="14.25" customHeight="1">
      <c r="A279" s="208"/>
      <c r="B279" s="208"/>
      <c r="C279" s="208"/>
      <c r="D279" s="208"/>
      <c r="E279" s="208"/>
      <c r="F279" s="208"/>
    </row>
    <row r="280" ht="14.25" customHeight="1">
      <c r="A280" s="208"/>
      <c r="B280" s="208"/>
      <c r="C280" s="208"/>
      <c r="D280" s="208"/>
      <c r="E280" s="208"/>
      <c r="F280" s="208"/>
    </row>
    <row r="281" ht="14.25" customHeight="1">
      <c r="A281" s="208"/>
      <c r="B281" s="208"/>
      <c r="C281" s="208"/>
      <c r="D281" s="208"/>
      <c r="E281" s="208"/>
      <c r="F281" s="208"/>
    </row>
    <row r="282" ht="14.25" customHeight="1">
      <c r="A282" s="208"/>
      <c r="B282" s="208"/>
      <c r="C282" s="208"/>
      <c r="D282" s="208"/>
      <c r="E282" s="208"/>
      <c r="F282" s="208"/>
    </row>
    <row r="283" ht="14.25" customHeight="1">
      <c r="A283" s="208"/>
      <c r="B283" s="208"/>
      <c r="C283" s="208"/>
      <c r="D283" s="208"/>
      <c r="E283" s="208"/>
      <c r="F283" s="208"/>
    </row>
    <row r="284" ht="14.25" customHeight="1">
      <c r="A284" s="208"/>
      <c r="B284" s="208"/>
      <c r="C284" s="208"/>
      <c r="D284" s="208"/>
      <c r="E284" s="208"/>
      <c r="F284" s="208"/>
    </row>
    <row r="285" ht="14.25" customHeight="1">
      <c r="A285" s="208"/>
      <c r="B285" s="208"/>
      <c r="C285" s="208"/>
      <c r="D285" s="208"/>
      <c r="E285" s="208"/>
      <c r="F285" s="208"/>
    </row>
    <row r="286" ht="14.25" customHeight="1">
      <c r="A286" s="208"/>
      <c r="B286" s="208"/>
      <c r="C286" s="208"/>
      <c r="D286" s="208"/>
      <c r="E286" s="208"/>
      <c r="F286" s="208"/>
    </row>
    <row r="287" ht="14.25" customHeight="1">
      <c r="A287" s="208"/>
      <c r="B287" s="208"/>
      <c r="C287" s="208"/>
      <c r="D287" s="208"/>
      <c r="E287" s="208"/>
      <c r="F287" s="208"/>
    </row>
    <row r="288" ht="14.25" customHeight="1">
      <c r="A288" s="208"/>
      <c r="B288" s="208"/>
      <c r="C288" s="208"/>
      <c r="D288" s="208"/>
      <c r="E288" s="208"/>
      <c r="F288" s="208"/>
    </row>
    <row r="289" ht="14.25" customHeight="1">
      <c r="A289" s="208"/>
      <c r="B289" s="208"/>
      <c r="C289" s="208"/>
      <c r="D289" s="208"/>
      <c r="E289" s="208"/>
      <c r="F289" s="208"/>
    </row>
    <row r="290" ht="14.25" customHeight="1">
      <c r="A290" s="208"/>
      <c r="B290" s="208"/>
      <c r="C290" s="208"/>
      <c r="D290" s="208"/>
      <c r="E290" s="208"/>
      <c r="F290" s="208"/>
    </row>
    <row r="291" ht="14.25" customHeight="1">
      <c r="A291" s="208"/>
      <c r="B291" s="208"/>
      <c r="C291" s="208"/>
      <c r="D291" s="208"/>
      <c r="E291" s="208"/>
      <c r="F291" s="208"/>
    </row>
    <row r="292" ht="14.25" customHeight="1">
      <c r="A292" s="208"/>
      <c r="B292" s="208"/>
      <c r="C292" s="208"/>
      <c r="D292" s="208"/>
      <c r="E292" s="208"/>
      <c r="F292" s="208"/>
    </row>
    <row r="293" ht="14.25" customHeight="1">
      <c r="A293" s="208"/>
      <c r="B293" s="208"/>
      <c r="C293" s="208"/>
      <c r="D293" s="208"/>
      <c r="E293" s="208"/>
      <c r="F293" s="208"/>
    </row>
    <row r="294" ht="14.25" customHeight="1">
      <c r="A294" s="208"/>
      <c r="B294" s="208"/>
      <c r="C294" s="208"/>
      <c r="D294" s="208"/>
      <c r="E294" s="208"/>
      <c r="F294" s="208"/>
    </row>
    <row r="295" ht="14.25" customHeight="1">
      <c r="A295" s="208"/>
      <c r="B295" s="208"/>
      <c r="C295" s="208"/>
      <c r="D295" s="208"/>
      <c r="E295" s="208"/>
      <c r="F295" s="208"/>
    </row>
    <row r="296" ht="14.25" customHeight="1">
      <c r="A296" s="208"/>
      <c r="B296" s="208"/>
      <c r="C296" s="208"/>
      <c r="D296" s="208"/>
      <c r="E296" s="208"/>
      <c r="F296" s="208"/>
    </row>
    <row r="297" ht="14.25" customHeight="1">
      <c r="A297" s="208"/>
      <c r="B297" s="208"/>
      <c r="C297" s="208"/>
      <c r="D297" s="208"/>
      <c r="E297" s="208"/>
      <c r="F297" s="208"/>
    </row>
    <row r="298" ht="14.25" customHeight="1">
      <c r="A298" s="208"/>
      <c r="B298" s="208"/>
      <c r="C298" s="208"/>
      <c r="D298" s="208"/>
      <c r="E298" s="208"/>
      <c r="F298" s="208"/>
    </row>
    <row r="299" ht="14.25" customHeight="1">
      <c r="A299" s="208"/>
      <c r="B299" s="208"/>
      <c r="C299" s="208"/>
      <c r="D299" s="208"/>
      <c r="E299" s="208"/>
      <c r="F299" s="208"/>
    </row>
    <row r="300" ht="14.25" customHeight="1">
      <c r="A300" s="208"/>
      <c r="B300" s="208"/>
      <c r="C300" s="208"/>
      <c r="D300" s="208"/>
      <c r="E300" s="208"/>
      <c r="F300" s="208"/>
    </row>
    <row r="301" ht="14.25" customHeight="1">
      <c r="A301" s="208"/>
      <c r="B301" s="208"/>
      <c r="C301" s="208"/>
      <c r="D301" s="208"/>
      <c r="E301" s="208"/>
      <c r="F301" s="208"/>
    </row>
    <row r="302" ht="14.25" customHeight="1">
      <c r="A302" s="208"/>
      <c r="B302" s="208"/>
      <c r="C302" s="208"/>
      <c r="D302" s="208"/>
      <c r="E302" s="208"/>
      <c r="F302" s="208"/>
    </row>
    <row r="303" ht="14.25" customHeight="1">
      <c r="A303" s="208"/>
      <c r="B303" s="208"/>
      <c r="C303" s="208"/>
      <c r="D303" s="208"/>
      <c r="E303" s="208"/>
      <c r="F303" s="208"/>
    </row>
    <row r="304" ht="14.25" customHeight="1">
      <c r="A304" s="208"/>
      <c r="B304" s="208"/>
      <c r="C304" s="208"/>
      <c r="D304" s="208"/>
      <c r="E304" s="208"/>
      <c r="F304" s="208"/>
    </row>
    <row r="305" ht="14.25" customHeight="1">
      <c r="A305" s="208"/>
      <c r="B305" s="208"/>
      <c r="C305" s="208"/>
      <c r="D305" s="208"/>
      <c r="E305" s="208"/>
      <c r="F305" s="208"/>
    </row>
    <row r="306" ht="14.25" customHeight="1">
      <c r="A306" s="208"/>
      <c r="B306" s="208"/>
      <c r="C306" s="208"/>
      <c r="D306" s="208"/>
      <c r="E306" s="208"/>
      <c r="F306" s="208"/>
    </row>
    <row r="307" ht="14.25" customHeight="1">
      <c r="A307" s="208"/>
      <c r="B307" s="208"/>
      <c r="C307" s="208"/>
      <c r="D307" s="208"/>
      <c r="E307" s="208"/>
      <c r="F307" s="208"/>
    </row>
    <row r="308" ht="14.25" customHeight="1">
      <c r="A308" s="208"/>
      <c r="B308" s="208"/>
      <c r="C308" s="208"/>
      <c r="D308" s="208"/>
      <c r="E308" s="208"/>
      <c r="F308" s="208"/>
    </row>
    <row r="309" ht="14.25" customHeight="1">
      <c r="A309" s="208"/>
      <c r="B309" s="208"/>
      <c r="C309" s="208"/>
      <c r="D309" s="208"/>
      <c r="E309" s="208"/>
      <c r="F309" s="208"/>
    </row>
    <row r="310" ht="14.25" customHeight="1">
      <c r="A310" s="208"/>
      <c r="B310" s="208"/>
      <c r="C310" s="208"/>
      <c r="D310" s="208"/>
      <c r="E310" s="208"/>
      <c r="F310" s="208"/>
    </row>
    <row r="311" ht="14.25" customHeight="1">
      <c r="A311" s="208"/>
      <c r="B311" s="208"/>
      <c r="C311" s="208"/>
      <c r="D311" s="208"/>
      <c r="E311" s="208"/>
      <c r="F311" s="208"/>
    </row>
    <row r="312" ht="14.25" customHeight="1">
      <c r="A312" s="208"/>
      <c r="B312" s="208"/>
      <c r="C312" s="208"/>
      <c r="D312" s="208"/>
      <c r="E312" s="208"/>
      <c r="F312" s="208"/>
    </row>
    <row r="313" ht="14.25" customHeight="1">
      <c r="A313" s="208"/>
      <c r="B313" s="208"/>
      <c r="C313" s="208"/>
      <c r="D313" s="208"/>
      <c r="E313" s="208"/>
      <c r="F313" s="208"/>
    </row>
    <row r="314" ht="14.25" customHeight="1">
      <c r="A314" s="208"/>
      <c r="B314" s="208"/>
      <c r="C314" s="208"/>
      <c r="D314" s="208"/>
      <c r="E314" s="208"/>
      <c r="F314" s="208"/>
    </row>
    <row r="315" ht="14.25" customHeight="1">
      <c r="A315" s="208"/>
      <c r="B315" s="208"/>
      <c r="C315" s="208"/>
      <c r="D315" s="208"/>
      <c r="E315" s="208"/>
      <c r="F315" s="208"/>
    </row>
    <row r="316" ht="14.25" customHeight="1">
      <c r="A316" s="208"/>
      <c r="B316" s="208"/>
      <c r="C316" s="208"/>
      <c r="D316" s="208"/>
      <c r="E316" s="208"/>
      <c r="F316" s="208"/>
    </row>
    <row r="317" ht="14.25" customHeight="1">
      <c r="A317" s="208"/>
      <c r="B317" s="208"/>
      <c r="C317" s="208"/>
      <c r="D317" s="208"/>
      <c r="E317" s="208"/>
      <c r="F317" s="208"/>
    </row>
    <row r="318" ht="14.25" customHeight="1">
      <c r="A318" s="208"/>
      <c r="B318" s="208"/>
      <c r="C318" s="208"/>
      <c r="D318" s="208"/>
      <c r="E318" s="208"/>
      <c r="F318" s="208"/>
    </row>
    <row r="319" ht="14.25" customHeight="1">
      <c r="A319" s="208"/>
      <c r="B319" s="208"/>
      <c r="C319" s="208"/>
      <c r="D319" s="208"/>
      <c r="E319" s="208"/>
      <c r="F319" s="208"/>
    </row>
    <row r="320" ht="14.25" customHeight="1">
      <c r="A320" s="208"/>
      <c r="B320" s="208"/>
      <c r="C320" s="208"/>
      <c r="D320" s="208"/>
      <c r="E320" s="208"/>
      <c r="F320" s="208"/>
    </row>
    <row r="321" ht="14.25" customHeight="1">
      <c r="A321" s="208"/>
      <c r="B321" s="208"/>
      <c r="C321" s="208"/>
      <c r="D321" s="208"/>
      <c r="E321" s="208"/>
      <c r="F321" s="208"/>
    </row>
    <row r="322" ht="14.25" customHeight="1">
      <c r="A322" s="208"/>
      <c r="B322" s="208"/>
      <c r="C322" s="208"/>
      <c r="D322" s="208"/>
      <c r="E322" s="208"/>
      <c r="F322" s="208"/>
    </row>
    <row r="323" ht="14.25" customHeight="1">
      <c r="A323" s="208"/>
      <c r="B323" s="208"/>
      <c r="C323" s="208"/>
      <c r="D323" s="208"/>
      <c r="E323" s="208"/>
      <c r="F323" s="208"/>
    </row>
    <row r="324" ht="14.25" customHeight="1">
      <c r="A324" s="208"/>
      <c r="B324" s="208"/>
      <c r="C324" s="208"/>
      <c r="D324" s="208"/>
      <c r="E324" s="208"/>
      <c r="F324" s="208"/>
    </row>
    <row r="325" ht="14.25" customHeight="1">
      <c r="A325" s="208"/>
      <c r="B325" s="208"/>
      <c r="C325" s="208"/>
      <c r="D325" s="208"/>
      <c r="E325" s="208"/>
      <c r="F325" s="208"/>
    </row>
    <row r="326" ht="14.25" customHeight="1">
      <c r="A326" s="208"/>
      <c r="B326" s="208"/>
      <c r="C326" s="208"/>
      <c r="D326" s="208"/>
      <c r="E326" s="208"/>
      <c r="F326" s="208"/>
    </row>
    <row r="327" ht="14.25" customHeight="1">
      <c r="A327" s="208"/>
      <c r="B327" s="208"/>
      <c r="C327" s="208"/>
      <c r="D327" s="208"/>
      <c r="E327" s="208"/>
      <c r="F327" s="208"/>
    </row>
    <row r="328" ht="14.25" customHeight="1">
      <c r="A328" s="208"/>
      <c r="B328" s="208"/>
      <c r="C328" s="208"/>
      <c r="D328" s="208"/>
      <c r="E328" s="208"/>
      <c r="F328" s="208"/>
    </row>
    <row r="329" ht="14.25" customHeight="1">
      <c r="A329" s="208"/>
      <c r="B329" s="208"/>
      <c r="C329" s="208"/>
      <c r="D329" s="208"/>
      <c r="E329" s="208"/>
      <c r="F329" s="208"/>
    </row>
    <row r="330" ht="14.25" customHeight="1">
      <c r="A330" s="208"/>
      <c r="B330" s="208"/>
      <c r="C330" s="208"/>
      <c r="D330" s="208"/>
      <c r="E330" s="208"/>
      <c r="F330" s="208"/>
    </row>
    <row r="331" ht="14.25" customHeight="1">
      <c r="A331" s="208"/>
      <c r="B331" s="208"/>
      <c r="C331" s="208"/>
      <c r="D331" s="208"/>
      <c r="E331" s="208"/>
      <c r="F331" s="208"/>
    </row>
    <row r="332" ht="14.25" customHeight="1">
      <c r="A332" s="208"/>
      <c r="B332" s="208"/>
      <c r="C332" s="208"/>
      <c r="D332" s="208"/>
      <c r="E332" s="208"/>
      <c r="F332" s="208"/>
    </row>
    <row r="333" ht="14.25" customHeight="1">
      <c r="A333" s="208"/>
      <c r="B333" s="208"/>
      <c r="C333" s="208"/>
      <c r="D333" s="208"/>
      <c r="E333" s="208"/>
      <c r="F333" s="208"/>
    </row>
    <row r="334" ht="14.25" customHeight="1">
      <c r="A334" s="208"/>
      <c r="B334" s="208"/>
      <c r="C334" s="208"/>
      <c r="D334" s="208"/>
      <c r="E334" s="208"/>
      <c r="F334" s="208"/>
    </row>
    <row r="335" ht="14.25" customHeight="1">
      <c r="A335" s="208"/>
      <c r="B335" s="208"/>
      <c r="C335" s="208"/>
      <c r="D335" s="208"/>
      <c r="E335" s="208"/>
      <c r="F335" s="208"/>
    </row>
    <row r="336" ht="14.25" customHeight="1">
      <c r="A336" s="208"/>
      <c r="B336" s="208"/>
      <c r="C336" s="208"/>
      <c r="D336" s="208"/>
      <c r="E336" s="208"/>
      <c r="F336" s="208"/>
    </row>
    <row r="337" ht="14.25" customHeight="1">
      <c r="A337" s="208"/>
      <c r="B337" s="208"/>
      <c r="C337" s="208"/>
      <c r="D337" s="208"/>
      <c r="E337" s="208"/>
      <c r="F337" s="208"/>
    </row>
    <row r="338" ht="14.25" customHeight="1">
      <c r="A338" s="208"/>
      <c r="B338" s="208"/>
      <c r="C338" s="208"/>
      <c r="D338" s="208"/>
      <c r="E338" s="208"/>
      <c r="F338" s="208"/>
    </row>
    <row r="339" ht="14.25" customHeight="1">
      <c r="A339" s="208"/>
      <c r="B339" s="208"/>
      <c r="C339" s="208"/>
      <c r="D339" s="208"/>
      <c r="E339" s="208"/>
      <c r="F339" s="208"/>
    </row>
    <row r="340" ht="14.25" customHeight="1">
      <c r="A340" s="208"/>
      <c r="B340" s="208"/>
      <c r="C340" s="208"/>
      <c r="D340" s="208"/>
      <c r="E340" s="208"/>
      <c r="F340" s="208"/>
    </row>
    <row r="341" ht="14.25" customHeight="1">
      <c r="A341" s="208"/>
      <c r="B341" s="208"/>
      <c r="C341" s="208"/>
      <c r="D341" s="208"/>
      <c r="E341" s="208"/>
      <c r="F341" s="208"/>
    </row>
    <row r="342" ht="14.25" customHeight="1">
      <c r="A342" s="208"/>
      <c r="B342" s="208"/>
      <c r="C342" s="208"/>
      <c r="D342" s="208"/>
      <c r="E342" s="208"/>
      <c r="F342" s="208"/>
    </row>
    <row r="343" ht="14.25" customHeight="1">
      <c r="A343" s="208"/>
      <c r="B343" s="208"/>
      <c r="C343" s="208"/>
      <c r="D343" s="208"/>
      <c r="E343" s="208"/>
      <c r="F343" s="208"/>
    </row>
    <row r="344" ht="14.25" customHeight="1">
      <c r="A344" s="208"/>
      <c r="B344" s="208"/>
      <c r="C344" s="208"/>
      <c r="D344" s="208"/>
      <c r="E344" s="208"/>
      <c r="F344" s="208"/>
    </row>
    <row r="345" ht="14.25" customHeight="1">
      <c r="A345" s="208"/>
      <c r="B345" s="208"/>
      <c r="C345" s="208"/>
      <c r="D345" s="208"/>
      <c r="E345" s="208"/>
      <c r="F345" s="208"/>
    </row>
    <row r="346" ht="14.25" customHeight="1">
      <c r="A346" s="208"/>
      <c r="B346" s="208"/>
      <c r="C346" s="208"/>
      <c r="D346" s="208"/>
      <c r="E346" s="208"/>
      <c r="F346" s="208"/>
    </row>
    <row r="347" ht="14.25" customHeight="1">
      <c r="A347" s="208"/>
      <c r="B347" s="208"/>
      <c r="C347" s="208"/>
      <c r="D347" s="208"/>
      <c r="E347" s="208"/>
      <c r="F347" s="208"/>
    </row>
    <row r="348" ht="14.25" customHeight="1">
      <c r="A348" s="208"/>
      <c r="B348" s="208"/>
      <c r="C348" s="208"/>
      <c r="D348" s="208"/>
      <c r="E348" s="208"/>
      <c r="F348" s="208"/>
    </row>
    <row r="349" ht="14.25" customHeight="1">
      <c r="A349" s="208"/>
      <c r="B349" s="208"/>
      <c r="C349" s="208"/>
      <c r="D349" s="208"/>
      <c r="E349" s="208"/>
      <c r="F349" s="208"/>
    </row>
    <row r="350" ht="14.25" customHeight="1">
      <c r="A350" s="208"/>
      <c r="B350" s="208"/>
      <c r="C350" s="208"/>
      <c r="D350" s="208"/>
      <c r="E350" s="208"/>
      <c r="F350" s="208"/>
    </row>
    <row r="351" ht="14.25" customHeight="1">
      <c r="A351" s="208"/>
      <c r="B351" s="208"/>
      <c r="C351" s="208"/>
      <c r="D351" s="208"/>
      <c r="E351" s="208"/>
      <c r="F351" s="208"/>
    </row>
    <row r="352" ht="14.25" customHeight="1">
      <c r="A352" s="208"/>
      <c r="B352" s="208"/>
      <c r="C352" s="208"/>
      <c r="D352" s="208"/>
      <c r="E352" s="208"/>
      <c r="F352" s="208"/>
    </row>
    <row r="353" ht="14.25" customHeight="1">
      <c r="A353" s="208"/>
      <c r="B353" s="208"/>
      <c r="C353" s="208"/>
      <c r="D353" s="208"/>
      <c r="E353" s="208"/>
      <c r="F353" s="208"/>
    </row>
    <row r="354" ht="14.25" customHeight="1">
      <c r="A354" s="208"/>
      <c r="B354" s="208"/>
      <c r="C354" s="208"/>
      <c r="D354" s="208"/>
      <c r="E354" s="208"/>
      <c r="F354" s="208"/>
    </row>
    <row r="355" ht="14.25" customHeight="1">
      <c r="A355" s="208"/>
      <c r="B355" s="208"/>
      <c r="C355" s="208"/>
      <c r="D355" s="208"/>
      <c r="E355" s="208"/>
      <c r="F355" s="208"/>
    </row>
    <row r="356" ht="14.25" customHeight="1">
      <c r="A356" s="208"/>
      <c r="B356" s="208"/>
      <c r="C356" s="208"/>
      <c r="D356" s="208"/>
      <c r="E356" s="208"/>
      <c r="F356" s="208"/>
    </row>
    <row r="357" ht="14.25" customHeight="1">
      <c r="A357" s="208"/>
      <c r="B357" s="208"/>
      <c r="C357" s="208"/>
      <c r="D357" s="208"/>
      <c r="E357" s="208"/>
      <c r="F357" s="208"/>
    </row>
    <row r="358" ht="14.25" customHeight="1">
      <c r="A358" s="208"/>
      <c r="B358" s="208"/>
      <c r="C358" s="208"/>
      <c r="D358" s="208"/>
      <c r="E358" s="208"/>
      <c r="F358" s="208"/>
    </row>
    <row r="359" ht="14.25" customHeight="1">
      <c r="A359" s="208"/>
      <c r="B359" s="208"/>
      <c r="C359" s="208"/>
      <c r="D359" s="208"/>
      <c r="E359" s="208"/>
      <c r="F359" s="208"/>
    </row>
    <row r="360" ht="14.25" customHeight="1">
      <c r="A360" s="208"/>
      <c r="B360" s="208"/>
      <c r="C360" s="208"/>
      <c r="D360" s="208"/>
      <c r="E360" s="208"/>
      <c r="F360" s="208"/>
    </row>
    <row r="361" ht="14.25" customHeight="1">
      <c r="A361" s="208"/>
      <c r="B361" s="208"/>
      <c r="C361" s="208"/>
      <c r="D361" s="208"/>
      <c r="E361" s="208"/>
      <c r="F361" s="208"/>
    </row>
    <row r="362" ht="14.25" customHeight="1">
      <c r="A362" s="208"/>
      <c r="B362" s="208"/>
      <c r="C362" s="208"/>
      <c r="D362" s="208"/>
      <c r="E362" s="208"/>
      <c r="F362" s="208"/>
    </row>
    <row r="363" ht="14.25" customHeight="1">
      <c r="A363" s="208"/>
      <c r="B363" s="208"/>
      <c r="C363" s="208"/>
      <c r="D363" s="208"/>
      <c r="E363" s="208"/>
      <c r="F363" s="208"/>
    </row>
    <row r="364" ht="14.25" customHeight="1">
      <c r="A364" s="208"/>
      <c r="B364" s="208"/>
      <c r="C364" s="208"/>
      <c r="D364" s="208"/>
      <c r="E364" s="208"/>
      <c r="F364" s="208"/>
    </row>
    <row r="365" ht="14.25" customHeight="1">
      <c r="A365" s="208"/>
      <c r="B365" s="208"/>
      <c r="C365" s="208"/>
      <c r="D365" s="208"/>
      <c r="E365" s="208"/>
      <c r="F365" s="208"/>
    </row>
    <row r="366" ht="14.25" customHeight="1">
      <c r="A366" s="208"/>
      <c r="B366" s="208"/>
      <c r="C366" s="208"/>
      <c r="D366" s="208"/>
      <c r="E366" s="208"/>
      <c r="F366" s="208"/>
    </row>
    <row r="367" ht="14.25" customHeight="1">
      <c r="A367" s="208"/>
      <c r="B367" s="208"/>
      <c r="C367" s="208"/>
      <c r="D367" s="208"/>
      <c r="E367" s="208"/>
      <c r="F367" s="208"/>
    </row>
    <row r="368" ht="14.25" customHeight="1">
      <c r="A368" s="208"/>
      <c r="B368" s="208"/>
      <c r="C368" s="208"/>
      <c r="D368" s="208"/>
      <c r="E368" s="208"/>
      <c r="F368" s="208"/>
    </row>
    <row r="369" ht="14.25" customHeight="1">
      <c r="A369" s="208"/>
      <c r="B369" s="208"/>
      <c r="C369" s="208"/>
      <c r="D369" s="208"/>
      <c r="E369" s="208"/>
      <c r="F369" s="208"/>
    </row>
    <row r="370" ht="14.25" customHeight="1">
      <c r="A370" s="208"/>
      <c r="B370" s="208"/>
      <c r="C370" s="208"/>
      <c r="D370" s="208"/>
      <c r="E370" s="208"/>
      <c r="F370" s="208"/>
    </row>
    <row r="371" ht="14.25" customHeight="1">
      <c r="A371" s="208"/>
      <c r="B371" s="208"/>
      <c r="C371" s="208"/>
      <c r="D371" s="208"/>
      <c r="E371" s="208"/>
      <c r="F371" s="208"/>
    </row>
    <row r="372" ht="14.25" customHeight="1">
      <c r="A372" s="208"/>
      <c r="B372" s="208"/>
      <c r="C372" s="208"/>
      <c r="D372" s="208"/>
      <c r="E372" s="208"/>
      <c r="F372" s="208"/>
    </row>
    <row r="373" ht="14.25" customHeight="1">
      <c r="A373" s="208"/>
      <c r="B373" s="208"/>
      <c r="C373" s="208"/>
      <c r="D373" s="208"/>
      <c r="E373" s="208"/>
      <c r="F373" s="208"/>
    </row>
    <row r="374" ht="14.25" customHeight="1">
      <c r="A374" s="208"/>
      <c r="B374" s="208"/>
      <c r="C374" s="208"/>
      <c r="D374" s="208"/>
      <c r="E374" s="208"/>
      <c r="F374" s="208"/>
    </row>
    <row r="375" ht="14.25" customHeight="1">
      <c r="A375" s="208"/>
      <c r="B375" s="208"/>
      <c r="C375" s="208"/>
      <c r="D375" s="208"/>
      <c r="E375" s="208"/>
      <c r="F375" s="208"/>
    </row>
    <row r="376" ht="14.25" customHeight="1">
      <c r="A376" s="208"/>
      <c r="B376" s="208"/>
      <c r="C376" s="208"/>
      <c r="D376" s="208"/>
      <c r="E376" s="208"/>
      <c r="F376" s="208"/>
    </row>
    <row r="377" ht="14.25" customHeight="1">
      <c r="A377" s="208"/>
      <c r="B377" s="208"/>
      <c r="C377" s="208"/>
      <c r="D377" s="208"/>
      <c r="E377" s="208"/>
      <c r="F377" s="208"/>
    </row>
    <row r="378" ht="14.25" customHeight="1">
      <c r="A378" s="208"/>
      <c r="B378" s="208"/>
      <c r="C378" s="208"/>
      <c r="D378" s="208"/>
      <c r="E378" s="208"/>
      <c r="F378" s="208"/>
    </row>
    <row r="379" ht="14.25" customHeight="1">
      <c r="A379" s="208"/>
      <c r="B379" s="208"/>
      <c r="C379" s="208"/>
      <c r="D379" s="208"/>
      <c r="E379" s="208"/>
      <c r="F379" s="208"/>
    </row>
    <row r="380" ht="14.25" customHeight="1">
      <c r="A380" s="208"/>
      <c r="B380" s="208"/>
      <c r="C380" s="208"/>
      <c r="D380" s="208"/>
      <c r="E380" s="208"/>
      <c r="F380" s="208"/>
    </row>
    <row r="381" ht="14.25" customHeight="1">
      <c r="A381" s="208"/>
      <c r="B381" s="208"/>
      <c r="C381" s="208"/>
      <c r="D381" s="208"/>
      <c r="E381" s="208"/>
      <c r="F381" s="208"/>
    </row>
    <row r="382" ht="14.25" customHeight="1">
      <c r="A382" s="208"/>
      <c r="B382" s="208"/>
      <c r="C382" s="208"/>
      <c r="D382" s="208"/>
      <c r="E382" s="208"/>
      <c r="F382" s="208"/>
    </row>
    <row r="383" ht="14.25" customHeight="1">
      <c r="A383" s="208"/>
      <c r="B383" s="208"/>
      <c r="C383" s="208"/>
      <c r="D383" s="208"/>
      <c r="E383" s="208"/>
      <c r="F383" s="208"/>
    </row>
    <row r="384" ht="14.25" customHeight="1">
      <c r="A384" s="208"/>
      <c r="B384" s="208"/>
      <c r="C384" s="208"/>
      <c r="D384" s="208"/>
      <c r="E384" s="208"/>
      <c r="F384" s="208"/>
    </row>
    <row r="385" ht="14.25" customHeight="1">
      <c r="A385" s="208"/>
      <c r="B385" s="208"/>
      <c r="C385" s="208"/>
      <c r="D385" s="208"/>
      <c r="E385" s="208"/>
      <c r="F385" s="208"/>
    </row>
    <row r="386" ht="14.25" customHeight="1">
      <c r="A386" s="208"/>
      <c r="B386" s="208"/>
      <c r="C386" s="208"/>
      <c r="D386" s="208"/>
      <c r="E386" s="208"/>
      <c r="F386" s="208"/>
    </row>
    <row r="387" ht="14.25" customHeight="1">
      <c r="A387" s="208"/>
      <c r="B387" s="208"/>
      <c r="C387" s="208"/>
      <c r="D387" s="208"/>
      <c r="E387" s="208"/>
      <c r="F387" s="208"/>
    </row>
    <row r="388" ht="14.25" customHeight="1">
      <c r="A388" s="208"/>
      <c r="B388" s="208"/>
      <c r="C388" s="208"/>
      <c r="D388" s="208"/>
      <c r="E388" s="208"/>
      <c r="F388" s="208"/>
    </row>
    <row r="389" ht="14.25" customHeight="1">
      <c r="A389" s="208"/>
      <c r="B389" s="208"/>
      <c r="C389" s="208"/>
      <c r="D389" s="208"/>
      <c r="E389" s="208"/>
      <c r="F389" s="208"/>
    </row>
    <row r="390" ht="14.25" customHeight="1">
      <c r="A390" s="208"/>
      <c r="B390" s="208"/>
      <c r="C390" s="208"/>
      <c r="D390" s="208"/>
      <c r="E390" s="208"/>
      <c r="F390" s="208"/>
    </row>
    <row r="391" ht="14.25" customHeight="1">
      <c r="A391" s="208"/>
      <c r="B391" s="208"/>
      <c r="C391" s="208"/>
      <c r="D391" s="208"/>
      <c r="E391" s="208"/>
      <c r="F391" s="208"/>
    </row>
    <row r="392" ht="14.25" customHeight="1">
      <c r="A392" s="208"/>
      <c r="B392" s="208"/>
      <c r="C392" s="208"/>
      <c r="D392" s="208"/>
      <c r="E392" s="208"/>
      <c r="F392" s="208"/>
    </row>
    <row r="393" ht="14.25" customHeight="1">
      <c r="A393" s="208"/>
      <c r="B393" s="208"/>
      <c r="C393" s="208"/>
      <c r="D393" s="208"/>
      <c r="E393" s="208"/>
      <c r="F393" s="208"/>
    </row>
    <row r="394" ht="14.25" customHeight="1">
      <c r="A394" s="208"/>
      <c r="B394" s="208"/>
      <c r="C394" s="208"/>
      <c r="D394" s="208"/>
      <c r="E394" s="208"/>
      <c r="F394" s="208"/>
    </row>
    <row r="395" ht="14.25" customHeight="1">
      <c r="A395" s="208"/>
      <c r="B395" s="208"/>
      <c r="C395" s="208"/>
      <c r="D395" s="208"/>
      <c r="E395" s="208"/>
      <c r="F395" s="208"/>
    </row>
    <row r="396" ht="14.25" customHeight="1">
      <c r="A396" s="208"/>
      <c r="B396" s="208"/>
      <c r="C396" s="208"/>
      <c r="D396" s="208"/>
      <c r="E396" s="208"/>
      <c r="F396" s="208"/>
    </row>
    <row r="397" ht="14.25" customHeight="1">
      <c r="A397" s="208"/>
      <c r="B397" s="208"/>
      <c r="C397" s="208"/>
      <c r="D397" s="208"/>
      <c r="E397" s="208"/>
      <c r="F397" s="208"/>
    </row>
    <row r="398" ht="14.25" customHeight="1">
      <c r="A398" s="208"/>
      <c r="B398" s="208"/>
      <c r="C398" s="208"/>
      <c r="D398" s="208"/>
      <c r="E398" s="208"/>
      <c r="F398" s="208"/>
    </row>
    <row r="399" ht="14.25" customHeight="1">
      <c r="A399" s="208"/>
      <c r="B399" s="208"/>
      <c r="C399" s="208"/>
      <c r="D399" s="208"/>
      <c r="E399" s="208"/>
      <c r="F399" s="208"/>
    </row>
    <row r="400" ht="14.25" customHeight="1">
      <c r="A400" s="208"/>
      <c r="B400" s="208"/>
      <c r="C400" s="208"/>
      <c r="D400" s="208"/>
      <c r="E400" s="208"/>
      <c r="F400" s="208"/>
    </row>
    <row r="401" ht="14.25" customHeight="1">
      <c r="A401" s="208"/>
      <c r="B401" s="208"/>
      <c r="C401" s="208"/>
      <c r="D401" s="208"/>
      <c r="E401" s="208"/>
      <c r="F401" s="208"/>
    </row>
    <row r="402" ht="14.25" customHeight="1">
      <c r="A402" s="208"/>
      <c r="B402" s="208"/>
      <c r="C402" s="208"/>
      <c r="D402" s="208"/>
      <c r="E402" s="208"/>
      <c r="F402" s="208"/>
    </row>
    <row r="403" ht="14.25" customHeight="1">
      <c r="A403" s="208"/>
      <c r="B403" s="208"/>
      <c r="C403" s="208"/>
      <c r="D403" s="208"/>
      <c r="E403" s="208"/>
      <c r="F403" s="208"/>
    </row>
    <row r="404" ht="14.25" customHeight="1">
      <c r="A404" s="208"/>
      <c r="B404" s="208"/>
      <c r="C404" s="208"/>
      <c r="D404" s="208"/>
      <c r="E404" s="208"/>
      <c r="F404" s="208"/>
    </row>
    <row r="405" ht="14.25" customHeight="1">
      <c r="A405" s="208"/>
      <c r="B405" s="208"/>
      <c r="C405" s="208"/>
      <c r="D405" s="208"/>
      <c r="E405" s="208"/>
      <c r="F405" s="208"/>
    </row>
    <row r="406" ht="14.25" customHeight="1">
      <c r="A406" s="208"/>
      <c r="B406" s="208"/>
      <c r="C406" s="208"/>
      <c r="D406" s="208"/>
      <c r="E406" s="208"/>
      <c r="F406" s="208"/>
    </row>
    <row r="407" ht="14.25" customHeight="1">
      <c r="A407" s="208"/>
      <c r="B407" s="208"/>
      <c r="C407" s="208"/>
      <c r="D407" s="208"/>
      <c r="E407" s="208"/>
      <c r="F407" s="208"/>
    </row>
    <row r="408" ht="14.25" customHeight="1">
      <c r="A408" s="208"/>
      <c r="B408" s="208"/>
      <c r="C408" s="208"/>
      <c r="D408" s="208"/>
      <c r="E408" s="208"/>
      <c r="F408" s="208"/>
    </row>
    <row r="409" ht="14.25" customHeight="1">
      <c r="A409" s="208"/>
      <c r="B409" s="208"/>
      <c r="C409" s="208"/>
      <c r="D409" s="208"/>
      <c r="E409" s="208"/>
      <c r="F409" s="208"/>
    </row>
    <row r="410" ht="14.25" customHeight="1">
      <c r="A410" s="208"/>
      <c r="B410" s="208"/>
      <c r="C410" s="208"/>
      <c r="D410" s="208"/>
      <c r="E410" s="208"/>
      <c r="F410" s="208"/>
    </row>
    <row r="411" ht="14.25" customHeight="1">
      <c r="A411" s="208"/>
      <c r="B411" s="208"/>
      <c r="C411" s="208"/>
      <c r="D411" s="208"/>
      <c r="E411" s="208"/>
      <c r="F411" s="208"/>
    </row>
    <row r="412" ht="14.25" customHeight="1">
      <c r="A412" s="208"/>
      <c r="B412" s="208"/>
      <c r="C412" s="208"/>
      <c r="D412" s="208"/>
      <c r="E412" s="208"/>
      <c r="F412" s="208"/>
    </row>
    <row r="413" ht="14.25" customHeight="1">
      <c r="A413" s="208"/>
      <c r="B413" s="208"/>
      <c r="C413" s="208"/>
      <c r="D413" s="208"/>
      <c r="E413" s="208"/>
      <c r="F413" s="208"/>
    </row>
    <row r="414" ht="14.25" customHeight="1">
      <c r="A414" s="208"/>
      <c r="B414" s="208"/>
      <c r="C414" s="208"/>
      <c r="D414" s="208"/>
      <c r="E414" s="208"/>
      <c r="F414" s="208"/>
    </row>
    <row r="415" ht="14.25" customHeight="1">
      <c r="A415" s="208"/>
      <c r="B415" s="208"/>
      <c r="C415" s="208"/>
      <c r="D415" s="208"/>
      <c r="E415" s="208"/>
      <c r="F415" s="208"/>
    </row>
    <row r="416" ht="14.25" customHeight="1">
      <c r="A416" s="208"/>
      <c r="B416" s="208"/>
      <c r="C416" s="208"/>
      <c r="D416" s="208"/>
      <c r="E416" s="208"/>
      <c r="F416" s="208"/>
    </row>
    <row r="417" ht="14.25" customHeight="1">
      <c r="A417" s="208"/>
      <c r="B417" s="208"/>
      <c r="C417" s="208"/>
      <c r="D417" s="208"/>
      <c r="E417" s="208"/>
      <c r="F417" s="208"/>
    </row>
    <row r="418" ht="14.25" customHeight="1">
      <c r="A418" s="208"/>
      <c r="B418" s="208"/>
      <c r="C418" s="208"/>
      <c r="D418" s="208"/>
      <c r="E418" s="208"/>
      <c r="F418" s="208"/>
    </row>
    <row r="419" ht="14.25" customHeight="1">
      <c r="A419" s="208"/>
      <c r="B419" s="208"/>
      <c r="C419" s="208"/>
      <c r="D419" s="208"/>
      <c r="E419" s="208"/>
      <c r="F419" s="208"/>
    </row>
    <row r="420" ht="14.25" customHeight="1">
      <c r="A420" s="208"/>
      <c r="B420" s="208"/>
      <c r="C420" s="208"/>
      <c r="D420" s="208"/>
      <c r="E420" s="208"/>
      <c r="F420" s="208"/>
    </row>
    <row r="421" ht="14.25" customHeight="1">
      <c r="A421" s="208"/>
      <c r="B421" s="208"/>
      <c r="C421" s="208"/>
      <c r="D421" s="208"/>
      <c r="E421" s="208"/>
      <c r="F421" s="208"/>
    </row>
    <row r="422" ht="14.25" customHeight="1">
      <c r="A422" s="208"/>
      <c r="B422" s="208"/>
      <c r="C422" s="208"/>
      <c r="D422" s="208"/>
      <c r="E422" s="208"/>
      <c r="F422" s="208"/>
    </row>
    <row r="423" ht="14.25" customHeight="1">
      <c r="A423" s="208"/>
      <c r="B423" s="208"/>
      <c r="C423" s="208"/>
      <c r="D423" s="208"/>
      <c r="E423" s="208"/>
      <c r="F423" s="208"/>
    </row>
    <row r="424" ht="14.25" customHeight="1">
      <c r="A424" s="208"/>
      <c r="B424" s="208"/>
      <c r="C424" s="208"/>
      <c r="D424" s="208"/>
      <c r="E424" s="208"/>
      <c r="F424" s="208"/>
    </row>
    <row r="425" ht="14.25" customHeight="1">
      <c r="A425" s="208"/>
      <c r="B425" s="208"/>
      <c r="C425" s="208"/>
      <c r="D425" s="208"/>
      <c r="E425" s="208"/>
      <c r="F425" s="208"/>
    </row>
    <row r="426" ht="14.25" customHeight="1">
      <c r="A426" s="208"/>
      <c r="B426" s="208"/>
      <c r="C426" s="208"/>
      <c r="D426" s="208"/>
      <c r="E426" s="208"/>
      <c r="F426" s="208"/>
    </row>
    <row r="427" ht="14.25" customHeight="1">
      <c r="A427" s="208"/>
      <c r="B427" s="208"/>
      <c r="C427" s="208"/>
      <c r="D427" s="208"/>
      <c r="E427" s="208"/>
      <c r="F427" s="208"/>
    </row>
    <row r="428" ht="14.25" customHeight="1">
      <c r="A428" s="208"/>
      <c r="B428" s="208"/>
      <c r="C428" s="208"/>
      <c r="D428" s="208"/>
      <c r="E428" s="208"/>
      <c r="F428" s="208"/>
    </row>
    <row r="429" ht="14.25" customHeight="1">
      <c r="A429" s="208"/>
      <c r="B429" s="208"/>
      <c r="C429" s="208"/>
      <c r="D429" s="208"/>
      <c r="E429" s="208"/>
      <c r="F429" s="208"/>
    </row>
    <row r="430" ht="14.25" customHeight="1">
      <c r="A430" s="208"/>
      <c r="B430" s="208"/>
      <c r="C430" s="208"/>
      <c r="D430" s="208"/>
      <c r="E430" s="208"/>
      <c r="F430" s="208"/>
    </row>
    <row r="431" ht="14.25" customHeight="1">
      <c r="A431" s="208"/>
      <c r="B431" s="208"/>
      <c r="C431" s="208"/>
      <c r="D431" s="208"/>
      <c r="E431" s="208"/>
      <c r="F431" s="208"/>
    </row>
    <row r="432" ht="14.25" customHeight="1">
      <c r="A432" s="208"/>
      <c r="B432" s="208"/>
      <c r="C432" s="208"/>
      <c r="D432" s="208"/>
      <c r="E432" s="208"/>
      <c r="F432" s="208"/>
    </row>
    <row r="433" ht="14.25" customHeight="1">
      <c r="A433" s="208"/>
      <c r="B433" s="208"/>
      <c r="C433" s="208"/>
      <c r="D433" s="208"/>
      <c r="E433" s="208"/>
      <c r="F433" s="208"/>
    </row>
    <row r="434" ht="14.25" customHeight="1">
      <c r="A434" s="208"/>
      <c r="B434" s="208"/>
      <c r="C434" s="208"/>
      <c r="D434" s="208"/>
      <c r="E434" s="208"/>
      <c r="F434" s="208"/>
    </row>
    <row r="435" ht="14.25" customHeight="1">
      <c r="A435" s="208"/>
      <c r="B435" s="208"/>
      <c r="C435" s="208"/>
      <c r="D435" s="208"/>
      <c r="E435" s="208"/>
      <c r="F435" s="208"/>
    </row>
    <row r="436" ht="14.25" customHeight="1">
      <c r="A436" s="208"/>
      <c r="B436" s="208"/>
      <c r="C436" s="208"/>
      <c r="D436" s="208"/>
      <c r="E436" s="208"/>
      <c r="F436" s="208"/>
    </row>
    <row r="437" ht="14.25" customHeight="1">
      <c r="A437" s="208"/>
      <c r="B437" s="208"/>
      <c r="C437" s="208"/>
      <c r="D437" s="208"/>
      <c r="E437" s="208"/>
      <c r="F437" s="208"/>
    </row>
    <row r="438" ht="14.25" customHeight="1">
      <c r="A438" s="208"/>
      <c r="B438" s="208"/>
      <c r="C438" s="208"/>
      <c r="D438" s="208"/>
      <c r="E438" s="208"/>
      <c r="F438" s="208"/>
    </row>
    <row r="439" ht="14.25" customHeight="1">
      <c r="A439" s="208"/>
      <c r="B439" s="208"/>
      <c r="C439" s="208"/>
      <c r="D439" s="208"/>
      <c r="E439" s="208"/>
      <c r="F439" s="208"/>
    </row>
    <row r="440" ht="14.25" customHeight="1">
      <c r="A440" s="208"/>
      <c r="B440" s="208"/>
      <c r="C440" s="208"/>
      <c r="D440" s="208"/>
      <c r="E440" s="208"/>
      <c r="F440" s="208"/>
    </row>
    <row r="441" ht="14.25" customHeight="1">
      <c r="A441" s="208"/>
      <c r="B441" s="208"/>
      <c r="C441" s="208"/>
      <c r="D441" s="208"/>
      <c r="E441" s="208"/>
      <c r="F441" s="208"/>
    </row>
    <row r="442" ht="14.25" customHeight="1">
      <c r="A442" s="208"/>
      <c r="B442" s="208"/>
      <c r="C442" s="208"/>
      <c r="D442" s="208"/>
      <c r="E442" s="208"/>
      <c r="F442" s="208"/>
    </row>
    <row r="443" ht="14.25" customHeight="1">
      <c r="A443" s="208"/>
      <c r="B443" s="208"/>
      <c r="C443" s="208"/>
      <c r="D443" s="208"/>
      <c r="E443" s="208"/>
      <c r="F443" s="208"/>
    </row>
    <row r="444" ht="14.25" customHeight="1">
      <c r="A444" s="208"/>
      <c r="B444" s="208"/>
      <c r="C444" s="208"/>
      <c r="D444" s="208"/>
      <c r="E444" s="208"/>
      <c r="F444" s="208"/>
    </row>
    <row r="445" ht="14.25" customHeight="1">
      <c r="A445" s="208"/>
      <c r="B445" s="208"/>
      <c r="C445" s="208"/>
      <c r="D445" s="208"/>
      <c r="E445" s="208"/>
      <c r="F445" s="208"/>
    </row>
    <row r="446" ht="14.25" customHeight="1">
      <c r="A446" s="208"/>
      <c r="B446" s="208"/>
      <c r="C446" s="208"/>
      <c r="D446" s="208"/>
      <c r="E446" s="208"/>
      <c r="F446" s="208"/>
    </row>
    <row r="447" ht="14.25" customHeight="1">
      <c r="A447" s="208"/>
      <c r="B447" s="208"/>
      <c r="C447" s="208"/>
      <c r="D447" s="208"/>
      <c r="E447" s="208"/>
      <c r="F447" s="208"/>
    </row>
    <row r="448" ht="14.25" customHeight="1">
      <c r="A448" s="208"/>
      <c r="B448" s="208"/>
      <c r="C448" s="208"/>
      <c r="D448" s="208"/>
      <c r="E448" s="208"/>
      <c r="F448" s="208"/>
    </row>
    <row r="449" ht="14.25" customHeight="1">
      <c r="A449" s="208"/>
      <c r="B449" s="208"/>
      <c r="C449" s="208"/>
      <c r="D449" s="208"/>
      <c r="E449" s="208"/>
      <c r="F449" s="208"/>
    </row>
    <row r="450" ht="14.25" customHeight="1">
      <c r="A450" s="208"/>
      <c r="B450" s="208"/>
      <c r="C450" s="208"/>
      <c r="D450" s="208"/>
      <c r="E450" s="208"/>
      <c r="F450" s="208"/>
    </row>
    <row r="451" ht="14.25" customHeight="1">
      <c r="A451" s="208"/>
      <c r="B451" s="208"/>
      <c r="C451" s="208"/>
      <c r="D451" s="208"/>
      <c r="E451" s="208"/>
      <c r="F451" s="208"/>
    </row>
    <row r="452" ht="14.25" customHeight="1">
      <c r="A452" s="208"/>
      <c r="B452" s="208"/>
      <c r="C452" s="208"/>
      <c r="D452" s="208"/>
      <c r="E452" s="208"/>
      <c r="F452" s="208"/>
    </row>
    <row r="453" ht="14.25" customHeight="1">
      <c r="A453" s="208"/>
      <c r="B453" s="208"/>
      <c r="C453" s="208"/>
      <c r="D453" s="208"/>
      <c r="E453" s="208"/>
      <c r="F453" s="208"/>
    </row>
    <row r="454" ht="14.25" customHeight="1">
      <c r="A454" s="208"/>
      <c r="B454" s="208"/>
      <c r="C454" s="208"/>
      <c r="D454" s="208"/>
      <c r="E454" s="208"/>
      <c r="F454" s="208"/>
    </row>
    <row r="455" ht="14.25" customHeight="1">
      <c r="A455" s="208"/>
      <c r="B455" s="208"/>
      <c r="C455" s="208"/>
      <c r="D455" s="208"/>
      <c r="E455" s="208"/>
      <c r="F455" s="208"/>
    </row>
    <row r="456" ht="14.25" customHeight="1">
      <c r="A456" s="208"/>
      <c r="B456" s="208"/>
      <c r="C456" s="208"/>
      <c r="D456" s="208"/>
      <c r="E456" s="208"/>
      <c r="F456" s="208"/>
    </row>
    <row r="457" ht="14.25" customHeight="1">
      <c r="A457" s="208"/>
      <c r="B457" s="208"/>
      <c r="C457" s="208"/>
      <c r="D457" s="208"/>
      <c r="E457" s="208"/>
      <c r="F457" s="208"/>
    </row>
    <row r="458" ht="14.25" customHeight="1">
      <c r="A458" s="208"/>
      <c r="B458" s="208"/>
      <c r="C458" s="208"/>
      <c r="D458" s="208"/>
      <c r="E458" s="208"/>
      <c r="F458" s="208"/>
    </row>
    <row r="459" ht="14.25" customHeight="1">
      <c r="A459" s="208"/>
      <c r="B459" s="208"/>
      <c r="C459" s="208"/>
      <c r="D459" s="208"/>
      <c r="E459" s="208"/>
      <c r="F459" s="208"/>
    </row>
    <row r="460" ht="14.25" customHeight="1">
      <c r="A460" s="208"/>
      <c r="B460" s="208"/>
      <c r="C460" s="208"/>
      <c r="D460" s="208"/>
      <c r="E460" s="208"/>
      <c r="F460" s="208"/>
    </row>
    <row r="461" ht="14.25" customHeight="1">
      <c r="A461" s="208"/>
      <c r="B461" s="208"/>
      <c r="C461" s="208"/>
      <c r="D461" s="208"/>
      <c r="E461" s="208"/>
      <c r="F461" s="208"/>
    </row>
    <row r="462" ht="14.25" customHeight="1">
      <c r="A462" s="208"/>
      <c r="B462" s="208"/>
      <c r="C462" s="208"/>
      <c r="D462" s="208"/>
      <c r="E462" s="208"/>
      <c r="F462" s="208"/>
    </row>
    <row r="463" ht="14.25" customHeight="1">
      <c r="A463" s="208"/>
      <c r="B463" s="208"/>
      <c r="C463" s="208"/>
      <c r="D463" s="208"/>
      <c r="E463" s="208"/>
      <c r="F463" s="208"/>
    </row>
    <row r="464" ht="14.25" customHeight="1">
      <c r="A464" s="208"/>
      <c r="B464" s="208"/>
      <c r="C464" s="208"/>
      <c r="D464" s="208"/>
      <c r="E464" s="208"/>
      <c r="F464" s="208"/>
    </row>
    <row r="465" ht="14.25" customHeight="1">
      <c r="A465" s="208"/>
      <c r="B465" s="208"/>
      <c r="C465" s="208"/>
      <c r="D465" s="208"/>
      <c r="E465" s="208"/>
      <c r="F465" s="208"/>
    </row>
    <row r="466" ht="14.25" customHeight="1">
      <c r="A466" s="208"/>
      <c r="B466" s="208"/>
      <c r="C466" s="208"/>
      <c r="D466" s="208"/>
      <c r="E466" s="208"/>
      <c r="F466" s="208"/>
    </row>
    <row r="467" ht="14.25" customHeight="1">
      <c r="A467" s="208"/>
      <c r="B467" s="208"/>
      <c r="C467" s="208"/>
      <c r="D467" s="208"/>
      <c r="E467" s="208"/>
      <c r="F467" s="208"/>
    </row>
    <row r="468" ht="14.25" customHeight="1">
      <c r="A468" s="208"/>
      <c r="B468" s="208"/>
      <c r="C468" s="208"/>
      <c r="D468" s="208"/>
      <c r="E468" s="208"/>
      <c r="F468" s="208"/>
    </row>
    <row r="469" ht="14.25" customHeight="1">
      <c r="A469" s="208"/>
      <c r="B469" s="208"/>
      <c r="C469" s="208"/>
      <c r="D469" s="208"/>
      <c r="E469" s="208"/>
      <c r="F469" s="208"/>
    </row>
    <row r="470" ht="14.25" customHeight="1">
      <c r="A470" s="208"/>
      <c r="B470" s="208"/>
      <c r="C470" s="208"/>
      <c r="D470" s="208"/>
      <c r="E470" s="208"/>
      <c r="F470" s="208"/>
    </row>
    <row r="471" ht="14.25" customHeight="1">
      <c r="A471" s="208"/>
      <c r="B471" s="208"/>
      <c r="C471" s="208"/>
      <c r="D471" s="208"/>
      <c r="E471" s="208"/>
      <c r="F471" s="208"/>
    </row>
    <row r="472" ht="14.25" customHeight="1">
      <c r="A472" s="208"/>
      <c r="B472" s="208"/>
      <c r="C472" s="208"/>
      <c r="D472" s="208"/>
      <c r="E472" s="208"/>
      <c r="F472" s="208"/>
    </row>
    <row r="473" ht="14.25" customHeight="1">
      <c r="A473" s="208"/>
      <c r="B473" s="208"/>
      <c r="C473" s="208"/>
      <c r="D473" s="208"/>
      <c r="E473" s="208"/>
      <c r="F473" s="208"/>
    </row>
    <row r="474" ht="14.25" customHeight="1">
      <c r="A474" s="208"/>
      <c r="B474" s="208"/>
      <c r="C474" s="208"/>
      <c r="D474" s="208"/>
      <c r="E474" s="208"/>
      <c r="F474" s="208"/>
    </row>
    <row r="475" ht="14.25" customHeight="1">
      <c r="A475" s="208"/>
      <c r="B475" s="208"/>
      <c r="C475" s="208"/>
      <c r="D475" s="208"/>
      <c r="E475" s="208"/>
      <c r="F475" s="208"/>
    </row>
    <row r="476" ht="14.25" customHeight="1">
      <c r="A476" s="208"/>
      <c r="B476" s="208"/>
      <c r="C476" s="208"/>
      <c r="D476" s="208"/>
      <c r="E476" s="208"/>
      <c r="F476" s="208"/>
    </row>
    <row r="477" ht="14.25" customHeight="1">
      <c r="A477" s="208"/>
      <c r="B477" s="208"/>
      <c r="C477" s="208"/>
      <c r="D477" s="208"/>
      <c r="E477" s="208"/>
      <c r="F477" s="208"/>
    </row>
    <row r="478" ht="14.25" customHeight="1">
      <c r="A478" s="208"/>
      <c r="B478" s="208"/>
      <c r="C478" s="208"/>
      <c r="D478" s="208"/>
      <c r="E478" s="208"/>
      <c r="F478" s="208"/>
    </row>
    <row r="479" ht="14.25" customHeight="1">
      <c r="A479" s="208"/>
      <c r="B479" s="208"/>
      <c r="C479" s="208"/>
      <c r="D479" s="208"/>
      <c r="E479" s="208"/>
      <c r="F479" s="208"/>
    </row>
    <row r="480" ht="14.25" customHeight="1">
      <c r="A480" s="208"/>
      <c r="B480" s="208"/>
      <c r="C480" s="208"/>
      <c r="D480" s="208"/>
      <c r="E480" s="208"/>
      <c r="F480" s="208"/>
    </row>
    <row r="481" ht="14.25" customHeight="1">
      <c r="A481" s="208"/>
      <c r="B481" s="208"/>
      <c r="C481" s="208"/>
      <c r="D481" s="208"/>
      <c r="E481" s="208"/>
      <c r="F481" s="208"/>
    </row>
    <row r="482" ht="14.25" customHeight="1">
      <c r="A482" s="208"/>
      <c r="B482" s="208"/>
      <c r="C482" s="208"/>
      <c r="D482" s="208"/>
      <c r="E482" s="208"/>
      <c r="F482" s="208"/>
    </row>
    <row r="483" ht="14.25" customHeight="1">
      <c r="A483" s="208"/>
      <c r="B483" s="208"/>
      <c r="C483" s="208"/>
      <c r="D483" s="208"/>
      <c r="E483" s="208"/>
      <c r="F483" s="208"/>
    </row>
    <row r="484" ht="14.25" customHeight="1">
      <c r="A484" s="208"/>
      <c r="B484" s="208"/>
      <c r="C484" s="208"/>
      <c r="D484" s="208"/>
      <c r="E484" s="208"/>
      <c r="F484" s="208"/>
    </row>
    <row r="485" ht="14.25" customHeight="1">
      <c r="A485" s="208"/>
      <c r="B485" s="208"/>
      <c r="C485" s="208"/>
      <c r="D485" s="208"/>
      <c r="E485" s="208"/>
      <c r="F485" s="208"/>
    </row>
    <row r="486" ht="14.25" customHeight="1">
      <c r="A486" s="208"/>
      <c r="B486" s="208"/>
      <c r="C486" s="208"/>
      <c r="D486" s="208"/>
      <c r="E486" s="208"/>
      <c r="F486" s="208"/>
    </row>
    <row r="487" ht="14.25" customHeight="1">
      <c r="A487" s="208"/>
      <c r="B487" s="208"/>
      <c r="C487" s="208"/>
      <c r="D487" s="208"/>
      <c r="E487" s="208"/>
      <c r="F487" s="208"/>
    </row>
    <row r="488" ht="14.25" customHeight="1">
      <c r="A488" s="208"/>
      <c r="B488" s="208"/>
      <c r="C488" s="208"/>
      <c r="D488" s="208"/>
      <c r="E488" s="208"/>
      <c r="F488" s="208"/>
    </row>
    <row r="489" ht="14.25" customHeight="1">
      <c r="A489" s="208"/>
      <c r="B489" s="208"/>
      <c r="C489" s="208"/>
      <c r="D489" s="208"/>
      <c r="E489" s="208"/>
      <c r="F489" s="208"/>
    </row>
    <row r="490" ht="14.25" customHeight="1">
      <c r="A490" s="208"/>
      <c r="B490" s="208"/>
      <c r="C490" s="208"/>
      <c r="D490" s="208"/>
      <c r="E490" s="208"/>
      <c r="F490" s="208"/>
    </row>
    <row r="491" ht="14.25" customHeight="1">
      <c r="A491" s="208"/>
      <c r="B491" s="208"/>
      <c r="C491" s="208"/>
      <c r="D491" s="208"/>
      <c r="E491" s="208"/>
      <c r="F491" s="208"/>
    </row>
    <row r="492" ht="14.25" customHeight="1">
      <c r="A492" s="208"/>
      <c r="B492" s="208"/>
      <c r="C492" s="208"/>
      <c r="D492" s="208"/>
      <c r="E492" s="208"/>
      <c r="F492" s="208"/>
    </row>
    <row r="493" ht="14.25" customHeight="1">
      <c r="A493" s="208"/>
      <c r="B493" s="208"/>
      <c r="C493" s="208"/>
      <c r="D493" s="208"/>
      <c r="E493" s="208"/>
      <c r="F493" s="208"/>
    </row>
    <row r="494" ht="14.25" customHeight="1">
      <c r="A494" s="208"/>
      <c r="B494" s="208"/>
      <c r="C494" s="208"/>
      <c r="D494" s="208"/>
      <c r="E494" s="208"/>
      <c r="F494" s="208"/>
    </row>
    <row r="495" ht="14.25" customHeight="1">
      <c r="A495" s="208"/>
      <c r="B495" s="208"/>
      <c r="C495" s="208"/>
      <c r="D495" s="208"/>
      <c r="E495" s="208"/>
      <c r="F495" s="208"/>
    </row>
    <row r="496" ht="14.25" customHeight="1">
      <c r="A496" s="208"/>
      <c r="B496" s="208"/>
      <c r="C496" s="208"/>
      <c r="D496" s="208"/>
      <c r="E496" s="208"/>
      <c r="F496" s="208"/>
    </row>
    <row r="497" ht="14.25" customHeight="1">
      <c r="A497" s="208"/>
      <c r="B497" s="208"/>
      <c r="C497" s="208"/>
      <c r="D497" s="208"/>
      <c r="E497" s="208"/>
      <c r="F497" s="208"/>
    </row>
    <row r="498" ht="14.25" customHeight="1">
      <c r="A498" s="208"/>
      <c r="B498" s="208"/>
      <c r="C498" s="208"/>
      <c r="D498" s="208"/>
      <c r="E498" s="208"/>
      <c r="F498" s="208"/>
    </row>
    <row r="499" ht="14.25" customHeight="1">
      <c r="A499" s="208"/>
      <c r="B499" s="208"/>
      <c r="C499" s="208"/>
      <c r="D499" s="208"/>
      <c r="E499" s="208"/>
      <c r="F499" s="208"/>
    </row>
    <row r="500" ht="14.25" customHeight="1">
      <c r="A500" s="208"/>
      <c r="B500" s="208"/>
      <c r="C500" s="208"/>
      <c r="D500" s="208"/>
      <c r="E500" s="208"/>
      <c r="F500" s="208"/>
    </row>
    <row r="501" ht="14.25" customHeight="1">
      <c r="A501" s="208"/>
      <c r="B501" s="208"/>
      <c r="C501" s="208"/>
      <c r="D501" s="208"/>
      <c r="E501" s="208"/>
      <c r="F501" s="208"/>
    </row>
    <row r="502" ht="14.25" customHeight="1">
      <c r="A502" s="208"/>
      <c r="B502" s="208"/>
      <c r="C502" s="208"/>
      <c r="D502" s="208"/>
      <c r="E502" s="208"/>
      <c r="F502" s="208"/>
    </row>
    <row r="503" ht="14.25" customHeight="1">
      <c r="A503" s="208"/>
      <c r="B503" s="208"/>
      <c r="C503" s="208"/>
      <c r="D503" s="208"/>
      <c r="E503" s="208"/>
      <c r="F503" s="208"/>
    </row>
    <row r="504" ht="14.25" customHeight="1">
      <c r="A504" s="208"/>
      <c r="B504" s="208"/>
      <c r="C504" s="208"/>
      <c r="D504" s="208"/>
      <c r="E504" s="208"/>
      <c r="F504" s="208"/>
    </row>
    <row r="505" ht="14.25" customHeight="1">
      <c r="A505" s="208"/>
      <c r="B505" s="208"/>
      <c r="C505" s="208"/>
      <c r="D505" s="208"/>
      <c r="E505" s="208"/>
      <c r="F505" s="208"/>
    </row>
    <row r="506" ht="14.25" customHeight="1">
      <c r="A506" s="208"/>
      <c r="B506" s="208"/>
      <c r="C506" s="208"/>
      <c r="D506" s="208"/>
      <c r="E506" s="208"/>
      <c r="F506" s="208"/>
    </row>
    <row r="507" ht="14.25" customHeight="1">
      <c r="A507" s="208"/>
      <c r="B507" s="208"/>
      <c r="C507" s="208"/>
      <c r="D507" s="208"/>
      <c r="E507" s="208"/>
      <c r="F507" s="208"/>
    </row>
    <row r="508" ht="14.25" customHeight="1">
      <c r="A508" s="208"/>
      <c r="B508" s="208"/>
      <c r="C508" s="208"/>
      <c r="D508" s="208"/>
      <c r="E508" s="208"/>
      <c r="F508" s="208"/>
    </row>
    <row r="509" ht="14.25" customHeight="1">
      <c r="A509" s="208"/>
      <c r="B509" s="208"/>
      <c r="C509" s="208"/>
      <c r="D509" s="208"/>
      <c r="E509" s="208"/>
      <c r="F509" s="208"/>
    </row>
    <row r="510" ht="14.25" customHeight="1">
      <c r="A510" s="208"/>
      <c r="B510" s="208"/>
      <c r="C510" s="208"/>
      <c r="D510" s="208"/>
      <c r="E510" s="208"/>
      <c r="F510" s="208"/>
    </row>
    <row r="511" ht="14.25" customHeight="1">
      <c r="A511" s="208"/>
      <c r="B511" s="208"/>
      <c r="C511" s="208"/>
      <c r="D511" s="208"/>
      <c r="E511" s="208"/>
      <c r="F511" s="208"/>
    </row>
    <row r="512" ht="14.25" customHeight="1">
      <c r="A512" s="208"/>
      <c r="B512" s="208"/>
      <c r="C512" s="208"/>
      <c r="D512" s="208"/>
      <c r="E512" s="208"/>
      <c r="F512" s="208"/>
    </row>
    <row r="513" ht="14.25" customHeight="1">
      <c r="A513" s="208"/>
      <c r="B513" s="208"/>
      <c r="C513" s="208"/>
      <c r="D513" s="208"/>
      <c r="E513" s="208"/>
      <c r="F513" s="208"/>
    </row>
    <row r="514" ht="14.25" customHeight="1">
      <c r="A514" s="208"/>
      <c r="B514" s="208"/>
      <c r="C514" s="208"/>
      <c r="D514" s="208"/>
      <c r="E514" s="208"/>
      <c r="F514" s="208"/>
    </row>
    <row r="515" ht="14.25" customHeight="1">
      <c r="A515" s="208"/>
      <c r="B515" s="208"/>
      <c r="C515" s="208"/>
      <c r="D515" s="208"/>
      <c r="E515" s="208"/>
      <c r="F515" s="208"/>
    </row>
    <row r="516" ht="14.25" customHeight="1">
      <c r="A516" s="208"/>
      <c r="B516" s="208"/>
      <c r="C516" s="208"/>
      <c r="D516" s="208"/>
      <c r="E516" s="208"/>
      <c r="F516" s="208"/>
    </row>
    <row r="517" ht="14.25" customHeight="1">
      <c r="A517" s="208"/>
      <c r="B517" s="208"/>
      <c r="C517" s="208"/>
      <c r="D517" s="208"/>
      <c r="E517" s="208"/>
      <c r="F517" s="208"/>
    </row>
    <row r="518" ht="14.25" customHeight="1">
      <c r="A518" s="208"/>
      <c r="B518" s="208"/>
      <c r="C518" s="208"/>
      <c r="D518" s="208"/>
      <c r="E518" s="208"/>
      <c r="F518" s="208"/>
    </row>
    <row r="519" ht="14.25" customHeight="1">
      <c r="A519" s="208"/>
      <c r="B519" s="208"/>
      <c r="C519" s="208"/>
      <c r="D519" s="208"/>
      <c r="E519" s="208"/>
      <c r="F519" s="208"/>
    </row>
    <row r="520" ht="14.25" customHeight="1">
      <c r="A520" s="208"/>
      <c r="B520" s="208"/>
      <c r="C520" s="208"/>
      <c r="D520" s="208"/>
      <c r="E520" s="208"/>
      <c r="F520" s="208"/>
    </row>
    <row r="521" ht="14.25" customHeight="1">
      <c r="A521" s="208"/>
      <c r="B521" s="208"/>
      <c r="C521" s="208"/>
      <c r="D521" s="208"/>
      <c r="E521" s="208"/>
      <c r="F521" s="208"/>
    </row>
    <row r="522" ht="14.25" customHeight="1">
      <c r="A522" s="208"/>
      <c r="B522" s="208"/>
      <c r="C522" s="208"/>
      <c r="D522" s="208"/>
      <c r="E522" s="208"/>
      <c r="F522" s="208"/>
    </row>
    <row r="523" ht="14.25" customHeight="1">
      <c r="A523" s="208"/>
      <c r="B523" s="208"/>
      <c r="C523" s="208"/>
      <c r="D523" s="208"/>
      <c r="E523" s="208"/>
      <c r="F523" s="208"/>
    </row>
    <row r="524" ht="14.25" customHeight="1">
      <c r="A524" s="208"/>
      <c r="B524" s="208"/>
      <c r="C524" s="208"/>
      <c r="D524" s="208"/>
      <c r="E524" s="208"/>
      <c r="F524" s="208"/>
    </row>
    <row r="525" ht="14.25" customHeight="1">
      <c r="A525" s="208"/>
      <c r="B525" s="208"/>
      <c r="C525" s="208"/>
      <c r="D525" s="208"/>
      <c r="E525" s="208"/>
      <c r="F525" s="208"/>
    </row>
    <row r="526" ht="14.25" customHeight="1">
      <c r="A526" s="208"/>
      <c r="B526" s="208"/>
      <c r="C526" s="208"/>
      <c r="D526" s="208"/>
      <c r="E526" s="208"/>
      <c r="F526" s="208"/>
    </row>
    <row r="527" ht="14.25" customHeight="1">
      <c r="A527" s="208"/>
      <c r="B527" s="208"/>
      <c r="C527" s="208"/>
      <c r="D527" s="208"/>
      <c r="E527" s="208"/>
      <c r="F527" s="208"/>
    </row>
    <row r="528" ht="14.25" customHeight="1">
      <c r="A528" s="208"/>
      <c r="B528" s="208"/>
      <c r="C528" s="208"/>
      <c r="D528" s="208"/>
      <c r="E528" s="208"/>
      <c r="F528" s="208"/>
    </row>
    <row r="529" ht="14.25" customHeight="1">
      <c r="A529" s="208"/>
      <c r="B529" s="208"/>
      <c r="C529" s="208"/>
      <c r="D529" s="208"/>
      <c r="E529" s="208"/>
      <c r="F529" s="208"/>
    </row>
    <row r="530" ht="14.25" customHeight="1">
      <c r="A530" s="208"/>
      <c r="B530" s="208"/>
      <c r="C530" s="208"/>
      <c r="D530" s="208"/>
      <c r="E530" s="208"/>
      <c r="F530" s="208"/>
    </row>
    <row r="531" ht="14.25" customHeight="1">
      <c r="A531" s="208"/>
      <c r="B531" s="208"/>
      <c r="C531" s="208"/>
      <c r="D531" s="208"/>
      <c r="E531" s="208"/>
      <c r="F531" s="208"/>
    </row>
    <row r="532" ht="14.25" customHeight="1">
      <c r="A532" s="208"/>
      <c r="B532" s="208"/>
      <c r="C532" s="208"/>
      <c r="D532" s="208"/>
      <c r="E532" s="208"/>
      <c r="F532" s="208"/>
    </row>
    <row r="533" ht="14.25" customHeight="1">
      <c r="A533" s="208"/>
      <c r="B533" s="208"/>
      <c r="C533" s="208"/>
      <c r="D533" s="208"/>
      <c r="E533" s="208"/>
      <c r="F533" s="208"/>
    </row>
    <row r="534" ht="14.25" customHeight="1">
      <c r="A534" s="208"/>
      <c r="B534" s="208"/>
      <c r="C534" s="208"/>
      <c r="D534" s="208"/>
      <c r="E534" s="208"/>
      <c r="F534" s="208"/>
    </row>
    <row r="535" ht="14.25" customHeight="1">
      <c r="A535" s="208"/>
      <c r="B535" s="208"/>
      <c r="C535" s="208"/>
      <c r="D535" s="208"/>
      <c r="E535" s="208"/>
      <c r="F535" s="208"/>
    </row>
    <row r="536" ht="14.25" customHeight="1">
      <c r="A536" s="208"/>
      <c r="B536" s="208"/>
      <c r="C536" s="208"/>
      <c r="D536" s="208"/>
      <c r="E536" s="208"/>
      <c r="F536" s="208"/>
    </row>
    <row r="537" ht="14.25" customHeight="1">
      <c r="A537" s="208"/>
      <c r="B537" s="208"/>
      <c r="C537" s="208"/>
      <c r="D537" s="208"/>
      <c r="E537" s="208"/>
      <c r="F537" s="208"/>
    </row>
    <row r="538" ht="14.25" customHeight="1">
      <c r="A538" s="208"/>
      <c r="B538" s="208"/>
      <c r="C538" s="208"/>
      <c r="D538" s="208"/>
      <c r="E538" s="208"/>
      <c r="F538" s="208"/>
    </row>
    <row r="539" ht="14.25" customHeight="1">
      <c r="A539" s="208"/>
      <c r="B539" s="208"/>
      <c r="C539" s="208"/>
      <c r="D539" s="208"/>
      <c r="E539" s="208"/>
      <c r="F539" s="208"/>
    </row>
    <row r="540" ht="14.25" customHeight="1">
      <c r="A540" s="208"/>
      <c r="B540" s="208"/>
      <c r="C540" s="208"/>
      <c r="D540" s="208"/>
      <c r="E540" s="208"/>
      <c r="F540" s="208"/>
    </row>
    <row r="541" ht="14.25" customHeight="1">
      <c r="A541" s="208"/>
      <c r="B541" s="208"/>
      <c r="C541" s="208"/>
      <c r="D541" s="208"/>
      <c r="E541" s="208"/>
      <c r="F541" s="208"/>
    </row>
    <row r="542" ht="14.25" customHeight="1">
      <c r="A542" s="208"/>
      <c r="B542" s="208"/>
      <c r="C542" s="208"/>
      <c r="D542" s="208"/>
      <c r="E542" s="208"/>
      <c r="F542" s="208"/>
    </row>
    <row r="543" ht="14.25" customHeight="1">
      <c r="A543" s="208"/>
      <c r="B543" s="208"/>
      <c r="C543" s="208"/>
      <c r="D543" s="208"/>
      <c r="E543" s="208"/>
      <c r="F543" s="208"/>
    </row>
    <row r="544" ht="14.25" customHeight="1">
      <c r="A544" s="208"/>
      <c r="B544" s="208"/>
      <c r="C544" s="208"/>
      <c r="D544" s="208"/>
      <c r="E544" s="208"/>
      <c r="F544" s="208"/>
    </row>
    <row r="545" ht="14.25" customHeight="1">
      <c r="A545" s="208"/>
      <c r="B545" s="208"/>
      <c r="C545" s="208"/>
      <c r="D545" s="208"/>
      <c r="E545" s="208"/>
      <c r="F545" s="208"/>
    </row>
    <row r="546" ht="14.25" customHeight="1">
      <c r="A546" s="208"/>
      <c r="B546" s="208"/>
      <c r="C546" s="208"/>
      <c r="D546" s="208"/>
      <c r="E546" s="208"/>
      <c r="F546" s="208"/>
    </row>
    <row r="547" ht="14.25" customHeight="1">
      <c r="A547" s="208"/>
      <c r="B547" s="208"/>
      <c r="C547" s="208"/>
      <c r="D547" s="208"/>
      <c r="E547" s="208"/>
      <c r="F547" s="208"/>
    </row>
    <row r="548" ht="14.25" customHeight="1">
      <c r="A548" s="208"/>
      <c r="B548" s="208"/>
      <c r="C548" s="208"/>
      <c r="D548" s="208"/>
      <c r="E548" s="208"/>
      <c r="F548" s="208"/>
    </row>
    <row r="549" ht="14.25" customHeight="1">
      <c r="A549" s="208"/>
      <c r="B549" s="208"/>
      <c r="C549" s="208"/>
      <c r="D549" s="208"/>
      <c r="E549" s="208"/>
      <c r="F549" s="208"/>
    </row>
    <row r="550" ht="14.25" customHeight="1">
      <c r="A550" s="208"/>
      <c r="B550" s="208"/>
      <c r="C550" s="208"/>
      <c r="D550" s="208"/>
      <c r="E550" s="208"/>
      <c r="F550" s="208"/>
    </row>
    <row r="551" ht="14.25" customHeight="1">
      <c r="A551" s="208"/>
      <c r="B551" s="208"/>
      <c r="C551" s="208"/>
      <c r="D551" s="208"/>
      <c r="E551" s="208"/>
      <c r="F551" s="208"/>
    </row>
    <row r="552" ht="14.25" customHeight="1">
      <c r="A552" s="208"/>
      <c r="B552" s="208"/>
      <c r="C552" s="208"/>
      <c r="D552" s="208"/>
      <c r="E552" s="208"/>
      <c r="F552" s="208"/>
    </row>
    <row r="553" ht="14.25" customHeight="1">
      <c r="A553" s="208"/>
      <c r="B553" s="208"/>
      <c r="C553" s="208"/>
      <c r="D553" s="208"/>
      <c r="E553" s="208"/>
      <c r="F553" s="208"/>
    </row>
    <row r="554" ht="14.25" customHeight="1">
      <c r="A554" s="208"/>
      <c r="B554" s="208"/>
      <c r="C554" s="208"/>
      <c r="D554" s="208"/>
      <c r="E554" s="208"/>
      <c r="F554" s="208"/>
    </row>
    <row r="555" ht="14.25" customHeight="1">
      <c r="A555" s="208"/>
      <c r="B555" s="208"/>
      <c r="C555" s="208"/>
      <c r="D555" s="208"/>
      <c r="E555" s="208"/>
      <c r="F555" s="208"/>
    </row>
    <row r="556" ht="14.25" customHeight="1">
      <c r="A556" s="208"/>
      <c r="B556" s="208"/>
      <c r="C556" s="208"/>
      <c r="D556" s="208"/>
      <c r="E556" s="208"/>
      <c r="F556" s="208"/>
    </row>
    <row r="557" ht="14.25" customHeight="1">
      <c r="A557" s="208"/>
      <c r="B557" s="208"/>
      <c r="C557" s="208"/>
      <c r="D557" s="208"/>
      <c r="E557" s="208"/>
      <c r="F557" s="208"/>
    </row>
    <row r="558" ht="14.25" customHeight="1">
      <c r="A558" s="208"/>
      <c r="B558" s="208"/>
      <c r="C558" s="208"/>
      <c r="D558" s="208"/>
      <c r="E558" s="208"/>
      <c r="F558" s="208"/>
    </row>
    <row r="559" ht="14.25" customHeight="1">
      <c r="A559" s="208"/>
      <c r="B559" s="208"/>
      <c r="C559" s="208"/>
      <c r="D559" s="208"/>
      <c r="E559" s="208"/>
      <c r="F559" s="208"/>
    </row>
    <row r="560" ht="14.25" customHeight="1">
      <c r="A560" s="208"/>
      <c r="B560" s="208"/>
      <c r="C560" s="208"/>
      <c r="D560" s="208"/>
      <c r="E560" s="208"/>
      <c r="F560" s="208"/>
    </row>
    <row r="561" ht="14.25" customHeight="1">
      <c r="A561" s="208"/>
      <c r="B561" s="208"/>
      <c r="C561" s="208"/>
      <c r="D561" s="208"/>
      <c r="E561" s="208"/>
      <c r="F561" s="208"/>
    </row>
    <row r="562" ht="14.25" customHeight="1">
      <c r="A562" s="208"/>
      <c r="B562" s="208"/>
      <c r="C562" s="208"/>
      <c r="D562" s="208"/>
      <c r="E562" s="208"/>
      <c r="F562" s="208"/>
    </row>
    <row r="563" ht="14.25" customHeight="1">
      <c r="A563" s="208"/>
      <c r="B563" s="208"/>
      <c r="C563" s="208"/>
      <c r="D563" s="208"/>
      <c r="E563" s="208"/>
      <c r="F563" s="208"/>
    </row>
    <row r="564" ht="14.25" customHeight="1">
      <c r="A564" s="208"/>
      <c r="B564" s="208"/>
      <c r="C564" s="208"/>
      <c r="D564" s="208"/>
      <c r="E564" s="208"/>
      <c r="F564" s="208"/>
    </row>
    <row r="565" ht="14.25" customHeight="1">
      <c r="A565" s="208"/>
      <c r="B565" s="208"/>
      <c r="C565" s="208"/>
      <c r="D565" s="208"/>
      <c r="E565" s="208"/>
      <c r="F565" s="208"/>
    </row>
    <row r="566" ht="14.25" customHeight="1">
      <c r="A566" s="208"/>
      <c r="B566" s="208"/>
      <c r="C566" s="208"/>
      <c r="D566" s="208"/>
      <c r="E566" s="208"/>
      <c r="F566" s="208"/>
    </row>
    <row r="567" ht="14.25" customHeight="1">
      <c r="A567" s="208"/>
      <c r="B567" s="208"/>
      <c r="C567" s="208"/>
      <c r="D567" s="208"/>
      <c r="E567" s="208"/>
      <c r="F567" s="208"/>
    </row>
    <row r="568" ht="14.25" customHeight="1">
      <c r="A568" s="208"/>
      <c r="B568" s="208"/>
      <c r="C568" s="208"/>
      <c r="D568" s="208"/>
      <c r="E568" s="208"/>
      <c r="F568" s="208"/>
    </row>
    <row r="569" ht="14.25" customHeight="1">
      <c r="A569" s="208"/>
      <c r="B569" s="208"/>
      <c r="C569" s="208"/>
      <c r="D569" s="208"/>
      <c r="E569" s="208"/>
      <c r="F569" s="208"/>
    </row>
    <row r="570" ht="14.25" customHeight="1">
      <c r="A570" s="208"/>
      <c r="B570" s="208"/>
      <c r="C570" s="208"/>
      <c r="D570" s="208"/>
      <c r="E570" s="208"/>
      <c r="F570" s="208"/>
    </row>
    <row r="571" ht="14.25" customHeight="1">
      <c r="A571" s="208"/>
      <c r="B571" s="208"/>
      <c r="C571" s="208"/>
      <c r="D571" s="208"/>
      <c r="E571" s="208"/>
      <c r="F571" s="208"/>
    </row>
    <row r="572" ht="14.25" customHeight="1">
      <c r="A572" s="208"/>
      <c r="B572" s="208"/>
      <c r="C572" s="208"/>
      <c r="D572" s="208"/>
      <c r="E572" s="208"/>
      <c r="F572" s="208"/>
    </row>
    <row r="573" ht="14.25" customHeight="1">
      <c r="A573" s="208"/>
      <c r="B573" s="208"/>
      <c r="C573" s="208"/>
      <c r="D573" s="208"/>
      <c r="E573" s="208"/>
      <c r="F573" s="208"/>
    </row>
    <row r="574" ht="14.25" customHeight="1">
      <c r="A574" s="208"/>
      <c r="B574" s="208"/>
      <c r="C574" s="208"/>
      <c r="D574" s="208"/>
      <c r="E574" s="208"/>
      <c r="F574" s="208"/>
    </row>
    <row r="575" ht="14.25" customHeight="1">
      <c r="A575" s="208"/>
      <c r="B575" s="208"/>
      <c r="C575" s="208"/>
      <c r="D575" s="208"/>
      <c r="E575" s="208"/>
      <c r="F575" s="208"/>
    </row>
    <row r="576" ht="14.25" customHeight="1">
      <c r="A576" s="208"/>
      <c r="B576" s="208"/>
      <c r="C576" s="208"/>
      <c r="D576" s="208"/>
      <c r="E576" s="208"/>
      <c r="F576" s="208"/>
    </row>
    <row r="577" ht="14.25" customHeight="1">
      <c r="A577" s="208"/>
      <c r="B577" s="208"/>
      <c r="C577" s="208"/>
      <c r="D577" s="208"/>
      <c r="E577" s="208"/>
      <c r="F577" s="208"/>
    </row>
    <row r="578" ht="14.25" customHeight="1">
      <c r="A578" s="208"/>
      <c r="B578" s="208"/>
      <c r="C578" s="208"/>
      <c r="D578" s="208"/>
      <c r="E578" s="208"/>
      <c r="F578" s="208"/>
    </row>
    <row r="579" ht="14.25" customHeight="1">
      <c r="A579" s="208"/>
      <c r="B579" s="208"/>
      <c r="C579" s="208"/>
      <c r="D579" s="208"/>
      <c r="E579" s="208"/>
      <c r="F579" s="208"/>
    </row>
    <row r="580" ht="14.25" customHeight="1">
      <c r="A580" s="208"/>
      <c r="B580" s="208"/>
      <c r="C580" s="208"/>
      <c r="D580" s="208"/>
      <c r="E580" s="208"/>
      <c r="F580" s="208"/>
    </row>
    <row r="581" ht="14.25" customHeight="1">
      <c r="A581" s="208"/>
      <c r="B581" s="208"/>
      <c r="C581" s="208"/>
      <c r="D581" s="208"/>
      <c r="E581" s="208"/>
      <c r="F581" s="208"/>
    </row>
    <row r="582" ht="14.25" customHeight="1">
      <c r="A582" s="208"/>
      <c r="B582" s="208"/>
      <c r="C582" s="208"/>
      <c r="D582" s="208"/>
      <c r="E582" s="208"/>
      <c r="F582" s="208"/>
    </row>
    <row r="583" ht="14.25" customHeight="1">
      <c r="A583" s="208"/>
      <c r="B583" s="208"/>
      <c r="C583" s="208"/>
      <c r="D583" s="208"/>
      <c r="E583" s="208"/>
      <c r="F583" s="208"/>
    </row>
    <row r="584" ht="14.25" customHeight="1">
      <c r="A584" s="208"/>
      <c r="B584" s="208"/>
      <c r="C584" s="208"/>
      <c r="D584" s="208"/>
      <c r="E584" s="208"/>
      <c r="F584" s="208"/>
    </row>
    <row r="585" ht="14.25" customHeight="1">
      <c r="A585" s="208"/>
      <c r="B585" s="208"/>
      <c r="C585" s="208"/>
      <c r="D585" s="208"/>
      <c r="E585" s="208"/>
      <c r="F585" s="208"/>
    </row>
    <row r="586" ht="14.25" customHeight="1">
      <c r="A586" s="208"/>
      <c r="B586" s="208"/>
      <c r="C586" s="208"/>
      <c r="D586" s="208"/>
      <c r="E586" s="208"/>
      <c r="F586" s="208"/>
    </row>
    <row r="587" ht="14.25" customHeight="1">
      <c r="A587" s="208"/>
      <c r="B587" s="208"/>
      <c r="C587" s="208"/>
      <c r="D587" s="208"/>
      <c r="E587" s="208"/>
      <c r="F587" s="208"/>
    </row>
    <row r="588" ht="14.25" customHeight="1">
      <c r="A588" s="208"/>
      <c r="B588" s="208"/>
      <c r="C588" s="208"/>
      <c r="D588" s="208"/>
      <c r="E588" s="208"/>
      <c r="F588" s="208"/>
    </row>
    <row r="589" ht="14.25" customHeight="1">
      <c r="A589" s="208"/>
      <c r="B589" s="208"/>
      <c r="C589" s="208"/>
      <c r="D589" s="208"/>
      <c r="E589" s="208"/>
      <c r="F589" s="208"/>
    </row>
    <row r="590" ht="14.25" customHeight="1">
      <c r="A590" s="208"/>
      <c r="B590" s="208"/>
      <c r="C590" s="208"/>
      <c r="D590" s="208"/>
      <c r="E590" s="208"/>
      <c r="F590" s="208"/>
    </row>
    <row r="591" ht="14.25" customHeight="1">
      <c r="A591" s="208"/>
      <c r="B591" s="208"/>
      <c r="C591" s="208"/>
      <c r="D591" s="208"/>
      <c r="E591" s="208"/>
      <c r="F591" s="208"/>
    </row>
    <row r="592" ht="14.25" customHeight="1">
      <c r="A592" s="208"/>
      <c r="B592" s="208"/>
      <c r="C592" s="208"/>
      <c r="D592" s="208"/>
      <c r="E592" s="208"/>
      <c r="F592" s="208"/>
    </row>
    <row r="593" ht="14.25" customHeight="1">
      <c r="A593" s="208"/>
      <c r="B593" s="208"/>
      <c r="C593" s="208"/>
      <c r="D593" s="208"/>
      <c r="E593" s="208"/>
      <c r="F593" s="208"/>
    </row>
    <row r="594" ht="14.25" customHeight="1">
      <c r="A594" s="208"/>
      <c r="B594" s="208"/>
      <c r="C594" s="208"/>
      <c r="D594" s="208"/>
      <c r="E594" s="208"/>
      <c r="F594" s="208"/>
    </row>
    <row r="595" ht="14.25" customHeight="1">
      <c r="A595" s="208"/>
      <c r="B595" s="208"/>
      <c r="C595" s="208"/>
      <c r="D595" s="208"/>
      <c r="E595" s="208"/>
      <c r="F595" s="208"/>
    </row>
    <row r="596" ht="14.25" customHeight="1">
      <c r="A596" s="208"/>
      <c r="B596" s="208"/>
      <c r="C596" s="208"/>
      <c r="D596" s="208"/>
      <c r="E596" s="208"/>
      <c r="F596" s="208"/>
    </row>
    <row r="597" ht="14.25" customHeight="1">
      <c r="A597" s="208"/>
      <c r="B597" s="208"/>
      <c r="C597" s="208"/>
      <c r="D597" s="208"/>
      <c r="E597" s="208"/>
      <c r="F597" s="208"/>
    </row>
    <row r="598" ht="14.25" customHeight="1">
      <c r="A598" s="208"/>
      <c r="B598" s="208"/>
      <c r="C598" s="208"/>
      <c r="D598" s="208"/>
      <c r="E598" s="208"/>
      <c r="F598" s="208"/>
    </row>
    <row r="599" ht="14.25" customHeight="1">
      <c r="A599" s="208"/>
      <c r="B599" s="208"/>
      <c r="C599" s="208"/>
      <c r="D599" s="208"/>
      <c r="E599" s="208"/>
      <c r="F599" s="208"/>
    </row>
    <row r="600" ht="14.25" customHeight="1">
      <c r="A600" s="208"/>
      <c r="B600" s="208"/>
      <c r="C600" s="208"/>
      <c r="D600" s="208"/>
      <c r="E600" s="208"/>
      <c r="F600" s="208"/>
    </row>
    <row r="601" ht="14.25" customHeight="1">
      <c r="A601" s="208"/>
      <c r="B601" s="208"/>
      <c r="C601" s="208"/>
      <c r="D601" s="208"/>
      <c r="E601" s="208"/>
      <c r="F601" s="208"/>
    </row>
    <row r="602" ht="14.25" customHeight="1">
      <c r="A602" s="208"/>
      <c r="B602" s="208"/>
      <c r="C602" s="208"/>
      <c r="D602" s="208"/>
      <c r="E602" s="208"/>
      <c r="F602" s="208"/>
    </row>
    <row r="603" ht="14.25" customHeight="1">
      <c r="A603" s="208"/>
      <c r="B603" s="208"/>
      <c r="C603" s="208"/>
      <c r="D603" s="208"/>
      <c r="E603" s="208"/>
      <c r="F603" s="208"/>
    </row>
    <row r="604" ht="14.25" customHeight="1">
      <c r="A604" s="208"/>
      <c r="B604" s="208"/>
      <c r="C604" s="208"/>
      <c r="D604" s="208"/>
      <c r="E604" s="208"/>
      <c r="F604" s="208"/>
    </row>
    <row r="605" ht="14.25" customHeight="1">
      <c r="A605" s="208"/>
      <c r="B605" s="208"/>
      <c r="C605" s="208"/>
      <c r="D605" s="208"/>
      <c r="E605" s="208"/>
      <c r="F605" s="208"/>
    </row>
    <row r="606" ht="14.25" customHeight="1">
      <c r="A606" s="208"/>
      <c r="B606" s="208"/>
      <c r="C606" s="208"/>
      <c r="D606" s="208"/>
      <c r="E606" s="208"/>
      <c r="F606" s="208"/>
    </row>
    <row r="607" ht="14.25" customHeight="1">
      <c r="A607" s="208"/>
      <c r="B607" s="208"/>
      <c r="C607" s="208"/>
      <c r="D607" s="208"/>
      <c r="E607" s="208"/>
      <c r="F607" s="208"/>
    </row>
    <row r="608" ht="14.25" customHeight="1">
      <c r="A608" s="208"/>
      <c r="B608" s="208"/>
      <c r="C608" s="208"/>
      <c r="D608" s="208"/>
      <c r="E608" s="208"/>
      <c r="F608" s="208"/>
    </row>
    <row r="609" ht="14.25" customHeight="1">
      <c r="A609" s="208"/>
      <c r="B609" s="208"/>
      <c r="C609" s="208"/>
      <c r="D609" s="208"/>
      <c r="E609" s="208"/>
      <c r="F609" s="208"/>
    </row>
    <row r="610" ht="14.25" customHeight="1">
      <c r="A610" s="208"/>
      <c r="B610" s="208"/>
      <c r="C610" s="208"/>
      <c r="D610" s="208"/>
      <c r="E610" s="208"/>
      <c r="F610" s="208"/>
    </row>
    <row r="611" ht="14.25" customHeight="1">
      <c r="A611" s="208"/>
      <c r="B611" s="208"/>
      <c r="C611" s="208"/>
      <c r="D611" s="208"/>
      <c r="E611" s="208"/>
      <c r="F611" s="208"/>
    </row>
    <row r="612" ht="14.25" customHeight="1">
      <c r="A612" s="208"/>
      <c r="B612" s="208"/>
      <c r="C612" s="208"/>
      <c r="D612" s="208"/>
      <c r="E612" s="208"/>
      <c r="F612" s="208"/>
    </row>
    <row r="613" ht="14.25" customHeight="1">
      <c r="A613" s="208"/>
      <c r="B613" s="208"/>
      <c r="C613" s="208"/>
      <c r="D613" s="208"/>
      <c r="E613" s="208"/>
      <c r="F613" s="208"/>
    </row>
    <row r="614" ht="14.25" customHeight="1">
      <c r="A614" s="208"/>
      <c r="B614" s="208"/>
      <c r="C614" s="208"/>
      <c r="D614" s="208"/>
      <c r="E614" s="208"/>
      <c r="F614" s="208"/>
    </row>
    <row r="615" ht="14.25" customHeight="1">
      <c r="A615" s="208"/>
      <c r="B615" s="208"/>
      <c r="C615" s="208"/>
      <c r="D615" s="208"/>
      <c r="E615" s="208"/>
      <c r="F615" s="208"/>
    </row>
    <row r="616" ht="14.25" customHeight="1">
      <c r="A616" s="208"/>
      <c r="B616" s="208"/>
      <c r="C616" s="208"/>
      <c r="D616" s="208"/>
      <c r="E616" s="208"/>
      <c r="F616" s="208"/>
    </row>
    <row r="617" ht="14.25" customHeight="1">
      <c r="A617" s="208"/>
      <c r="B617" s="208"/>
      <c r="C617" s="208"/>
      <c r="D617" s="208"/>
      <c r="E617" s="208"/>
      <c r="F617" s="208"/>
    </row>
    <row r="618" ht="14.25" customHeight="1">
      <c r="A618" s="208"/>
      <c r="B618" s="208"/>
      <c r="C618" s="208"/>
      <c r="D618" s="208"/>
      <c r="E618" s="208"/>
      <c r="F618" s="208"/>
    </row>
    <row r="619" ht="14.25" customHeight="1">
      <c r="A619" s="208"/>
      <c r="B619" s="208"/>
      <c r="C619" s="208"/>
      <c r="D619" s="208"/>
      <c r="E619" s="208"/>
      <c r="F619" s="208"/>
    </row>
    <row r="620" ht="14.25" customHeight="1">
      <c r="A620" s="208"/>
      <c r="B620" s="208"/>
      <c r="C620" s="208"/>
      <c r="D620" s="208"/>
      <c r="E620" s="208"/>
      <c r="F620" s="208"/>
    </row>
    <row r="621" ht="14.25" customHeight="1">
      <c r="A621" s="208"/>
      <c r="B621" s="208"/>
      <c r="C621" s="208"/>
      <c r="D621" s="208"/>
      <c r="E621" s="208"/>
      <c r="F621" s="208"/>
    </row>
    <row r="622" ht="14.25" customHeight="1">
      <c r="A622" s="208"/>
      <c r="B622" s="208"/>
      <c r="C622" s="208"/>
      <c r="D622" s="208"/>
      <c r="E622" s="208"/>
      <c r="F622" s="208"/>
    </row>
    <row r="623" ht="14.25" customHeight="1">
      <c r="A623" s="208"/>
      <c r="B623" s="208"/>
      <c r="C623" s="208"/>
      <c r="D623" s="208"/>
      <c r="E623" s="208"/>
      <c r="F623" s="208"/>
    </row>
    <row r="624" ht="14.25" customHeight="1">
      <c r="A624" s="208"/>
      <c r="B624" s="208"/>
      <c r="C624" s="208"/>
      <c r="D624" s="208"/>
      <c r="E624" s="208"/>
      <c r="F624" s="208"/>
    </row>
    <row r="625" ht="14.25" customHeight="1">
      <c r="A625" s="208"/>
      <c r="B625" s="208"/>
      <c r="C625" s="208"/>
      <c r="D625" s="208"/>
      <c r="E625" s="208"/>
      <c r="F625" s="208"/>
    </row>
    <row r="626" ht="14.25" customHeight="1">
      <c r="A626" s="208"/>
      <c r="B626" s="208"/>
      <c r="C626" s="208"/>
      <c r="D626" s="208"/>
      <c r="E626" s="208"/>
      <c r="F626" s="208"/>
    </row>
    <row r="627" ht="14.25" customHeight="1">
      <c r="A627" s="208"/>
      <c r="B627" s="208"/>
      <c r="C627" s="208"/>
      <c r="D627" s="208"/>
      <c r="E627" s="208"/>
      <c r="F627" s="208"/>
    </row>
    <row r="628" ht="14.25" customHeight="1">
      <c r="A628" s="208"/>
      <c r="B628" s="208"/>
      <c r="C628" s="208"/>
      <c r="D628" s="208"/>
      <c r="E628" s="208"/>
      <c r="F628" s="208"/>
    </row>
    <row r="629" ht="14.25" customHeight="1">
      <c r="A629" s="208"/>
      <c r="B629" s="208"/>
      <c r="C629" s="208"/>
      <c r="D629" s="208"/>
      <c r="E629" s="208"/>
      <c r="F629" s="208"/>
    </row>
    <row r="630" ht="14.25" customHeight="1">
      <c r="A630" s="208"/>
      <c r="B630" s="208"/>
      <c r="C630" s="208"/>
      <c r="D630" s="208"/>
      <c r="E630" s="208"/>
      <c r="F630" s="208"/>
    </row>
    <row r="631" ht="14.25" customHeight="1">
      <c r="A631" s="208"/>
      <c r="B631" s="208"/>
      <c r="C631" s="208"/>
      <c r="D631" s="208"/>
      <c r="E631" s="208"/>
      <c r="F631" s="208"/>
    </row>
    <row r="632" ht="14.25" customHeight="1">
      <c r="A632" s="208"/>
      <c r="B632" s="208"/>
      <c r="C632" s="208"/>
      <c r="D632" s="208"/>
      <c r="E632" s="208"/>
      <c r="F632" s="208"/>
    </row>
    <row r="633" ht="14.25" customHeight="1">
      <c r="A633" s="208"/>
      <c r="B633" s="208"/>
      <c r="C633" s="208"/>
      <c r="D633" s="208"/>
      <c r="E633" s="208"/>
      <c r="F633" s="208"/>
    </row>
    <row r="634" ht="14.25" customHeight="1">
      <c r="A634" s="208"/>
      <c r="B634" s="208"/>
      <c r="C634" s="208"/>
      <c r="D634" s="208"/>
      <c r="E634" s="208"/>
      <c r="F634" s="208"/>
    </row>
    <row r="635" ht="14.25" customHeight="1">
      <c r="A635" s="208"/>
      <c r="B635" s="208"/>
      <c r="C635" s="208"/>
      <c r="D635" s="208"/>
      <c r="E635" s="208"/>
      <c r="F635" s="208"/>
    </row>
    <row r="636" ht="14.25" customHeight="1">
      <c r="A636" s="208"/>
      <c r="B636" s="208"/>
      <c r="C636" s="208"/>
      <c r="D636" s="208"/>
      <c r="E636" s="208"/>
      <c r="F636" s="208"/>
    </row>
    <row r="637" ht="14.25" customHeight="1">
      <c r="A637" s="208"/>
      <c r="B637" s="208"/>
      <c r="C637" s="208"/>
      <c r="D637" s="208"/>
      <c r="E637" s="208"/>
      <c r="F637" s="208"/>
    </row>
    <row r="638" ht="14.25" customHeight="1">
      <c r="A638" s="208"/>
      <c r="B638" s="208"/>
      <c r="C638" s="208"/>
      <c r="D638" s="208"/>
      <c r="E638" s="208"/>
      <c r="F638" s="208"/>
    </row>
    <row r="639" ht="14.25" customHeight="1">
      <c r="A639" s="208"/>
      <c r="B639" s="208"/>
      <c r="C639" s="208"/>
      <c r="D639" s="208"/>
      <c r="E639" s="208"/>
      <c r="F639" s="208"/>
    </row>
    <row r="640" ht="14.25" customHeight="1">
      <c r="A640" s="208"/>
      <c r="B640" s="208"/>
      <c r="C640" s="208"/>
      <c r="D640" s="208"/>
      <c r="E640" s="208"/>
      <c r="F640" s="208"/>
    </row>
    <row r="641" ht="14.25" customHeight="1">
      <c r="A641" s="208"/>
      <c r="B641" s="208"/>
      <c r="C641" s="208"/>
      <c r="D641" s="208"/>
      <c r="E641" s="208"/>
      <c r="F641" s="208"/>
    </row>
    <row r="642" ht="14.25" customHeight="1">
      <c r="A642" s="208"/>
      <c r="B642" s="208"/>
      <c r="C642" s="208"/>
      <c r="D642" s="208"/>
      <c r="E642" s="208"/>
      <c r="F642" s="208"/>
    </row>
    <row r="643" ht="14.25" customHeight="1">
      <c r="A643" s="208"/>
      <c r="B643" s="208"/>
      <c r="C643" s="208"/>
      <c r="D643" s="208"/>
      <c r="E643" s="208"/>
      <c r="F643" s="208"/>
    </row>
    <row r="644" ht="14.25" customHeight="1">
      <c r="A644" s="208"/>
      <c r="B644" s="208"/>
      <c r="C644" s="208"/>
      <c r="D644" s="208"/>
      <c r="E644" s="208"/>
      <c r="F644" s="208"/>
    </row>
    <row r="645" ht="14.25" customHeight="1">
      <c r="A645" s="208"/>
      <c r="B645" s="208"/>
      <c r="C645" s="208"/>
      <c r="D645" s="208"/>
      <c r="E645" s="208"/>
      <c r="F645" s="208"/>
    </row>
    <row r="646" ht="14.25" customHeight="1">
      <c r="A646" s="208"/>
      <c r="B646" s="208"/>
      <c r="C646" s="208"/>
      <c r="D646" s="208"/>
      <c r="E646" s="208"/>
      <c r="F646" s="208"/>
    </row>
    <row r="647" ht="14.25" customHeight="1">
      <c r="A647" s="208"/>
      <c r="B647" s="208"/>
      <c r="C647" s="208"/>
      <c r="D647" s="208"/>
      <c r="E647" s="208"/>
      <c r="F647" s="208"/>
    </row>
    <row r="648" ht="14.25" customHeight="1">
      <c r="A648" s="208"/>
      <c r="B648" s="208"/>
      <c r="C648" s="208"/>
      <c r="D648" s="208"/>
      <c r="E648" s="208"/>
      <c r="F648" s="208"/>
    </row>
    <row r="649" ht="14.25" customHeight="1">
      <c r="A649" s="208"/>
      <c r="B649" s="208"/>
      <c r="C649" s="208"/>
      <c r="D649" s="208"/>
      <c r="E649" s="208"/>
      <c r="F649" s="208"/>
    </row>
    <row r="650" ht="14.25" customHeight="1">
      <c r="A650" s="208"/>
      <c r="B650" s="208"/>
      <c r="C650" s="208"/>
      <c r="D650" s="208"/>
      <c r="E650" s="208"/>
      <c r="F650" s="208"/>
    </row>
    <row r="651" ht="14.25" customHeight="1">
      <c r="A651" s="208"/>
      <c r="B651" s="208"/>
      <c r="C651" s="208"/>
      <c r="D651" s="208"/>
      <c r="E651" s="208"/>
      <c r="F651" s="208"/>
    </row>
    <row r="652" ht="14.25" customHeight="1">
      <c r="A652" s="208"/>
      <c r="B652" s="208"/>
      <c r="C652" s="208"/>
      <c r="D652" s="208"/>
      <c r="E652" s="208"/>
      <c r="F652" s="208"/>
    </row>
    <row r="653" ht="14.25" customHeight="1">
      <c r="A653" s="208"/>
      <c r="B653" s="208"/>
      <c r="C653" s="208"/>
      <c r="D653" s="208"/>
      <c r="E653" s="208"/>
      <c r="F653" s="208"/>
    </row>
    <row r="654" ht="14.25" customHeight="1">
      <c r="A654" s="208"/>
      <c r="B654" s="208"/>
      <c r="C654" s="208"/>
      <c r="D654" s="208"/>
      <c r="E654" s="208"/>
      <c r="F654" s="208"/>
    </row>
    <row r="655" ht="14.25" customHeight="1">
      <c r="A655" s="208"/>
      <c r="B655" s="208"/>
      <c r="C655" s="208"/>
      <c r="D655" s="208"/>
      <c r="E655" s="208"/>
      <c r="F655" s="208"/>
    </row>
    <row r="656" ht="14.25" customHeight="1">
      <c r="A656" s="208"/>
      <c r="B656" s="208"/>
      <c r="C656" s="208"/>
      <c r="D656" s="208"/>
      <c r="E656" s="208"/>
      <c r="F656" s="208"/>
    </row>
    <row r="657" ht="14.25" customHeight="1">
      <c r="A657" s="208"/>
      <c r="B657" s="208"/>
      <c r="C657" s="208"/>
      <c r="D657" s="208"/>
      <c r="E657" s="208"/>
      <c r="F657" s="208"/>
    </row>
    <row r="658" ht="14.25" customHeight="1">
      <c r="A658" s="208"/>
      <c r="B658" s="208"/>
      <c r="C658" s="208"/>
      <c r="D658" s="208"/>
      <c r="E658" s="208"/>
      <c r="F658" s="208"/>
    </row>
    <row r="659" ht="14.25" customHeight="1">
      <c r="A659" s="208"/>
      <c r="B659" s="208"/>
      <c r="C659" s="208"/>
      <c r="D659" s="208"/>
      <c r="E659" s="208"/>
      <c r="F659" s="208"/>
    </row>
    <row r="660" ht="14.25" customHeight="1">
      <c r="A660" s="208"/>
      <c r="B660" s="208"/>
      <c r="C660" s="208"/>
      <c r="D660" s="208"/>
      <c r="E660" s="208"/>
      <c r="F660" s="208"/>
    </row>
    <row r="661" ht="14.25" customHeight="1">
      <c r="A661" s="208"/>
      <c r="B661" s="208"/>
      <c r="C661" s="208"/>
      <c r="D661" s="208"/>
      <c r="E661" s="208"/>
      <c r="F661" s="208"/>
    </row>
    <row r="662" ht="14.25" customHeight="1">
      <c r="A662" s="208"/>
      <c r="B662" s="208"/>
      <c r="C662" s="208"/>
      <c r="D662" s="208"/>
      <c r="E662" s="208"/>
      <c r="F662" s="208"/>
    </row>
    <row r="663" ht="14.25" customHeight="1">
      <c r="A663" s="208"/>
      <c r="B663" s="208"/>
      <c r="C663" s="208"/>
      <c r="D663" s="208"/>
      <c r="E663" s="208"/>
      <c r="F663" s="208"/>
    </row>
    <row r="664" ht="14.25" customHeight="1">
      <c r="A664" s="208"/>
      <c r="B664" s="208"/>
      <c r="C664" s="208"/>
      <c r="D664" s="208"/>
      <c r="E664" s="208"/>
      <c r="F664" s="208"/>
    </row>
    <row r="665" ht="14.25" customHeight="1">
      <c r="A665" s="208"/>
      <c r="B665" s="208"/>
      <c r="C665" s="208"/>
      <c r="D665" s="208"/>
      <c r="E665" s="208"/>
      <c r="F665" s="208"/>
    </row>
    <row r="666" ht="14.25" customHeight="1">
      <c r="A666" s="208"/>
      <c r="B666" s="208"/>
      <c r="C666" s="208"/>
      <c r="D666" s="208"/>
      <c r="E666" s="208"/>
      <c r="F666" s="208"/>
    </row>
    <row r="667" ht="14.25" customHeight="1">
      <c r="A667" s="208"/>
      <c r="B667" s="208"/>
      <c r="C667" s="208"/>
      <c r="D667" s="208"/>
      <c r="E667" s="208"/>
      <c r="F667" s="208"/>
    </row>
    <row r="668" ht="14.25" customHeight="1">
      <c r="A668" s="208"/>
      <c r="B668" s="208"/>
      <c r="C668" s="208"/>
      <c r="D668" s="208"/>
      <c r="E668" s="208"/>
      <c r="F668" s="208"/>
    </row>
    <row r="669" ht="14.25" customHeight="1">
      <c r="A669" s="208"/>
      <c r="B669" s="208"/>
      <c r="C669" s="208"/>
      <c r="D669" s="208"/>
      <c r="E669" s="208"/>
      <c r="F669" s="208"/>
    </row>
    <row r="670" ht="14.25" customHeight="1">
      <c r="A670" s="208"/>
      <c r="B670" s="208"/>
      <c r="C670" s="208"/>
      <c r="D670" s="208"/>
      <c r="E670" s="208"/>
      <c r="F670" s="208"/>
    </row>
    <row r="671" ht="14.25" customHeight="1">
      <c r="A671" s="208"/>
      <c r="B671" s="208"/>
      <c r="C671" s="208"/>
      <c r="D671" s="208"/>
      <c r="E671" s="208"/>
      <c r="F671" s="208"/>
    </row>
    <row r="672" ht="14.25" customHeight="1">
      <c r="A672" s="208"/>
      <c r="B672" s="208"/>
      <c r="C672" s="208"/>
      <c r="D672" s="208"/>
      <c r="E672" s="208"/>
      <c r="F672" s="208"/>
    </row>
    <row r="673" ht="14.25" customHeight="1">
      <c r="A673" s="208"/>
      <c r="B673" s="208"/>
      <c r="C673" s="208"/>
      <c r="D673" s="208"/>
      <c r="E673" s="208"/>
      <c r="F673" s="208"/>
    </row>
    <row r="674" ht="14.25" customHeight="1">
      <c r="A674" s="208"/>
      <c r="B674" s="208"/>
      <c r="C674" s="208"/>
      <c r="D674" s="208"/>
      <c r="E674" s="208"/>
      <c r="F674" s="208"/>
    </row>
    <row r="675" ht="14.25" customHeight="1">
      <c r="A675" s="208"/>
      <c r="B675" s="208"/>
      <c r="C675" s="208"/>
      <c r="D675" s="208"/>
      <c r="E675" s="208"/>
      <c r="F675" s="208"/>
    </row>
    <row r="676" ht="14.25" customHeight="1">
      <c r="A676" s="208"/>
      <c r="B676" s="208"/>
      <c r="C676" s="208"/>
      <c r="D676" s="208"/>
      <c r="E676" s="208"/>
      <c r="F676" s="208"/>
    </row>
    <row r="677" ht="14.25" customHeight="1">
      <c r="A677" s="208"/>
      <c r="B677" s="208"/>
      <c r="C677" s="208"/>
      <c r="D677" s="208"/>
      <c r="E677" s="208"/>
      <c r="F677" s="208"/>
    </row>
    <row r="678" ht="14.25" customHeight="1">
      <c r="A678" s="208"/>
      <c r="B678" s="208"/>
      <c r="C678" s="208"/>
      <c r="D678" s="208"/>
      <c r="E678" s="208"/>
      <c r="F678" s="208"/>
    </row>
    <row r="679" ht="14.25" customHeight="1">
      <c r="A679" s="208"/>
      <c r="B679" s="208"/>
      <c r="C679" s="208"/>
      <c r="D679" s="208"/>
      <c r="E679" s="208"/>
      <c r="F679" s="208"/>
    </row>
    <row r="680" ht="14.25" customHeight="1">
      <c r="A680" s="208"/>
      <c r="B680" s="208"/>
      <c r="C680" s="208"/>
      <c r="D680" s="208"/>
      <c r="E680" s="208"/>
      <c r="F680" s="208"/>
    </row>
    <row r="681" ht="14.25" customHeight="1">
      <c r="A681" s="208"/>
      <c r="B681" s="208"/>
      <c r="C681" s="208"/>
      <c r="D681" s="208"/>
      <c r="E681" s="208"/>
      <c r="F681" s="208"/>
    </row>
    <row r="682" ht="14.25" customHeight="1">
      <c r="A682" s="208"/>
      <c r="B682" s="208"/>
      <c r="C682" s="208"/>
      <c r="D682" s="208"/>
      <c r="E682" s="208"/>
      <c r="F682" s="208"/>
    </row>
    <row r="683" ht="14.25" customHeight="1">
      <c r="A683" s="208"/>
      <c r="B683" s="208"/>
      <c r="C683" s="208"/>
      <c r="D683" s="208"/>
      <c r="E683" s="208"/>
      <c r="F683" s="208"/>
    </row>
    <row r="684" ht="14.25" customHeight="1">
      <c r="A684" s="208"/>
      <c r="B684" s="208"/>
      <c r="C684" s="208"/>
      <c r="D684" s="208"/>
      <c r="E684" s="208"/>
      <c r="F684" s="208"/>
    </row>
    <row r="685" ht="14.25" customHeight="1">
      <c r="A685" s="208"/>
      <c r="B685" s="208"/>
      <c r="C685" s="208"/>
      <c r="D685" s="208"/>
      <c r="E685" s="208"/>
      <c r="F685" s="208"/>
    </row>
    <row r="686" ht="14.25" customHeight="1">
      <c r="A686" s="208"/>
      <c r="B686" s="208"/>
      <c r="C686" s="208"/>
      <c r="D686" s="208"/>
      <c r="E686" s="208"/>
      <c r="F686" s="208"/>
    </row>
    <row r="687" ht="14.25" customHeight="1">
      <c r="A687" s="208"/>
      <c r="B687" s="208"/>
      <c r="C687" s="208"/>
      <c r="D687" s="208"/>
      <c r="E687" s="208"/>
      <c r="F687" s="208"/>
    </row>
    <row r="688" ht="14.25" customHeight="1">
      <c r="A688" s="208"/>
      <c r="B688" s="208"/>
      <c r="C688" s="208"/>
      <c r="D688" s="208"/>
      <c r="E688" s="208"/>
      <c r="F688" s="208"/>
    </row>
    <row r="689" ht="14.25" customHeight="1">
      <c r="A689" s="208"/>
      <c r="B689" s="208"/>
      <c r="C689" s="208"/>
      <c r="D689" s="208"/>
      <c r="E689" s="208"/>
      <c r="F689" s="208"/>
    </row>
    <row r="690" ht="14.25" customHeight="1">
      <c r="A690" s="208"/>
      <c r="B690" s="208"/>
      <c r="C690" s="208"/>
      <c r="D690" s="208"/>
      <c r="E690" s="208"/>
      <c r="F690" s="208"/>
    </row>
    <row r="691" ht="14.25" customHeight="1">
      <c r="A691" s="208"/>
      <c r="B691" s="208"/>
      <c r="C691" s="208"/>
      <c r="D691" s="208"/>
      <c r="E691" s="208"/>
      <c r="F691" s="208"/>
    </row>
    <row r="692" ht="14.25" customHeight="1">
      <c r="A692" s="208"/>
      <c r="B692" s="208"/>
      <c r="C692" s="208"/>
      <c r="D692" s="208"/>
      <c r="E692" s="208"/>
      <c r="F692" s="208"/>
    </row>
    <row r="693" ht="14.25" customHeight="1">
      <c r="A693" s="208"/>
      <c r="B693" s="208"/>
      <c r="C693" s="208"/>
      <c r="D693" s="208"/>
      <c r="E693" s="208"/>
      <c r="F693" s="208"/>
    </row>
    <row r="694" ht="14.25" customHeight="1">
      <c r="A694" s="208"/>
      <c r="B694" s="208"/>
      <c r="C694" s="208"/>
      <c r="D694" s="208"/>
      <c r="E694" s="208"/>
      <c r="F694" s="208"/>
    </row>
    <row r="695" ht="14.25" customHeight="1">
      <c r="A695" s="208"/>
      <c r="B695" s="208"/>
      <c r="C695" s="208"/>
      <c r="D695" s="208"/>
      <c r="E695" s="208"/>
      <c r="F695" s="208"/>
    </row>
    <row r="696" ht="14.25" customHeight="1">
      <c r="A696" s="208"/>
      <c r="B696" s="208"/>
      <c r="C696" s="208"/>
      <c r="D696" s="208"/>
      <c r="E696" s="208"/>
      <c r="F696" s="208"/>
    </row>
    <row r="697" ht="14.25" customHeight="1">
      <c r="A697" s="208"/>
      <c r="B697" s="208"/>
      <c r="C697" s="208"/>
      <c r="D697" s="208"/>
      <c r="E697" s="208"/>
      <c r="F697" s="208"/>
    </row>
    <row r="698" ht="14.25" customHeight="1">
      <c r="A698" s="208"/>
      <c r="B698" s="208"/>
      <c r="C698" s="208"/>
      <c r="D698" s="208"/>
      <c r="E698" s="208"/>
      <c r="F698" s="208"/>
    </row>
    <row r="699" ht="14.25" customHeight="1">
      <c r="A699" s="208"/>
      <c r="B699" s="208"/>
      <c r="C699" s="208"/>
      <c r="D699" s="208"/>
      <c r="E699" s="208"/>
      <c r="F699" s="208"/>
    </row>
    <row r="700" ht="14.25" customHeight="1">
      <c r="A700" s="208"/>
      <c r="B700" s="208"/>
      <c r="C700" s="208"/>
      <c r="D700" s="208"/>
      <c r="E700" s="208"/>
      <c r="F700" s="208"/>
    </row>
    <row r="701" ht="14.25" customHeight="1">
      <c r="A701" s="208"/>
      <c r="B701" s="208"/>
      <c r="C701" s="208"/>
      <c r="D701" s="208"/>
      <c r="E701" s="208"/>
      <c r="F701" s="208"/>
    </row>
    <row r="702" ht="14.25" customHeight="1">
      <c r="A702" s="208"/>
      <c r="B702" s="208"/>
      <c r="C702" s="208"/>
      <c r="D702" s="208"/>
      <c r="E702" s="208"/>
      <c r="F702" s="208"/>
    </row>
    <row r="703" ht="14.25" customHeight="1">
      <c r="A703" s="208"/>
      <c r="B703" s="208"/>
      <c r="C703" s="208"/>
      <c r="D703" s="208"/>
      <c r="E703" s="208"/>
      <c r="F703" s="208"/>
    </row>
    <row r="704" ht="14.25" customHeight="1">
      <c r="A704" s="208"/>
      <c r="B704" s="208"/>
      <c r="C704" s="208"/>
      <c r="D704" s="208"/>
      <c r="E704" s="208"/>
      <c r="F704" s="208"/>
    </row>
    <row r="705" ht="14.25" customHeight="1">
      <c r="A705" s="208"/>
      <c r="B705" s="208"/>
      <c r="C705" s="208"/>
      <c r="D705" s="208"/>
      <c r="E705" s="208"/>
      <c r="F705" s="208"/>
    </row>
    <row r="706" ht="14.25" customHeight="1">
      <c r="A706" s="208"/>
      <c r="B706" s="208"/>
      <c r="C706" s="208"/>
      <c r="D706" s="208"/>
      <c r="E706" s="208"/>
      <c r="F706" s="208"/>
    </row>
    <row r="707" ht="14.25" customHeight="1">
      <c r="A707" s="208"/>
      <c r="B707" s="208"/>
      <c r="C707" s="208"/>
      <c r="D707" s="208"/>
      <c r="E707" s="208"/>
      <c r="F707" s="208"/>
    </row>
    <row r="708" ht="14.25" customHeight="1">
      <c r="A708" s="208"/>
      <c r="B708" s="208"/>
      <c r="C708" s="208"/>
      <c r="D708" s="208"/>
      <c r="E708" s="208"/>
      <c r="F708" s="208"/>
    </row>
    <row r="709" ht="14.25" customHeight="1">
      <c r="A709" s="208"/>
      <c r="B709" s="208"/>
      <c r="C709" s="208"/>
      <c r="D709" s="208"/>
      <c r="E709" s="208"/>
      <c r="F709" s="208"/>
    </row>
    <row r="710" ht="14.25" customHeight="1">
      <c r="A710" s="208"/>
      <c r="B710" s="208"/>
      <c r="C710" s="208"/>
      <c r="D710" s="208"/>
      <c r="E710" s="208"/>
      <c r="F710" s="208"/>
    </row>
    <row r="711" ht="14.25" customHeight="1">
      <c r="A711" s="208"/>
      <c r="B711" s="208"/>
      <c r="C711" s="208"/>
      <c r="D711" s="208"/>
      <c r="E711" s="208"/>
      <c r="F711" s="208"/>
    </row>
    <row r="712" ht="14.25" customHeight="1">
      <c r="A712" s="208"/>
      <c r="B712" s="208"/>
      <c r="C712" s="208"/>
      <c r="D712" s="208"/>
      <c r="E712" s="208"/>
      <c r="F712" s="208"/>
    </row>
    <row r="713" ht="14.25" customHeight="1">
      <c r="A713" s="208"/>
      <c r="B713" s="208"/>
      <c r="C713" s="208"/>
      <c r="D713" s="208"/>
      <c r="E713" s="208"/>
      <c r="F713" s="208"/>
    </row>
    <row r="714" ht="14.25" customHeight="1">
      <c r="A714" s="208"/>
      <c r="B714" s="208"/>
      <c r="C714" s="208"/>
      <c r="D714" s="208"/>
      <c r="E714" s="208"/>
      <c r="F714" s="208"/>
    </row>
    <row r="715" ht="14.25" customHeight="1">
      <c r="A715" s="208"/>
      <c r="B715" s="208"/>
      <c r="C715" s="208"/>
      <c r="D715" s="208"/>
      <c r="E715" s="208"/>
      <c r="F715" s="208"/>
    </row>
    <row r="716" ht="14.25" customHeight="1">
      <c r="A716" s="208"/>
      <c r="B716" s="208"/>
      <c r="C716" s="208"/>
      <c r="D716" s="208"/>
      <c r="E716" s="208"/>
      <c r="F716" s="208"/>
    </row>
    <row r="717" ht="14.25" customHeight="1">
      <c r="A717" s="208"/>
      <c r="B717" s="208"/>
      <c r="C717" s="208"/>
      <c r="D717" s="208"/>
      <c r="E717" s="208"/>
      <c r="F717" s="208"/>
    </row>
    <row r="718" ht="14.25" customHeight="1">
      <c r="A718" s="208"/>
      <c r="B718" s="208"/>
      <c r="C718" s="208"/>
      <c r="D718" s="208"/>
      <c r="E718" s="208"/>
      <c r="F718" s="208"/>
    </row>
    <row r="719" ht="14.25" customHeight="1">
      <c r="A719" s="208"/>
      <c r="B719" s="208"/>
      <c r="C719" s="208"/>
      <c r="D719" s="208"/>
      <c r="E719" s="208"/>
      <c r="F719" s="208"/>
    </row>
    <row r="720" ht="14.25" customHeight="1">
      <c r="A720" s="208"/>
      <c r="B720" s="208"/>
      <c r="C720" s="208"/>
      <c r="D720" s="208"/>
      <c r="E720" s="208"/>
      <c r="F720" s="208"/>
    </row>
    <row r="721" ht="14.25" customHeight="1">
      <c r="A721" s="208"/>
      <c r="B721" s="208"/>
      <c r="C721" s="208"/>
      <c r="D721" s="208"/>
      <c r="E721" s="208"/>
      <c r="F721" s="208"/>
    </row>
    <row r="722" ht="14.25" customHeight="1">
      <c r="A722" s="208"/>
      <c r="B722" s="208"/>
      <c r="C722" s="208"/>
      <c r="D722" s="208"/>
      <c r="E722" s="208"/>
      <c r="F722" s="208"/>
    </row>
    <row r="723" ht="14.25" customHeight="1">
      <c r="A723" s="208"/>
      <c r="B723" s="208"/>
      <c r="C723" s="208"/>
      <c r="D723" s="208"/>
      <c r="E723" s="208"/>
      <c r="F723" s="208"/>
    </row>
    <row r="724" ht="14.25" customHeight="1">
      <c r="A724" s="208"/>
      <c r="B724" s="208"/>
      <c r="C724" s="208"/>
      <c r="D724" s="208"/>
      <c r="E724" s="208"/>
      <c r="F724" s="208"/>
    </row>
    <row r="725" ht="14.25" customHeight="1">
      <c r="A725" s="208"/>
      <c r="B725" s="208"/>
      <c r="C725" s="208"/>
      <c r="D725" s="208"/>
      <c r="E725" s="208"/>
      <c r="F725" s="208"/>
    </row>
    <row r="726" ht="14.25" customHeight="1">
      <c r="A726" s="208"/>
      <c r="B726" s="208"/>
      <c r="C726" s="208"/>
      <c r="D726" s="208"/>
      <c r="E726" s="208"/>
      <c r="F726" s="208"/>
    </row>
    <row r="727" ht="14.25" customHeight="1">
      <c r="A727" s="208"/>
      <c r="B727" s="208"/>
      <c r="C727" s="208"/>
      <c r="D727" s="208"/>
      <c r="E727" s="208"/>
      <c r="F727" s="208"/>
    </row>
    <row r="728" ht="14.25" customHeight="1">
      <c r="A728" s="208"/>
      <c r="B728" s="208"/>
      <c r="C728" s="208"/>
      <c r="D728" s="208"/>
      <c r="E728" s="208"/>
      <c r="F728" s="208"/>
    </row>
    <row r="729" ht="14.25" customHeight="1">
      <c r="A729" s="208"/>
      <c r="B729" s="208"/>
      <c r="C729" s="208"/>
      <c r="D729" s="208"/>
      <c r="E729" s="208"/>
      <c r="F729" s="208"/>
    </row>
    <row r="730" ht="14.25" customHeight="1">
      <c r="A730" s="208"/>
      <c r="B730" s="208"/>
      <c r="C730" s="208"/>
      <c r="D730" s="208"/>
      <c r="E730" s="208"/>
      <c r="F730" s="208"/>
    </row>
    <row r="731" ht="14.25" customHeight="1">
      <c r="A731" s="208"/>
      <c r="B731" s="208"/>
      <c r="C731" s="208"/>
      <c r="D731" s="208"/>
      <c r="E731" s="208"/>
      <c r="F731" s="208"/>
    </row>
    <row r="732" ht="14.25" customHeight="1">
      <c r="A732" s="208"/>
      <c r="B732" s="208"/>
      <c r="C732" s="208"/>
      <c r="D732" s="208"/>
      <c r="E732" s="208"/>
      <c r="F732" s="208"/>
    </row>
    <row r="733" ht="14.25" customHeight="1">
      <c r="A733" s="208"/>
      <c r="B733" s="208"/>
      <c r="C733" s="208"/>
      <c r="D733" s="208"/>
      <c r="E733" s="208"/>
      <c r="F733" s="208"/>
    </row>
    <row r="734" ht="14.25" customHeight="1">
      <c r="A734" s="208"/>
      <c r="B734" s="208"/>
      <c r="C734" s="208"/>
      <c r="D734" s="208"/>
      <c r="E734" s="208"/>
      <c r="F734" s="208"/>
    </row>
    <row r="735" ht="14.25" customHeight="1">
      <c r="A735" s="208"/>
      <c r="B735" s="208"/>
      <c r="C735" s="208"/>
      <c r="D735" s="208"/>
      <c r="E735" s="208"/>
      <c r="F735" s="208"/>
    </row>
    <row r="736" ht="14.25" customHeight="1">
      <c r="A736" s="208"/>
      <c r="B736" s="208"/>
      <c r="C736" s="208"/>
      <c r="D736" s="208"/>
      <c r="E736" s="208"/>
      <c r="F736" s="208"/>
    </row>
    <row r="737" ht="14.25" customHeight="1">
      <c r="A737" s="208"/>
      <c r="B737" s="208"/>
      <c r="C737" s="208"/>
      <c r="D737" s="208"/>
      <c r="E737" s="208"/>
      <c r="F737" s="208"/>
    </row>
    <row r="738" ht="14.25" customHeight="1">
      <c r="A738" s="208"/>
      <c r="B738" s="208"/>
      <c r="C738" s="208"/>
      <c r="D738" s="208"/>
      <c r="E738" s="208"/>
      <c r="F738" s="208"/>
    </row>
    <row r="739" ht="14.25" customHeight="1">
      <c r="A739" s="208"/>
      <c r="B739" s="208"/>
      <c r="C739" s="208"/>
      <c r="D739" s="208"/>
      <c r="E739" s="208"/>
      <c r="F739" s="208"/>
    </row>
    <row r="740" ht="14.25" customHeight="1">
      <c r="A740" s="208"/>
      <c r="B740" s="208"/>
      <c r="C740" s="208"/>
      <c r="D740" s="208"/>
      <c r="E740" s="208"/>
      <c r="F740" s="208"/>
    </row>
    <row r="741" ht="14.25" customHeight="1">
      <c r="A741" s="208"/>
      <c r="B741" s="208"/>
      <c r="C741" s="208"/>
      <c r="D741" s="208"/>
      <c r="E741" s="208"/>
      <c r="F741" s="208"/>
    </row>
    <row r="742" ht="14.25" customHeight="1">
      <c r="A742" s="208"/>
      <c r="B742" s="208"/>
      <c r="C742" s="208"/>
      <c r="D742" s="208"/>
      <c r="E742" s="208"/>
      <c r="F742" s="208"/>
    </row>
    <row r="743" ht="14.25" customHeight="1">
      <c r="A743" s="208"/>
      <c r="B743" s="208"/>
      <c r="C743" s="208"/>
      <c r="D743" s="208"/>
      <c r="E743" s="208"/>
      <c r="F743" s="208"/>
    </row>
    <row r="744" ht="14.25" customHeight="1">
      <c r="A744" s="208"/>
      <c r="B744" s="208"/>
      <c r="C744" s="208"/>
      <c r="D744" s="208"/>
      <c r="E744" s="208"/>
      <c r="F744" s="208"/>
    </row>
    <row r="745" ht="14.25" customHeight="1">
      <c r="A745" s="208"/>
      <c r="B745" s="208"/>
      <c r="C745" s="208"/>
      <c r="D745" s="208"/>
      <c r="E745" s="208"/>
      <c r="F745" s="208"/>
    </row>
    <row r="746" ht="14.25" customHeight="1">
      <c r="A746" s="208"/>
      <c r="B746" s="208"/>
      <c r="C746" s="208"/>
      <c r="D746" s="208"/>
      <c r="E746" s="208"/>
      <c r="F746" s="208"/>
    </row>
    <row r="747" ht="14.25" customHeight="1">
      <c r="A747" s="208"/>
      <c r="B747" s="208"/>
      <c r="C747" s="208"/>
      <c r="D747" s="208"/>
      <c r="E747" s="208"/>
      <c r="F747" s="208"/>
    </row>
    <row r="748" ht="14.25" customHeight="1">
      <c r="A748" s="208"/>
      <c r="B748" s="208"/>
      <c r="C748" s="208"/>
      <c r="D748" s="208"/>
      <c r="E748" s="208"/>
      <c r="F748" s="208"/>
    </row>
    <row r="749" ht="14.25" customHeight="1">
      <c r="A749" s="208"/>
      <c r="B749" s="208"/>
      <c r="C749" s="208"/>
      <c r="D749" s="208"/>
      <c r="E749" s="208"/>
      <c r="F749" s="208"/>
    </row>
    <row r="750" ht="14.25" customHeight="1">
      <c r="A750" s="208"/>
      <c r="B750" s="208"/>
      <c r="C750" s="208"/>
      <c r="D750" s="208"/>
      <c r="E750" s="208"/>
      <c r="F750" s="208"/>
    </row>
    <row r="751" ht="14.25" customHeight="1">
      <c r="A751" s="208"/>
      <c r="B751" s="208"/>
      <c r="C751" s="208"/>
      <c r="D751" s="208"/>
      <c r="E751" s="208"/>
      <c r="F751" s="208"/>
    </row>
    <row r="752" ht="14.25" customHeight="1">
      <c r="A752" s="208"/>
      <c r="B752" s="208"/>
      <c r="C752" s="208"/>
      <c r="D752" s="208"/>
      <c r="E752" s="208"/>
      <c r="F752" s="208"/>
    </row>
    <row r="753" ht="14.25" customHeight="1">
      <c r="A753" s="208"/>
      <c r="B753" s="208"/>
      <c r="C753" s="208"/>
      <c r="D753" s="208"/>
      <c r="E753" s="208"/>
      <c r="F753" s="208"/>
    </row>
    <row r="754" ht="14.25" customHeight="1">
      <c r="A754" s="208"/>
      <c r="B754" s="208"/>
      <c r="C754" s="208"/>
      <c r="D754" s="208"/>
      <c r="E754" s="208"/>
      <c r="F754" s="208"/>
    </row>
    <row r="755" ht="14.25" customHeight="1">
      <c r="A755" s="208"/>
      <c r="B755" s="208"/>
      <c r="C755" s="208"/>
      <c r="D755" s="208"/>
      <c r="E755" s="208"/>
      <c r="F755" s="208"/>
    </row>
    <row r="756" ht="14.25" customHeight="1">
      <c r="A756" s="208"/>
      <c r="B756" s="208"/>
      <c r="C756" s="208"/>
      <c r="D756" s="208"/>
      <c r="E756" s="208"/>
      <c r="F756" s="208"/>
    </row>
    <row r="757" ht="14.25" customHeight="1">
      <c r="A757" s="208"/>
      <c r="B757" s="208"/>
      <c r="C757" s="208"/>
      <c r="D757" s="208"/>
      <c r="E757" s="208"/>
      <c r="F757" s="208"/>
    </row>
    <row r="758" ht="14.25" customHeight="1">
      <c r="A758" s="208"/>
      <c r="B758" s="208"/>
      <c r="C758" s="208"/>
      <c r="D758" s="208"/>
      <c r="E758" s="208"/>
      <c r="F758" s="208"/>
    </row>
    <row r="759" ht="14.25" customHeight="1">
      <c r="A759" s="208"/>
      <c r="B759" s="208"/>
      <c r="C759" s="208"/>
      <c r="D759" s="208"/>
      <c r="E759" s="208"/>
      <c r="F759" s="208"/>
    </row>
    <row r="760" ht="14.25" customHeight="1">
      <c r="A760" s="208"/>
      <c r="B760" s="208"/>
      <c r="C760" s="208"/>
      <c r="D760" s="208"/>
      <c r="E760" s="208"/>
      <c r="F760" s="208"/>
    </row>
    <row r="761" ht="14.25" customHeight="1">
      <c r="A761" s="208"/>
      <c r="B761" s="208"/>
      <c r="C761" s="208"/>
      <c r="D761" s="208"/>
      <c r="E761" s="208"/>
      <c r="F761" s="208"/>
    </row>
    <row r="762" ht="14.25" customHeight="1">
      <c r="A762" s="208"/>
      <c r="B762" s="208"/>
      <c r="C762" s="208"/>
      <c r="D762" s="208"/>
      <c r="E762" s="208"/>
      <c r="F762" s="208"/>
    </row>
    <row r="763" ht="14.25" customHeight="1">
      <c r="A763" s="208"/>
      <c r="B763" s="208"/>
      <c r="C763" s="208"/>
      <c r="D763" s="208"/>
      <c r="E763" s="208"/>
      <c r="F763" s="208"/>
    </row>
    <row r="764" ht="14.25" customHeight="1">
      <c r="A764" s="208"/>
      <c r="B764" s="208"/>
      <c r="C764" s="208"/>
      <c r="D764" s="208"/>
      <c r="E764" s="208"/>
      <c r="F764" s="208"/>
    </row>
    <row r="765" ht="14.25" customHeight="1">
      <c r="A765" s="208"/>
      <c r="B765" s="208"/>
      <c r="C765" s="208"/>
      <c r="D765" s="208"/>
      <c r="E765" s="208"/>
      <c r="F765" s="208"/>
    </row>
    <row r="766" ht="14.25" customHeight="1">
      <c r="A766" s="208"/>
      <c r="B766" s="208"/>
      <c r="C766" s="208"/>
      <c r="D766" s="208"/>
      <c r="E766" s="208"/>
      <c r="F766" s="208"/>
    </row>
    <row r="767" ht="14.25" customHeight="1">
      <c r="A767" s="208"/>
      <c r="B767" s="208"/>
      <c r="C767" s="208"/>
      <c r="D767" s="208"/>
      <c r="E767" s="208"/>
      <c r="F767" s="208"/>
    </row>
    <row r="768" ht="14.25" customHeight="1">
      <c r="A768" s="208"/>
      <c r="B768" s="208"/>
      <c r="C768" s="208"/>
      <c r="D768" s="208"/>
      <c r="E768" s="208"/>
      <c r="F768" s="208"/>
    </row>
    <row r="769" ht="14.25" customHeight="1">
      <c r="A769" s="208"/>
      <c r="B769" s="208"/>
      <c r="C769" s="208"/>
      <c r="D769" s="208"/>
      <c r="E769" s="208"/>
      <c r="F769" s="208"/>
    </row>
    <row r="770" ht="14.25" customHeight="1">
      <c r="A770" s="208"/>
      <c r="B770" s="208"/>
      <c r="C770" s="208"/>
      <c r="D770" s="208"/>
      <c r="E770" s="208"/>
      <c r="F770" s="208"/>
    </row>
    <row r="771" ht="14.25" customHeight="1">
      <c r="A771" s="208"/>
      <c r="B771" s="208"/>
      <c r="C771" s="208"/>
      <c r="D771" s="208"/>
      <c r="E771" s="208"/>
      <c r="F771" s="208"/>
    </row>
    <row r="772" ht="14.25" customHeight="1">
      <c r="A772" s="208"/>
      <c r="B772" s="208"/>
      <c r="C772" s="208"/>
      <c r="D772" s="208"/>
      <c r="E772" s="208"/>
      <c r="F772" s="208"/>
    </row>
    <row r="773" ht="14.25" customHeight="1">
      <c r="A773" s="208"/>
      <c r="B773" s="208"/>
      <c r="C773" s="208"/>
      <c r="D773" s="208"/>
      <c r="E773" s="208"/>
      <c r="F773" s="208"/>
    </row>
    <row r="774" ht="14.25" customHeight="1">
      <c r="A774" s="208"/>
      <c r="B774" s="208"/>
      <c r="C774" s="208"/>
      <c r="D774" s="208"/>
      <c r="E774" s="208"/>
      <c r="F774" s="208"/>
    </row>
    <row r="775" ht="14.25" customHeight="1">
      <c r="A775" s="208"/>
      <c r="B775" s="208"/>
      <c r="C775" s="208"/>
      <c r="D775" s="208"/>
      <c r="E775" s="208"/>
      <c r="F775" s="208"/>
    </row>
    <row r="776" ht="14.25" customHeight="1">
      <c r="A776" s="208"/>
      <c r="B776" s="208"/>
      <c r="C776" s="208"/>
      <c r="D776" s="208"/>
      <c r="E776" s="208"/>
      <c r="F776" s="208"/>
    </row>
    <row r="777" ht="14.25" customHeight="1">
      <c r="A777" s="208"/>
      <c r="B777" s="208"/>
      <c r="C777" s="208"/>
      <c r="D777" s="208"/>
      <c r="E777" s="208"/>
      <c r="F777" s="208"/>
    </row>
    <row r="778" ht="14.25" customHeight="1">
      <c r="A778" s="208"/>
      <c r="B778" s="208"/>
      <c r="C778" s="208"/>
      <c r="D778" s="208"/>
      <c r="E778" s="208"/>
      <c r="F778" s="208"/>
    </row>
    <row r="779" ht="14.25" customHeight="1">
      <c r="A779" s="208"/>
      <c r="B779" s="208"/>
      <c r="C779" s="208"/>
      <c r="D779" s="208"/>
      <c r="E779" s="208"/>
      <c r="F779" s="208"/>
    </row>
    <row r="780" ht="14.25" customHeight="1">
      <c r="A780" s="208"/>
      <c r="B780" s="208"/>
      <c r="C780" s="208"/>
      <c r="D780" s="208"/>
      <c r="E780" s="208"/>
      <c r="F780" s="208"/>
    </row>
    <row r="781" ht="14.25" customHeight="1">
      <c r="A781" s="208"/>
      <c r="B781" s="208"/>
      <c r="C781" s="208"/>
      <c r="D781" s="208"/>
      <c r="E781" s="208"/>
      <c r="F781" s="208"/>
    </row>
    <row r="782" ht="14.25" customHeight="1">
      <c r="A782" s="208"/>
      <c r="B782" s="208"/>
      <c r="C782" s="208"/>
      <c r="D782" s="208"/>
      <c r="E782" s="208"/>
      <c r="F782" s="208"/>
    </row>
    <row r="783" ht="14.25" customHeight="1">
      <c r="A783" s="208"/>
      <c r="B783" s="208"/>
      <c r="C783" s="208"/>
      <c r="D783" s="208"/>
      <c r="E783" s="208"/>
      <c r="F783" s="208"/>
    </row>
    <row r="784" ht="14.25" customHeight="1">
      <c r="A784" s="208"/>
      <c r="B784" s="208"/>
      <c r="C784" s="208"/>
      <c r="D784" s="208"/>
      <c r="E784" s="208"/>
      <c r="F784" s="208"/>
    </row>
    <row r="785" ht="14.25" customHeight="1">
      <c r="A785" s="208"/>
      <c r="B785" s="208"/>
      <c r="C785" s="208"/>
      <c r="D785" s="208"/>
      <c r="E785" s="208"/>
      <c r="F785" s="208"/>
    </row>
    <row r="786" ht="14.25" customHeight="1">
      <c r="A786" s="208"/>
      <c r="B786" s="208"/>
      <c r="C786" s="208"/>
      <c r="D786" s="208"/>
      <c r="E786" s="208"/>
      <c r="F786" s="208"/>
    </row>
    <row r="787" ht="14.25" customHeight="1">
      <c r="A787" s="208"/>
      <c r="B787" s="208"/>
      <c r="C787" s="208"/>
      <c r="D787" s="208"/>
      <c r="E787" s="208"/>
      <c r="F787" s="208"/>
    </row>
    <row r="788" ht="14.25" customHeight="1">
      <c r="A788" s="208"/>
      <c r="B788" s="208"/>
      <c r="C788" s="208"/>
      <c r="D788" s="208"/>
      <c r="E788" s="208"/>
      <c r="F788" s="208"/>
    </row>
    <row r="789" ht="14.25" customHeight="1">
      <c r="A789" s="208"/>
      <c r="B789" s="208"/>
      <c r="C789" s="208"/>
      <c r="D789" s="208"/>
      <c r="E789" s="208"/>
      <c r="F789" s="208"/>
    </row>
    <row r="790" ht="14.25" customHeight="1">
      <c r="A790" s="208"/>
      <c r="B790" s="208"/>
      <c r="C790" s="208"/>
      <c r="D790" s="208"/>
      <c r="E790" s="208"/>
      <c r="F790" s="208"/>
    </row>
    <row r="791" ht="14.25" customHeight="1">
      <c r="A791" s="208"/>
      <c r="B791" s="208"/>
      <c r="C791" s="208"/>
      <c r="D791" s="208"/>
      <c r="E791" s="208"/>
      <c r="F791" s="208"/>
    </row>
    <row r="792" ht="14.25" customHeight="1">
      <c r="A792" s="208"/>
      <c r="B792" s="208"/>
      <c r="C792" s="208"/>
      <c r="D792" s="208"/>
      <c r="E792" s="208"/>
      <c r="F792" s="208"/>
    </row>
    <row r="793" ht="14.25" customHeight="1">
      <c r="A793" s="208"/>
      <c r="B793" s="208"/>
      <c r="C793" s="208"/>
      <c r="D793" s="208"/>
      <c r="E793" s="208"/>
      <c r="F793" s="208"/>
    </row>
    <row r="794" ht="14.25" customHeight="1">
      <c r="A794" s="208"/>
      <c r="B794" s="208"/>
      <c r="C794" s="208"/>
      <c r="D794" s="208"/>
      <c r="E794" s="208"/>
      <c r="F794" s="208"/>
    </row>
    <row r="795" ht="14.25" customHeight="1">
      <c r="A795" s="208"/>
      <c r="B795" s="208"/>
      <c r="C795" s="208"/>
      <c r="D795" s="208"/>
      <c r="E795" s="208"/>
      <c r="F795" s="208"/>
    </row>
    <row r="796" ht="14.25" customHeight="1">
      <c r="A796" s="208"/>
      <c r="B796" s="208"/>
      <c r="C796" s="208"/>
      <c r="D796" s="208"/>
      <c r="E796" s="208"/>
      <c r="F796" s="208"/>
    </row>
    <row r="797" ht="14.25" customHeight="1">
      <c r="A797" s="208"/>
      <c r="B797" s="208"/>
      <c r="C797" s="208"/>
      <c r="D797" s="208"/>
      <c r="E797" s="208"/>
      <c r="F797" s="208"/>
    </row>
    <row r="798" ht="14.25" customHeight="1">
      <c r="A798" s="208"/>
      <c r="B798" s="208"/>
      <c r="C798" s="208"/>
      <c r="D798" s="208"/>
      <c r="E798" s="208"/>
      <c r="F798" s="208"/>
    </row>
    <row r="799" ht="14.25" customHeight="1">
      <c r="A799" s="208"/>
      <c r="B799" s="208"/>
      <c r="C799" s="208"/>
      <c r="D799" s="208"/>
      <c r="E799" s="208"/>
      <c r="F799" s="208"/>
    </row>
    <row r="800" ht="14.25" customHeight="1">
      <c r="A800" s="208"/>
      <c r="B800" s="208"/>
      <c r="C800" s="208"/>
      <c r="D800" s="208"/>
      <c r="E800" s="208"/>
      <c r="F800" s="208"/>
    </row>
    <row r="801" ht="14.25" customHeight="1">
      <c r="A801" s="208"/>
      <c r="B801" s="208"/>
      <c r="C801" s="208"/>
      <c r="D801" s="208"/>
      <c r="E801" s="208"/>
      <c r="F801" s="208"/>
    </row>
    <row r="802" ht="14.25" customHeight="1">
      <c r="A802" s="208"/>
      <c r="B802" s="208"/>
      <c r="C802" s="208"/>
      <c r="D802" s="208"/>
      <c r="E802" s="208"/>
      <c r="F802" s="208"/>
    </row>
    <row r="803" ht="14.25" customHeight="1">
      <c r="A803" s="208"/>
      <c r="B803" s="208"/>
      <c r="C803" s="208"/>
      <c r="D803" s="208"/>
      <c r="E803" s="208"/>
      <c r="F803" s="208"/>
    </row>
    <row r="804" ht="14.25" customHeight="1">
      <c r="A804" s="208"/>
      <c r="B804" s="208"/>
      <c r="C804" s="208"/>
      <c r="D804" s="208"/>
      <c r="E804" s="208"/>
      <c r="F804" s="208"/>
    </row>
    <row r="805" ht="14.25" customHeight="1">
      <c r="A805" s="208"/>
      <c r="B805" s="208"/>
      <c r="C805" s="208"/>
      <c r="D805" s="208"/>
      <c r="E805" s="208"/>
      <c r="F805" s="208"/>
    </row>
    <row r="806" ht="14.25" customHeight="1">
      <c r="A806" s="208"/>
      <c r="B806" s="208"/>
      <c r="C806" s="208"/>
      <c r="D806" s="208"/>
      <c r="E806" s="208"/>
      <c r="F806" s="208"/>
    </row>
    <row r="807" ht="14.25" customHeight="1">
      <c r="A807" s="208"/>
      <c r="B807" s="208"/>
      <c r="C807" s="208"/>
      <c r="D807" s="208"/>
      <c r="E807" s="208"/>
      <c r="F807" s="208"/>
    </row>
    <row r="808" ht="14.25" customHeight="1">
      <c r="A808" s="208"/>
      <c r="B808" s="208"/>
      <c r="C808" s="208"/>
      <c r="D808" s="208"/>
      <c r="E808" s="208"/>
      <c r="F808" s="208"/>
    </row>
    <row r="809" ht="14.25" customHeight="1">
      <c r="A809" s="208"/>
      <c r="B809" s="208"/>
      <c r="C809" s="208"/>
      <c r="D809" s="208"/>
      <c r="E809" s="208"/>
      <c r="F809" s="208"/>
    </row>
    <row r="810" ht="14.25" customHeight="1">
      <c r="A810" s="208"/>
      <c r="B810" s="208"/>
      <c r="C810" s="208"/>
      <c r="D810" s="208"/>
      <c r="E810" s="208"/>
      <c r="F810" s="208"/>
    </row>
    <row r="811" ht="14.25" customHeight="1">
      <c r="A811" s="208"/>
      <c r="B811" s="208"/>
      <c r="C811" s="208"/>
      <c r="D811" s="208"/>
      <c r="E811" s="208"/>
      <c r="F811" s="208"/>
    </row>
    <row r="812" ht="14.25" customHeight="1">
      <c r="A812" s="208"/>
      <c r="B812" s="208"/>
      <c r="C812" s="208"/>
      <c r="D812" s="208"/>
      <c r="E812" s="208"/>
      <c r="F812" s="208"/>
    </row>
    <row r="813" ht="14.25" customHeight="1">
      <c r="A813" s="208"/>
      <c r="B813" s="208"/>
      <c r="C813" s="208"/>
      <c r="D813" s="208"/>
      <c r="E813" s="208"/>
      <c r="F813" s="208"/>
    </row>
    <row r="814" ht="14.25" customHeight="1">
      <c r="A814" s="208"/>
      <c r="B814" s="208"/>
      <c r="C814" s="208"/>
      <c r="D814" s="208"/>
      <c r="E814" s="208"/>
      <c r="F814" s="208"/>
    </row>
    <row r="815" ht="14.25" customHeight="1">
      <c r="A815" s="208"/>
      <c r="B815" s="208"/>
      <c r="C815" s="208"/>
      <c r="D815" s="208"/>
      <c r="E815" s="208"/>
      <c r="F815" s="208"/>
    </row>
    <row r="816" ht="14.25" customHeight="1">
      <c r="A816" s="208"/>
      <c r="B816" s="208"/>
      <c r="C816" s="208"/>
      <c r="D816" s="208"/>
      <c r="E816" s="208"/>
      <c r="F816" s="208"/>
    </row>
    <row r="817" ht="14.25" customHeight="1">
      <c r="A817" s="208"/>
      <c r="B817" s="208"/>
      <c r="C817" s="208"/>
      <c r="D817" s="208"/>
      <c r="E817" s="208"/>
      <c r="F817" s="208"/>
    </row>
    <row r="818" ht="14.25" customHeight="1">
      <c r="A818" s="208"/>
      <c r="B818" s="208"/>
      <c r="C818" s="208"/>
      <c r="D818" s="208"/>
      <c r="E818" s="208"/>
      <c r="F818" s="208"/>
    </row>
    <row r="819" ht="14.25" customHeight="1">
      <c r="A819" s="208"/>
      <c r="B819" s="208"/>
      <c r="C819" s="208"/>
      <c r="D819" s="208"/>
      <c r="E819" s="208"/>
      <c r="F819" s="208"/>
    </row>
    <row r="820" ht="14.25" customHeight="1">
      <c r="A820" s="208"/>
      <c r="B820" s="208"/>
      <c r="C820" s="208"/>
      <c r="D820" s="208"/>
      <c r="E820" s="208"/>
      <c r="F820" s="208"/>
    </row>
    <row r="821" ht="14.25" customHeight="1">
      <c r="A821" s="208"/>
      <c r="B821" s="208"/>
      <c r="C821" s="208"/>
      <c r="D821" s="208"/>
      <c r="E821" s="208"/>
      <c r="F821" s="208"/>
    </row>
    <row r="822" ht="14.25" customHeight="1">
      <c r="A822" s="208"/>
      <c r="B822" s="208"/>
      <c r="C822" s="208"/>
      <c r="D822" s="208"/>
      <c r="E822" s="208"/>
      <c r="F822" s="208"/>
    </row>
    <row r="823" ht="14.25" customHeight="1">
      <c r="A823" s="208"/>
      <c r="B823" s="208"/>
      <c r="C823" s="208"/>
      <c r="D823" s="208"/>
      <c r="E823" s="208"/>
      <c r="F823" s="208"/>
    </row>
    <row r="824" ht="14.25" customHeight="1">
      <c r="A824" s="208"/>
      <c r="B824" s="208"/>
      <c r="C824" s="208"/>
      <c r="D824" s="208"/>
      <c r="E824" s="208"/>
      <c r="F824" s="208"/>
    </row>
    <row r="825" ht="14.25" customHeight="1">
      <c r="A825" s="208"/>
      <c r="B825" s="208"/>
      <c r="C825" s="208"/>
      <c r="D825" s="208"/>
      <c r="E825" s="208"/>
      <c r="F825" s="208"/>
    </row>
    <row r="826" ht="14.25" customHeight="1">
      <c r="A826" s="208"/>
      <c r="B826" s="208"/>
      <c r="C826" s="208"/>
      <c r="D826" s="208"/>
      <c r="E826" s="208"/>
      <c r="F826" s="208"/>
    </row>
    <row r="827" ht="14.25" customHeight="1">
      <c r="A827" s="208"/>
      <c r="B827" s="208"/>
      <c r="C827" s="208"/>
      <c r="D827" s="208"/>
      <c r="E827" s="208"/>
      <c r="F827" s="208"/>
    </row>
    <row r="828" ht="14.25" customHeight="1">
      <c r="A828" s="208"/>
      <c r="B828" s="208"/>
      <c r="C828" s="208"/>
      <c r="D828" s="208"/>
      <c r="E828" s="208"/>
      <c r="F828" s="208"/>
    </row>
    <row r="829" ht="14.25" customHeight="1">
      <c r="A829" s="208"/>
      <c r="B829" s="208"/>
      <c r="C829" s="208"/>
      <c r="D829" s="208"/>
      <c r="E829" s="208"/>
      <c r="F829" s="208"/>
    </row>
    <row r="830" ht="14.25" customHeight="1">
      <c r="A830" s="208"/>
      <c r="B830" s="208"/>
      <c r="C830" s="208"/>
      <c r="D830" s="208"/>
      <c r="E830" s="208"/>
      <c r="F830" s="208"/>
    </row>
    <row r="831" ht="14.25" customHeight="1">
      <c r="A831" s="208"/>
      <c r="B831" s="208"/>
      <c r="C831" s="208"/>
      <c r="D831" s="208"/>
      <c r="E831" s="208"/>
      <c r="F831" s="208"/>
    </row>
    <row r="832" ht="14.25" customHeight="1">
      <c r="A832" s="208"/>
      <c r="B832" s="208"/>
      <c r="C832" s="208"/>
      <c r="D832" s="208"/>
      <c r="E832" s="208"/>
      <c r="F832" s="208"/>
    </row>
    <row r="833" ht="14.25" customHeight="1">
      <c r="A833" s="208"/>
      <c r="B833" s="208"/>
      <c r="C833" s="208"/>
      <c r="D833" s="208"/>
      <c r="E833" s="208"/>
      <c r="F833" s="208"/>
    </row>
    <row r="834" ht="14.25" customHeight="1">
      <c r="A834" s="208"/>
      <c r="B834" s="208"/>
      <c r="C834" s="208"/>
      <c r="D834" s="208"/>
      <c r="E834" s="208"/>
      <c r="F834" s="208"/>
    </row>
    <row r="835" ht="14.25" customHeight="1">
      <c r="A835" s="208"/>
      <c r="B835" s="208"/>
      <c r="C835" s="208"/>
      <c r="D835" s="208"/>
      <c r="E835" s="208"/>
      <c r="F835" s="208"/>
    </row>
    <row r="836" ht="14.25" customHeight="1">
      <c r="A836" s="208"/>
      <c r="B836" s="208"/>
      <c r="C836" s="208"/>
      <c r="D836" s="208"/>
      <c r="E836" s="208"/>
      <c r="F836" s="208"/>
    </row>
    <row r="837" ht="14.25" customHeight="1">
      <c r="A837" s="208"/>
      <c r="B837" s="208"/>
      <c r="C837" s="208"/>
      <c r="D837" s="208"/>
      <c r="E837" s="208"/>
      <c r="F837" s="208"/>
    </row>
    <row r="838" ht="14.25" customHeight="1">
      <c r="A838" s="208"/>
      <c r="B838" s="208"/>
      <c r="C838" s="208"/>
      <c r="D838" s="208"/>
      <c r="E838" s="208"/>
      <c r="F838" s="208"/>
    </row>
    <row r="839" ht="14.25" customHeight="1">
      <c r="A839" s="208"/>
      <c r="B839" s="208"/>
      <c r="C839" s="208"/>
      <c r="D839" s="208"/>
      <c r="E839" s="208"/>
      <c r="F839" s="208"/>
    </row>
    <row r="840" ht="14.25" customHeight="1">
      <c r="A840" s="208"/>
      <c r="B840" s="208"/>
      <c r="C840" s="208"/>
      <c r="D840" s="208"/>
      <c r="E840" s="208"/>
      <c r="F840" s="208"/>
    </row>
    <row r="841" ht="14.25" customHeight="1">
      <c r="A841" s="208"/>
      <c r="B841" s="208"/>
      <c r="C841" s="208"/>
      <c r="D841" s="208"/>
      <c r="E841" s="208"/>
      <c r="F841" s="208"/>
    </row>
    <row r="842" ht="14.25" customHeight="1">
      <c r="A842" s="208"/>
      <c r="B842" s="208"/>
      <c r="C842" s="208"/>
      <c r="D842" s="208"/>
      <c r="E842" s="208"/>
      <c r="F842" s="208"/>
    </row>
    <row r="843" ht="14.25" customHeight="1">
      <c r="A843" s="208"/>
      <c r="B843" s="208"/>
      <c r="C843" s="208"/>
      <c r="D843" s="208"/>
      <c r="E843" s="208"/>
      <c r="F843" s="208"/>
    </row>
    <row r="844" ht="14.25" customHeight="1">
      <c r="A844" s="208"/>
      <c r="B844" s="208"/>
      <c r="C844" s="208"/>
      <c r="D844" s="208"/>
      <c r="E844" s="208"/>
      <c r="F844" s="208"/>
    </row>
    <row r="845" ht="14.25" customHeight="1">
      <c r="A845" s="208"/>
      <c r="B845" s="208"/>
      <c r="C845" s="208"/>
      <c r="D845" s="208"/>
      <c r="E845" s="208"/>
      <c r="F845" s="208"/>
    </row>
    <row r="846" ht="14.25" customHeight="1">
      <c r="A846" s="208"/>
      <c r="B846" s="208"/>
      <c r="C846" s="208"/>
      <c r="D846" s="208"/>
      <c r="E846" s="208"/>
      <c r="F846" s="208"/>
    </row>
    <row r="847" ht="14.25" customHeight="1">
      <c r="A847" s="208"/>
      <c r="B847" s="208"/>
      <c r="C847" s="208"/>
      <c r="D847" s="208"/>
      <c r="E847" s="208"/>
      <c r="F847" s="208"/>
    </row>
    <row r="848" ht="14.25" customHeight="1">
      <c r="A848" s="208"/>
      <c r="B848" s="208"/>
      <c r="C848" s="208"/>
      <c r="D848" s="208"/>
      <c r="E848" s="208"/>
      <c r="F848" s="208"/>
    </row>
    <row r="849" ht="14.25" customHeight="1">
      <c r="A849" s="208"/>
      <c r="B849" s="208"/>
      <c r="C849" s="208"/>
      <c r="D849" s="208"/>
      <c r="E849" s="208"/>
      <c r="F849" s="208"/>
    </row>
    <row r="850" ht="14.25" customHeight="1">
      <c r="A850" s="208"/>
      <c r="B850" s="208"/>
      <c r="C850" s="208"/>
      <c r="D850" s="208"/>
      <c r="E850" s="208"/>
      <c r="F850" s="208"/>
    </row>
    <row r="851" ht="14.25" customHeight="1">
      <c r="A851" s="208"/>
      <c r="B851" s="208"/>
      <c r="C851" s="208"/>
      <c r="D851" s="208"/>
      <c r="E851" s="208"/>
      <c r="F851" s="208"/>
    </row>
    <row r="852" ht="14.25" customHeight="1">
      <c r="A852" s="208"/>
      <c r="B852" s="208"/>
      <c r="C852" s="208"/>
      <c r="D852" s="208"/>
      <c r="E852" s="208"/>
      <c r="F852" s="208"/>
    </row>
    <row r="853" ht="14.25" customHeight="1">
      <c r="A853" s="208"/>
      <c r="B853" s="208"/>
      <c r="C853" s="208"/>
      <c r="D853" s="208"/>
      <c r="E853" s="208"/>
      <c r="F853" s="208"/>
    </row>
    <row r="854" ht="14.25" customHeight="1">
      <c r="A854" s="208"/>
      <c r="B854" s="208"/>
      <c r="C854" s="208"/>
      <c r="D854" s="208"/>
      <c r="E854" s="208"/>
      <c r="F854" s="208"/>
    </row>
    <row r="855" ht="14.25" customHeight="1">
      <c r="A855" s="208"/>
      <c r="B855" s="208"/>
      <c r="C855" s="208"/>
      <c r="D855" s="208"/>
      <c r="E855" s="208"/>
      <c r="F855" s="208"/>
    </row>
    <row r="856" ht="14.25" customHeight="1">
      <c r="A856" s="208"/>
      <c r="B856" s="208"/>
      <c r="C856" s="208"/>
      <c r="D856" s="208"/>
      <c r="E856" s="208"/>
      <c r="F856" s="208"/>
    </row>
    <row r="857" ht="14.25" customHeight="1">
      <c r="A857" s="208"/>
      <c r="B857" s="208"/>
      <c r="C857" s="208"/>
      <c r="D857" s="208"/>
      <c r="E857" s="208"/>
      <c r="F857" s="208"/>
    </row>
    <row r="858" ht="14.25" customHeight="1">
      <c r="A858" s="208"/>
      <c r="B858" s="208"/>
      <c r="C858" s="208"/>
      <c r="D858" s="208"/>
      <c r="E858" s="208"/>
      <c r="F858" s="208"/>
    </row>
    <row r="859" ht="14.25" customHeight="1">
      <c r="A859" s="208"/>
      <c r="B859" s="208"/>
      <c r="C859" s="208"/>
      <c r="D859" s="208"/>
      <c r="E859" s="208"/>
      <c r="F859" s="208"/>
    </row>
    <row r="860" ht="14.25" customHeight="1">
      <c r="A860" s="208"/>
      <c r="B860" s="208"/>
      <c r="C860" s="208"/>
      <c r="D860" s="208"/>
      <c r="E860" s="208"/>
      <c r="F860" s="208"/>
    </row>
    <row r="861" ht="14.25" customHeight="1">
      <c r="A861" s="208"/>
      <c r="B861" s="208"/>
      <c r="C861" s="208"/>
      <c r="D861" s="208"/>
      <c r="E861" s="208"/>
      <c r="F861" s="208"/>
    </row>
    <row r="862" ht="14.25" customHeight="1">
      <c r="A862" s="208"/>
      <c r="B862" s="208"/>
      <c r="C862" s="208"/>
      <c r="D862" s="208"/>
      <c r="E862" s="208"/>
      <c r="F862" s="208"/>
    </row>
    <row r="863" ht="14.25" customHeight="1">
      <c r="A863" s="208"/>
      <c r="B863" s="208"/>
      <c r="C863" s="208"/>
      <c r="D863" s="208"/>
      <c r="E863" s="208"/>
      <c r="F863" s="208"/>
    </row>
    <row r="864" ht="14.25" customHeight="1">
      <c r="A864" s="208"/>
      <c r="B864" s="208"/>
      <c r="C864" s="208"/>
      <c r="D864" s="208"/>
      <c r="E864" s="208"/>
      <c r="F864" s="208"/>
    </row>
    <row r="865" ht="14.25" customHeight="1">
      <c r="A865" s="208"/>
      <c r="B865" s="208"/>
      <c r="C865" s="208"/>
      <c r="D865" s="208"/>
      <c r="E865" s="208"/>
      <c r="F865" s="208"/>
    </row>
    <row r="866" ht="14.25" customHeight="1">
      <c r="A866" s="208"/>
      <c r="B866" s="208"/>
      <c r="C866" s="208"/>
      <c r="D866" s="208"/>
      <c r="E866" s="208"/>
      <c r="F866" s="208"/>
    </row>
    <row r="867" ht="14.25" customHeight="1">
      <c r="A867" s="208"/>
      <c r="B867" s="208"/>
      <c r="C867" s="208"/>
      <c r="D867" s="208"/>
      <c r="E867" s="208"/>
      <c r="F867" s="208"/>
    </row>
    <row r="868" ht="14.25" customHeight="1">
      <c r="A868" s="208"/>
      <c r="B868" s="208"/>
      <c r="C868" s="208"/>
      <c r="D868" s="208"/>
      <c r="E868" s="208"/>
      <c r="F868" s="208"/>
    </row>
    <row r="869" ht="14.25" customHeight="1">
      <c r="A869" s="208"/>
      <c r="B869" s="208"/>
      <c r="C869" s="208"/>
      <c r="D869" s="208"/>
      <c r="E869" s="208"/>
      <c r="F869" s="208"/>
    </row>
    <row r="870" ht="14.25" customHeight="1">
      <c r="A870" s="208"/>
      <c r="B870" s="208"/>
      <c r="C870" s="208"/>
      <c r="D870" s="208"/>
      <c r="E870" s="208"/>
      <c r="F870" s="208"/>
    </row>
    <row r="871" ht="14.25" customHeight="1">
      <c r="A871" s="208"/>
      <c r="B871" s="208"/>
      <c r="C871" s="208"/>
      <c r="D871" s="208"/>
      <c r="E871" s="208"/>
      <c r="F871" s="208"/>
    </row>
    <row r="872" ht="14.25" customHeight="1">
      <c r="A872" s="208"/>
      <c r="B872" s="208"/>
      <c r="C872" s="208"/>
      <c r="D872" s="208"/>
      <c r="E872" s="208"/>
      <c r="F872" s="208"/>
    </row>
    <row r="873" ht="14.25" customHeight="1">
      <c r="A873" s="208"/>
      <c r="B873" s="208"/>
      <c r="C873" s="208"/>
      <c r="D873" s="208"/>
      <c r="E873" s="208"/>
      <c r="F873" s="208"/>
    </row>
    <row r="874" ht="14.25" customHeight="1">
      <c r="A874" s="208"/>
      <c r="B874" s="208"/>
      <c r="C874" s="208"/>
      <c r="D874" s="208"/>
      <c r="E874" s="208"/>
      <c r="F874" s="208"/>
    </row>
    <row r="875" ht="14.25" customHeight="1">
      <c r="A875" s="208"/>
      <c r="B875" s="208"/>
      <c r="C875" s="208"/>
      <c r="D875" s="208"/>
      <c r="E875" s="208"/>
      <c r="F875" s="208"/>
    </row>
    <row r="876" ht="14.25" customHeight="1">
      <c r="A876" s="208"/>
      <c r="B876" s="208"/>
      <c r="C876" s="208"/>
      <c r="D876" s="208"/>
      <c r="E876" s="208"/>
      <c r="F876" s="208"/>
    </row>
    <row r="877" ht="14.25" customHeight="1">
      <c r="A877" s="208"/>
      <c r="B877" s="208"/>
      <c r="C877" s="208"/>
      <c r="D877" s="208"/>
      <c r="E877" s="208"/>
      <c r="F877" s="208"/>
    </row>
    <row r="878" ht="14.25" customHeight="1">
      <c r="A878" s="208"/>
      <c r="B878" s="208"/>
      <c r="C878" s="208"/>
      <c r="D878" s="208"/>
      <c r="E878" s="208"/>
      <c r="F878" s="208"/>
    </row>
    <row r="879" ht="14.25" customHeight="1">
      <c r="A879" s="208"/>
      <c r="B879" s="208"/>
      <c r="C879" s="208"/>
      <c r="D879" s="208"/>
      <c r="E879" s="208"/>
      <c r="F879" s="208"/>
    </row>
    <row r="880" ht="14.25" customHeight="1">
      <c r="A880" s="208"/>
      <c r="B880" s="208"/>
      <c r="C880" s="208"/>
      <c r="D880" s="208"/>
      <c r="E880" s="208"/>
      <c r="F880" s="208"/>
    </row>
    <row r="881" ht="14.25" customHeight="1">
      <c r="A881" s="208"/>
      <c r="B881" s="208"/>
      <c r="C881" s="208"/>
      <c r="D881" s="208"/>
      <c r="E881" s="208"/>
      <c r="F881" s="208"/>
    </row>
    <row r="882" ht="14.25" customHeight="1">
      <c r="A882" s="208"/>
      <c r="B882" s="208"/>
      <c r="C882" s="208"/>
      <c r="D882" s="208"/>
      <c r="E882" s="208"/>
      <c r="F882" s="208"/>
    </row>
    <row r="883" ht="14.25" customHeight="1">
      <c r="A883" s="208"/>
      <c r="B883" s="208"/>
      <c r="C883" s="208"/>
      <c r="D883" s="208"/>
      <c r="E883" s="208"/>
      <c r="F883" s="208"/>
    </row>
    <row r="884" ht="14.25" customHeight="1">
      <c r="A884" s="208"/>
      <c r="B884" s="208"/>
      <c r="C884" s="208"/>
      <c r="D884" s="208"/>
      <c r="E884" s="208"/>
      <c r="F884" s="208"/>
    </row>
    <row r="885" ht="14.25" customHeight="1">
      <c r="A885" s="208"/>
      <c r="B885" s="208"/>
      <c r="C885" s="208"/>
      <c r="D885" s="208"/>
      <c r="E885" s="208"/>
      <c r="F885" s="208"/>
    </row>
    <row r="886" ht="14.25" customHeight="1">
      <c r="A886" s="208"/>
      <c r="B886" s="208"/>
      <c r="C886" s="208"/>
      <c r="D886" s="208"/>
      <c r="E886" s="208"/>
      <c r="F886" s="208"/>
    </row>
    <row r="887" ht="14.25" customHeight="1">
      <c r="A887" s="208"/>
      <c r="B887" s="208"/>
      <c r="C887" s="208"/>
      <c r="D887" s="208"/>
      <c r="E887" s="208"/>
      <c r="F887" s="208"/>
    </row>
    <row r="888" ht="14.25" customHeight="1">
      <c r="A888" s="208"/>
      <c r="B888" s="208"/>
      <c r="C888" s="208"/>
      <c r="D888" s="208"/>
      <c r="E888" s="208"/>
      <c r="F888" s="208"/>
    </row>
    <row r="889" ht="14.25" customHeight="1">
      <c r="A889" s="208"/>
      <c r="B889" s="208"/>
      <c r="C889" s="208"/>
      <c r="D889" s="208"/>
      <c r="E889" s="208"/>
      <c r="F889" s="208"/>
    </row>
    <row r="890" ht="14.25" customHeight="1">
      <c r="A890" s="208"/>
      <c r="B890" s="208"/>
      <c r="C890" s="208"/>
      <c r="D890" s="208"/>
      <c r="E890" s="208"/>
      <c r="F890" s="208"/>
    </row>
    <row r="891" ht="14.25" customHeight="1">
      <c r="A891" s="208"/>
      <c r="B891" s="208"/>
      <c r="C891" s="208"/>
      <c r="D891" s="208"/>
      <c r="E891" s="208"/>
      <c r="F891" s="208"/>
    </row>
    <row r="892" ht="14.25" customHeight="1">
      <c r="A892" s="208"/>
      <c r="B892" s="208"/>
      <c r="C892" s="208"/>
      <c r="D892" s="208"/>
      <c r="E892" s="208"/>
      <c r="F892" s="208"/>
    </row>
    <row r="893" ht="14.25" customHeight="1">
      <c r="A893" s="208"/>
      <c r="B893" s="208"/>
      <c r="C893" s="208"/>
      <c r="D893" s="208"/>
      <c r="E893" s="208"/>
      <c r="F893" s="208"/>
    </row>
    <row r="894" ht="14.25" customHeight="1">
      <c r="A894" s="208"/>
      <c r="B894" s="208"/>
      <c r="C894" s="208"/>
      <c r="D894" s="208"/>
      <c r="E894" s="208"/>
      <c r="F894" s="208"/>
    </row>
    <row r="895" ht="14.25" customHeight="1">
      <c r="A895" s="208"/>
      <c r="B895" s="208"/>
      <c r="C895" s="208"/>
      <c r="D895" s="208"/>
      <c r="E895" s="208"/>
      <c r="F895" s="208"/>
    </row>
    <row r="896" ht="14.25" customHeight="1">
      <c r="A896" s="208"/>
      <c r="B896" s="208"/>
      <c r="C896" s="208"/>
      <c r="D896" s="208"/>
      <c r="E896" s="208"/>
      <c r="F896" s="208"/>
    </row>
    <row r="897" ht="14.25" customHeight="1">
      <c r="A897" s="208"/>
      <c r="B897" s="208"/>
      <c r="C897" s="208"/>
      <c r="D897" s="208"/>
      <c r="E897" s="208"/>
      <c r="F897" s="208"/>
    </row>
    <row r="898" ht="14.25" customHeight="1">
      <c r="A898" s="208"/>
      <c r="B898" s="208"/>
      <c r="C898" s="208"/>
      <c r="D898" s="208"/>
      <c r="E898" s="208"/>
      <c r="F898" s="208"/>
    </row>
    <row r="899" ht="14.25" customHeight="1">
      <c r="A899" s="208"/>
      <c r="B899" s="208"/>
      <c r="C899" s="208"/>
      <c r="D899" s="208"/>
      <c r="E899" s="208"/>
      <c r="F899" s="208"/>
    </row>
    <row r="900" ht="14.25" customHeight="1">
      <c r="A900" s="208"/>
      <c r="B900" s="208"/>
      <c r="C900" s="208"/>
      <c r="D900" s="208"/>
      <c r="E900" s="208"/>
      <c r="F900" s="208"/>
    </row>
    <row r="901" ht="14.25" customHeight="1">
      <c r="A901" s="208"/>
      <c r="B901" s="208"/>
      <c r="C901" s="208"/>
      <c r="D901" s="208"/>
      <c r="E901" s="208"/>
      <c r="F901" s="208"/>
    </row>
    <row r="902" ht="14.25" customHeight="1">
      <c r="A902" s="208"/>
      <c r="B902" s="208"/>
      <c r="C902" s="208"/>
      <c r="D902" s="208"/>
      <c r="E902" s="208"/>
      <c r="F902" s="208"/>
    </row>
    <row r="903" ht="14.25" customHeight="1">
      <c r="A903" s="208"/>
      <c r="B903" s="208"/>
      <c r="C903" s="208"/>
      <c r="D903" s="208"/>
      <c r="E903" s="208"/>
      <c r="F903" s="208"/>
    </row>
    <row r="904" ht="14.25" customHeight="1">
      <c r="A904" s="208"/>
      <c r="B904" s="208"/>
      <c r="C904" s="208"/>
      <c r="D904" s="208"/>
      <c r="E904" s="208"/>
      <c r="F904" s="208"/>
    </row>
    <row r="905" ht="14.25" customHeight="1">
      <c r="A905" s="208"/>
      <c r="B905" s="208"/>
      <c r="C905" s="208"/>
      <c r="D905" s="208"/>
      <c r="E905" s="208"/>
      <c r="F905" s="208"/>
    </row>
    <row r="906" ht="14.25" customHeight="1">
      <c r="A906" s="208"/>
      <c r="B906" s="208"/>
      <c r="C906" s="208"/>
      <c r="D906" s="208"/>
      <c r="E906" s="208"/>
      <c r="F906" s="208"/>
    </row>
    <row r="907" ht="14.25" customHeight="1">
      <c r="A907" s="208"/>
      <c r="B907" s="208"/>
      <c r="C907" s="208"/>
      <c r="D907" s="208"/>
      <c r="E907" s="208"/>
      <c r="F907" s="208"/>
    </row>
    <row r="908" ht="14.25" customHeight="1">
      <c r="A908" s="208"/>
      <c r="B908" s="208"/>
      <c r="C908" s="208"/>
      <c r="D908" s="208"/>
      <c r="E908" s="208"/>
      <c r="F908" s="208"/>
    </row>
    <row r="909" ht="14.25" customHeight="1">
      <c r="A909" s="208"/>
      <c r="B909" s="208"/>
      <c r="C909" s="208"/>
      <c r="D909" s="208"/>
      <c r="E909" s="208"/>
      <c r="F909" s="208"/>
    </row>
    <row r="910" ht="14.25" customHeight="1">
      <c r="A910" s="208"/>
      <c r="B910" s="208"/>
      <c r="C910" s="208"/>
      <c r="D910" s="208"/>
      <c r="E910" s="208"/>
      <c r="F910" s="208"/>
    </row>
    <row r="911" ht="14.25" customHeight="1">
      <c r="A911" s="208"/>
      <c r="B911" s="208"/>
      <c r="C911" s="208"/>
      <c r="D911" s="208"/>
      <c r="E911" s="208"/>
      <c r="F911" s="208"/>
    </row>
    <row r="912" ht="14.25" customHeight="1">
      <c r="A912" s="208"/>
      <c r="B912" s="208"/>
      <c r="C912" s="208"/>
      <c r="D912" s="208"/>
      <c r="E912" s="208"/>
      <c r="F912" s="208"/>
    </row>
    <row r="913" ht="14.25" customHeight="1">
      <c r="A913" s="208"/>
      <c r="B913" s="208"/>
      <c r="C913" s="208"/>
      <c r="D913" s="208"/>
      <c r="E913" s="208"/>
      <c r="F913" s="208"/>
    </row>
    <row r="914" ht="14.25" customHeight="1">
      <c r="A914" s="208"/>
      <c r="B914" s="208"/>
      <c r="C914" s="208"/>
      <c r="D914" s="208"/>
      <c r="E914" s="208"/>
      <c r="F914" s="208"/>
    </row>
    <row r="915" ht="14.25" customHeight="1">
      <c r="A915" s="208"/>
      <c r="B915" s="208"/>
      <c r="C915" s="208"/>
      <c r="D915" s="208"/>
      <c r="E915" s="208"/>
      <c r="F915" s="208"/>
    </row>
    <row r="916" ht="14.25" customHeight="1">
      <c r="A916" s="208"/>
      <c r="B916" s="208"/>
      <c r="C916" s="208"/>
      <c r="D916" s="208"/>
      <c r="E916" s="208"/>
      <c r="F916" s="208"/>
    </row>
    <row r="917" ht="14.25" customHeight="1">
      <c r="A917" s="208"/>
      <c r="B917" s="208"/>
      <c r="C917" s="208"/>
      <c r="D917" s="208"/>
      <c r="E917" s="208"/>
      <c r="F917" s="208"/>
    </row>
    <row r="918" ht="14.25" customHeight="1">
      <c r="A918" s="208"/>
      <c r="B918" s="208"/>
      <c r="C918" s="208"/>
      <c r="D918" s="208"/>
      <c r="E918" s="208"/>
      <c r="F918" s="208"/>
    </row>
    <row r="919" ht="14.25" customHeight="1">
      <c r="A919" s="208"/>
      <c r="B919" s="208"/>
      <c r="C919" s="208"/>
      <c r="D919" s="208"/>
      <c r="E919" s="208"/>
      <c r="F919" s="208"/>
    </row>
    <row r="920" ht="14.25" customHeight="1">
      <c r="A920" s="208"/>
      <c r="B920" s="208"/>
      <c r="C920" s="208"/>
      <c r="D920" s="208"/>
      <c r="E920" s="208"/>
      <c r="F920" s="208"/>
    </row>
    <row r="921" ht="14.25" customHeight="1">
      <c r="A921" s="208"/>
      <c r="B921" s="208"/>
      <c r="C921" s="208"/>
      <c r="D921" s="208"/>
      <c r="E921" s="208"/>
      <c r="F921" s="208"/>
    </row>
    <row r="922" ht="14.25" customHeight="1">
      <c r="A922" s="208"/>
      <c r="B922" s="208"/>
      <c r="C922" s="208"/>
      <c r="D922" s="208"/>
      <c r="E922" s="208"/>
      <c r="F922" s="208"/>
    </row>
    <row r="923" ht="14.25" customHeight="1">
      <c r="A923" s="208"/>
      <c r="B923" s="208"/>
      <c r="C923" s="208"/>
      <c r="D923" s="208"/>
      <c r="E923" s="208"/>
      <c r="F923" s="208"/>
    </row>
    <row r="924" ht="14.25" customHeight="1">
      <c r="A924" s="208"/>
      <c r="B924" s="208"/>
      <c r="C924" s="208"/>
      <c r="D924" s="208"/>
      <c r="E924" s="208"/>
      <c r="F924" s="208"/>
    </row>
    <row r="925" ht="14.25" customHeight="1">
      <c r="A925" s="208"/>
      <c r="B925" s="208"/>
      <c r="C925" s="208"/>
      <c r="D925" s="208"/>
      <c r="E925" s="208"/>
      <c r="F925" s="208"/>
    </row>
    <row r="926" ht="14.25" customHeight="1">
      <c r="A926" s="208"/>
      <c r="B926" s="208"/>
      <c r="C926" s="208"/>
      <c r="D926" s="208"/>
      <c r="E926" s="208"/>
      <c r="F926" s="208"/>
    </row>
    <row r="927" ht="14.25" customHeight="1">
      <c r="A927" s="208"/>
      <c r="B927" s="208"/>
      <c r="C927" s="208"/>
      <c r="D927" s="208"/>
      <c r="E927" s="208"/>
      <c r="F927" s="208"/>
    </row>
    <row r="928" ht="14.25" customHeight="1">
      <c r="A928" s="208"/>
      <c r="B928" s="208"/>
      <c r="C928" s="208"/>
      <c r="D928" s="208"/>
      <c r="E928" s="208"/>
      <c r="F928" s="208"/>
    </row>
    <row r="929" ht="14.25" customHeight="1">
      <c r="A929" s="208"/>
      <c r="B929" s="208"/>
      <c r="C929" s="208"/>
      <c r="D929" s="208"/>
      <c r="E929" s="208"/>
      <c r="F929" s="208"/>
    </row>
    <row r="930" ht="14.25" customHeight="1">
      <c r="A930" s="208"/>
      <c r="B930" s="208"/>
      <c r="C930" s="208"/>
      <c r="D930" s="208"/>
      <c r="E930" s="208"/>
      <c r="F930" s="208"/>
    </row>
    <row r="931" ht="14.25" customHeight="1">
      <c r="A931" s="208"/>
      <c r="B931" s="208"/>
      <c r="C931" s="208"/>
      <c r="D931" s="208"/>
      <c r="E931" s="208"/>
      <c r="F931" s="208"/>
    </row>
    <row r="932" ht="14.25" customHeight="1">
      <c r="A932" s="208"/>
      <c r="B932" s="208"/>
      <c r="C932" s="208"/>
      <c r="D932" s="208"/>
      <c r="E932" s="208"/>
      <c r="F932" s="208"/>
    </row>
    <row r="933" ht="14.25" customHeight="1">
      <c r="A933" s="208"/>
      <c r="B933" s="208"/>
      <c r="C933" s="208"/>
      <c r="D933" s="208"/>
      <c r="E933" s="208"/>
      <c r="F933" s="208"/>
    </row>
    <row r="934" ht="14.25" customHeight="1">
      <c r="A934" s="208"/>
      <c r="B934" s="208"/>
      <c r="C934" s="208"/>
      <c r="D934" s="208"/>
      <c r="E934" s="208"/>
      <c r="F934" s="208"/>
    </row>
    <row r="935" ht="14.25" customHeight="1">
      <c r="A935" s="208"/>
      <c r="B935" s="208"/>
      <c r="C935" s="208"/>
      <c r="D935" s="208"/>
      <c r="E935" s="208"/>
      <c r="F935" s="208"/>
    </row>
    <row r="936" ht="14.25" customHeight="1">
      <c r="A936" s="208"/>
      <c r="B936" s="208"/>
      <c r="C936" s="208"/>
      <c r="D936" s="208"/>
      <c r="E936" s="208"/>
      <c r="F936" s="208"/>
    </row>
    <row r="937" ht="14.25" customHeight="1">
      <c r="A937" s="208"/>
      <c r="B937" s="208"/>
      <c r="C937" s="208"/>
      <c r="D937" s="208"/>
      <c r="E937" s="208"/>
      <c r="F937" s="208"/>
    </row>
    <row r="938" ht="14.25" customHeight="1">
      <c r="A938" s="208"/>
      <c r="B938" s="208"/>
      <c r="C938" s="208"/>
      <c r="D938" s="208"/>
      <c r="E938" s="208"/>
      <c r="F938" s="208"/>
    </row>
    <row r="939" ht="14.25" customHeight="1">
      <c r="A939" s="208"/>
      <c r="B939" s="208"/>
      <c r="C939" s="208"/>
      <c r="D939" s="208"/>
      <c r="E939" s="208"/>
      <c r="F939" s="208"/>
    </row>
    <row r="940" ht="14.25" customHeight="1">
      <c r="A940" s="208"/>
      <c r="B940" s="208"/>
      <c r="C940" s="208"/>
      <c r="D940" s="208"/>
      <c r="E940" s="208"/>
      <c r="F940" s="208"/>
    </row>
    <row r="941" ht="14.25" customHeight="1">
      <c r="A941" s="208"/>
      <c r="B941" s="208"/>
      <c r="C941" s="208"/>
      <c r="D941" s="208"/>
      <c r="E941" s="208"/>
      <c r="F941" s="208"/>
    </row>
    <row r="942" ht="14.25" customHeight="1">
      <c r="A942" s="208"/>
      <c r="B942" s="208"/>
      <c r="C942" s="208"/>
      <c r="D942" s="208"/>
      <c r="E942" s="208"/>
      <c r="F942" s="208"/>
    </row>
    <row r="943" ht="14.25" customHeight="1">
      <c r="A943" s="208"/>
      <c r="B943" s="208"/>
      <c r="C943" s="208"/>
      <c r="D943" s="208"/>
      <c r="E943" s="208"/>
      <c r="F943" s="208"/>
    </row>
    <row r="944" ht="14.25" customHeight="1">
      <c r="A944" s="208"/>
      <c r="B944" s="208"/>
      <c r="C944" s="208"/>
      <c r="D944" s="208"/>
      <c r="E944" s="208"/>
      <c r="F944" s="208"/>
    </row>
    <row r="945" ht="14.25" customHeight="1">
      <c r="A945" s="208"/>
      <c r="B945" s="208"/>
      <c r="C945" s="208"/>
      <c r="D945" s="208"/>
      <c r="E945" s="208"/>
      <c r="F945" s="208"/>
    </row>
    <row r="946" ht="14.25" customHeight="1">
      <c r="A946" s="208"/>
      <c r="B946" s="208"/>
      <c r="C946" s="208"/>
      <c r="D946" s="208"/>
      <c r="E946" s="208"/>
      <c r="F946" s="208"/>
    </row>
    <row r="947" ht="14.25" customHeight="1">
      <c r="A947" s="208"/>
      <c r="B947" s="208"/>
      <c r="C947" s="208"/>
      <c r="D947" s="208"/>
      <c r="E947" s="208"/>
      <c r="F947" s="208"/>
    </row>
    <row r="948" ht="14.25" customHeight="1">
      <c r="A948" s="208"/>
      <c r="B948" s="208"/>
      <c r="C948" s="208"/>
      <c r="D948" s="208"/>
      <c r="E948" s="208"/>
      <c r="F948" s="208"/>
    </row>
    <row r="949" ht="14.25" customHeight="1">
      <c r="A949" s="208"/>
      <c r="B949" s="208"/>
      <c r="C949" s="208"/>
      <c r="D949" s="208"/>
      <c r="E949" s="208"/>
      <c r="F949" s="208"/>
    </row>
    <row r="950" ht="14.25" customHeight="1">
      <c r="A950" s="208"/>
      <c r="B950" s="208"/>
      <c r="C950" s="208"/>
      <c r="D950" s="208"/>
      <c r="E950" s="208"/>
      <c r="F950" s="208"/>
    </row>
    <row r="951" ht="14.25" customHeight="1">
      <c r="A951" s="208"/>
      <c r="B951" s="208"/>
      <c r="C951" s="208"/>
      <c r="D951" s="208"/>
      <c r="E951" s="208"/>
      <c r="F951" s="208"/>
    </row>
    <row r="952" ht="14.25" customHeight="1">
      <c r="A952" s="208"/>
      <c r="B952" s="208"/>
      <c r="C952" s="208"/>
      <c r="D952" s="208"/>
      <c r="E952" s="208"/>
      <c r="F952" s="208"/>
    </row>
    <row r="953" ht="14.25" customHeight="1">
      <c r="A953" s="208"/>
      <c r="B953" s="208"/>
      <c r="C953" s="208"/>
      <c r="D953" s="208"/>
      <c r="E953" s="208"/>
      <c r="F953" s="208"/>
    </row>
    <row r="954" ht="14.25" customHeight="1">
      <c r="A954" s="208"/>
      <c r="B954" s="208"/>
      <c r="C954" s="208"/>
      <c r="D954" s="208"/>
      <c r="E954" s="208"/>
      <c r="F954" s="208"/>
    </row>
    <row r="955" ht="14.25" customHeight="1">
      <c r="A955" s="208"/>
      <c r="B955" s="208"/>
      <c r="C955" s="208"/>
      <c r="D955" s="208"/>
      <c r="E955" s="208"/>
      <c r="F955" s="208"/>
    </row>
    <row r="956" ht="14.25" customHeight="1">
      <c r="A956" s="208"/>
      <c r="B956" s="208"/>
      <c r="C956" s="208"/>
      <c r="D956" s="208"/>
      <c r="E956" s="208"/>
      <c r="F956" s="208"/>
    </row>
    <row r="957" ht="14.25" customHeight="1">
      <c r="A957" s="208"/>
      <c r="B957" s="208"/>
      <c r="C957" s="208"/>
      <c r="D957" s="208"/>
      <c r="E957" s="208"/>
      <c r="F957" s="208"/>
    </row>
    <row r="958" ht="14.25" customHeight="1">
      <c r="A958" s="208"/>
      <c r="B958" s="208"/>
      <c r="C958" s="208"/>
      <c r="D958" s="208"/>
      <c r="E958" s="208"/>
      <c r="F958" s="208"/>
    </row>
    <row r="959" ht="14.25" customHeight="1">
      <c r="A959" s="208"/>
      <c r="B959" s="208"/>
      <c r="C959" s="208"/>
      <c r="D959" s="208"/>
      <c r="E959" s="208"/>
      <c r="F959" s="208"/>
    </row>
    <row r="960" ht="14.25" customHeight="1">
      <c r="A960" s="208"/>
      <c r="B960" s="208"/>
      <c r="C960" s="208"/>
      <c r="D960" s="208"/>
      <c r="E960" s="208"/>
      <c r="F960" s="208"/>
    </row>
    <row r="961" ht="14.25" customHeight="1">
      <c r="A961" s="208"/>
      <c r="B961" s="208"/>
      <c r="C961" s="208"/>
      <c r="D961" s="208"/>
      <c r="E961" s="208"/>
      <c r="F961" s="208"/>
    </row>
    <row r="962" ht="14.25" customHeight="1">
      <c r="A962" s="208"/>
      <c r="B962" s="208"/>
      <c r="C962" s="208"/>
      <c r="D962" s="208"/>
      <c r="E962" s="208"/>
      <c r="F962" s="208"/>
    </row>
    <row r="963" ht="14.25" customHeight="1">
      <c r="A963" s="208"/>
      <c r="B963" s="208"/>
      <c r="C963" s="208"/>
      <c r="D963" s="208"/>
      <c r="E963" s="208"/>
      <c r="F963" s="208"/>
    </row>
    <row r="964" ht="14.25" customHeight="1">
      <c r="A964" s="208"/>
      <c r="B964" s="208"/>
      <c r="C964" s="208"/>
      <c r="D964" s="208"/>
      <c r="E964" s="208"/>
      <c r="F964" s="208"/>
    </row>
    <row r="965" ht="14.25" customHeight="1">
      <c r="A965" s="208"/>
      <c r="B965" s="208"/>
      <c r="C965" s="208"/>
      <c r="D965" s="208"/>
      <c r="E965" s="208"/>
      <c r="F965" s="208"/>
    </row>
    <row r="966" ht="14.25" customHeight="1">
      <c r="A966" s="208"/>
      <c r="B966" s="208"/>
      <c r="C966" s="208"/>
      <c r="D966" s="208"/>
      <c r="E966" s="208"/>
      <c r="F966" s="208"/>
    </row>
    <row r="967" ht="14.25" customHeight="1">
      <c r="A967" s="208"/>
      <c r="B967" s="208"/>
      <c r="C967" s="208"/>
      <c r="D967" s="208"/>
      <c r="E967" s="208"/>
      <c r="F967" s="208"/>
    </row>
    <row r="968" ht="14.25" customHeight="1">
      <c r="A968" s="208"/>
      <c r="B968" s="208"/>
      <c r="C968" s="208"/>
      <c r="D968" s="208"/>
      <c r="E968" s="208"/>
      <c r="F968" s="208"/>
    </row>
    <row r="969" ht="14.25" customHeight="1">
      <c r="A969" s="208"/>
      <c r="B969" s="208"/>
      <c r="C969" s="208"/>
      <c r="D969" s="208"/>
      <c r="E969" s="208"/>
      <c r="F969" s="208"/>
    </row>
    <row r="970" ht="14.25" customHeight="1">
      <c r="A970" s="208"/>
      <c r="B970" s="208"/>
      <c r="C970" s="208"/>
      <c r="D970" s="208"/>
      <c r="E970" s="208"/>
      <c r="F970" s="208"/>
    </row>
    <row r="971" ht="14.25" customHeight="1">
      <c r="A971" s="208"/>
      <c r="B971" s="208"/>
      <c r="C971" s="208"/>
      <c r="D971" s="208"/>
      <c r="E971" s="208"/>
      <c r="F971" s="208"/>
    </row>
    <row r="972" ht="14.25" customHeight="1">
      <c r="A972" s="208"/>
      <c r="B972" s="208"/>
      <c r="C972" s="208"/>
      <c r="D972" s="208"/>
      <c r="E972" s="208"/>
      <c r="F972" s="208"/>
    </row>
    <row r="973" ht="14.25" customHeight="1">
      <c r="A973" s="208"/>
      <c r="B973" s="208"/>
      <c r="C973" s="208"/>
      <c r="D973" s="208"/>
      <c r="E973" s="208"/>
      <c r="F973" s="208"/>
    </row>
    <row r="974" ht="14.25" customHeight="1">
      <c r="A974" s="208"/>
      <c r="B974" s="208"/>
      <c r="C974" s="208"/>
      <c r="D974" s="208"/>
      <c r="E974" s="208"/>
      <c r="F974" s="208"/>
    </row>
    <row r="975" ht="14.25" customHeight="1">
      <c r="A975" s="208"/>
      <c r="B975" s="208"/>
      <c r="C975" s="208"/>
      <c r="D975" s="208"/>
      <c r="E975" s="208"/>
      <c r="F975" s="208"/>
    </row>
    <row r="976" ht="14.25" customHeight="1">
      <c r="A976" s="208"/>
      <c r="B976" s="208"/>
      <c r="C976" s="208"/>
      <c r="D976" s="208"/>
      <c r="E976" s="208"/>
      <c r="F976" s="208"/>
    </row>
    <row r="977" ht="14.25" customHeight="1">
      <c r="A977" s="208"/>
      <c r="B977" s="208"/>
      <c r="C977" s="208"/>
      <c r="D977" s="208"/>
      <c r="E977" s="208"/>
      <c r="F977" s="208"/>
    </row>
    <row r="978" ht="14.25" customHeight="1">
      <c r="A978" s="208"/>
      <c r="B978" s="208"/>
      <c r="C978" s="208"/>
      <c r="D978" s="208"/>
      <c r="E978" s="208"/>
      <c r="F978" s="208"/>
    </row>
    <row r="979" ht="14.25" customHeight="1">
      <c r="A979" s="208"/>
      <c r="B979" s="208"/>
      <c r="C979" s="208"/>
      <c r="D979" s="208"/>
      <c r="E979" s="208"/>
      <c r="F979" s="208"/>
    </row>
    <row r="980" ht="14.25" customHeight="1">
      <c r="A980" s="208"/>
      <c r="B980" s="208"/>
      <c r="C980" s="208"/>
      <c r="D980" s="208"/>
      <c r="E980" s="208"/>
      <c r="F980" s="208"/>
    </row>
    <row r="981" ht="14.25" customHeight="1">
      <c r="A981" s="208"/>
      <c r="B981" s="208"/>
      <c r="C981" s="208"/>
      <c r="D981" s="208"/>
      <c r="E981" s="208"/>
      <c r="F981" s="208"/>
    </row>
    <row r="982" ht="14.25" customHeight="1">
      <c r="A982" s="208"/>
      <c r="B982" s="208"/>
      <c r="C982" s="208"/>
      <c r="D982" s="208"/>
      <c r="E982" s="208"/>
      <c r="F982" s="208"/>
    </row>
    <row r="983" ht="14.25" customHeight="1">
      <c r="A983" s="208"/>
      <c r="B983" s="208"/>
      <c r="C983" s="208"/>
      <c r="D983" s="208"/>
      <c r="E983" s="208"/>
      <c r="F983" s="208"/>
    </row>
    <row r="984" ht="14.25" customHeight="1">
      <c r="A984" s="208"/>
      <c r="B984" s="208"/>
      <c r="C984" s="208"/>
      <c r="D984" s="208"/>
      <c r="E984" s="208"/>
      <c r="F984" s="208"/>
    </row>
    <row r="985" ht="14.25" customHeight="1">
      <c r="A985" s="208"/>
      <c r="B985" s="208"/>
      <c r="C985" s="208"/>
      <c r="D985" s="208"/>
      <c r="E985" s="208"/>
      <c r="F985" s="208"/>
    </row>
    <row r="986" ht="14.25" customHeight="1">
      <c r="A986" s="208"/>
      <c r="B986" s="208"/>
      <c r="C986" s="208"/>
      <c r="D986" s="208"/>
      <c r="E986" s="208"/>
      <c r="F986" s="208"/>
    </row>
    <row r="987" ht="14.25" customHeight="1">
      <c r="A987" s="208"/>
      <c r="B987" s="208"/>
      <c r="C987" s="208"/>
      <c r="D987" s="208"/>
      <c r="E987" s="208"/>
      <c r="F987" s="208"/>
    </row>
    <row r="988" ht="14.25" customHeight="1">
      <c r="A988" s="208"/>
      <c r="B988" s="208"/>
      <c r="C988" s="208"/>
      <c r="D988" s="208"/>
      <c r="E988" s="208"/>
      <c r="F988" s="208"/>
    </row>
    <row r="989" ht="14.25" customHeight="1">
      <c r="A989" s="208"/>
      <c r="B989" s="208"/>
      <c r="C989" s="208"/>
      <c r="D989" s="208"/>
      <c r="E989" s="208"/>
      <c r="F989" s="208"/>
    </row>
    <row r="990" ht="14.25" customHeight="1">
      <c r="A990" s="208"/>
      <c r="B990" s="208"/>
      <c r="C990" s="208"/>
      <c r="D990" s="208"/>
      <c r="E990" s="208"/>
      <c r="F990" s="208"/>
    </row>
    <row r="991" ht="14.25" customHeight="1">
      <c r="A991" s="208"/>
      <c r="B991" s="208"/>
      <c r="C991" s="208"/>
      <c r="D991" s="208"/>
      <c r="E991" s="208"/>
      <c r="F991" s="208"/>
    </row>
    <row r="992" ht="14.25" customHeight="1">
      <c r="A992" s="208"/>
      <c r="B992" s="208"/>
      <c r="C992" s="208"/>
      <c r="D992" s="208"/>
      <c r="E992" s="208"/>
      <c r="F992" s="208"/>
    </row>
    <row r="993" ht="14.25" customHeight="1">
      <c r="A993" s="208"/>
      <c r="B993" s="208"/>
      <c r="C993" s="208"/>
      <c r="D993" s="208"/>
      <c r="E993" s="208"/>
      <c r="F993" s="208"/>
    </row>
    <row r="994" ht="14.25" customHeight="1">
      <c r="A994" s="208"/>
      <c r="B994" s="208"/>
      <c r="C994" s="208"/>
      <c r="D994" s="208"/>
      <c r="E994" s="208"/>
      <c r="F994" s="208"/>
    </row>
    <row r="995" ht="14.25" customHeight="1">
      <c r="A995" s="208"/>
      <c r="B995" s="208"/>
      <c r="C995" s="208"/>
      <c r="D995" s="208"/>
      <c r="E995" s="208"/>
      <c r="F995" s="208"/>
    </row>
    <row r="996" ht="14.25" customHeight="1">
      <c r="A996" s="208"/>
      <c r="B996" s="208"/>
      <c r="C996" s="208"/>
      <c r="D996" s="208"/>
      <c r="E996" s="208"/>
      <c r="F996" s="208"/>
    </row>
    <row r="997" ht="14.25" customHeight="1">
      <c r="A997" s="208"/>
      <c r="B997" s="208"/>
      <c r="C997" s="208"/>
      <c r="D997" s="208"/>
      <c r="E997" s="208"/>
      <c r="F997" s="208"/>
    </row>
    <row r="998" ht="14.25" customHeight="1">
      <c r="A998" s="208"/>
      <c r="B998" s="208"/>
      <c r="C998" s="208"/>
      <c r="D998" s="208"/>
      <c r="E998" s="208"/>
      <c r="F998" s="208"/>
    </row>
    <row r="999" ht="14.25" customHeight="1">
      <c r="A999" s="208"/>
      <c r="B999" s="208"/>
      <c r="C999" s="208"/>
      <c r="D999" s="208"/>
      <c r="E999" s="208"/>
      <c r="F999" s="208"/>
    </row>
    <row r="1000" ht="14.25" customHeight="1">
      <c r="A1000" s="208"/>
      <c r="B1000" s="208"/>
      <c r="C1000" s="208"/>
      <c r="D1000" s="208"/>
      <c r="E1000" s="208"/>
      <c r="F1000" s="208"/>
    </row>
  </sheetData>
  <mergeCells count="12">
    <mergeCell ref="A52:B52"/>
    <mergeCell ref="A58:B58"/>
    <mergeCell ref="A82:B82"/>
    <mergeCell ref="A93:B93"/>
    <mergeCell ref="A101:B101"/>
    <mergeCell ref="A1:F1"/>
    <mergeCell ref="A9:B9"/>
    <mergeCell ref="A22:B22"/>
    <mergeCell ref="A23:B23"/>
    <mergeCell ref="A32:B32"/>
    <mergeCell ref="A37:B37"/>
    <mergeCell ref="A44:B44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35.0"/>
    <col customWidth="1" min="4" max="4" width="15.0"/>
    <col customWidth="1" min="5" max="7" width="12.0"/>
    <col customWidth="1" min="8" max="8" width="14.29"/>
    <col customWidth="1" min="9" max="9" width="12.0"/>
    <col customWidth="1" min="10" max="10" width="25.0"/>
    <col customWidth="1" min="11" max="26" width="8.71"/>
  </cols>
  <sheetData>
    <row r="1" ht="21.0" customHeight="1">
      <c r="A1" s="228" t="s">
        <v>990</v>
      </c>
      <c r="B1" s="206"/>
      <c r="C1" s="206"/>
      <c r="D1" s="206"/>
      <c r="E1" s="206"/>
      <c r="F1" s="206"/>
      <c r="G1" s="206"/>
      <c r="H1" s="207"/>
      <c r="I1" s="208"/>
      <c r="J1" s="208"/>
    </row>
    <row r="2" ht="14.25" customHeight="1">
      <c r="A2" s="209" t="s">
        <v>991</v>
      </c>
      <c r="B2" s="229" t="s">
        <v>541</v>
      </c>
      <c r="C2" s="208"/>
      <c r="D2" s="208"/>
      <c r="E2" s="208"/>
      <c r="F2" s="208"/>
      <c r="G2" s="208"/>
      <c r="H2" s="208"/>
      <c r="I2" s="208"/>
      <c r="J2" s="208"/>
    </row>
    <row r="3" ht="14.25" customHeight="1">
      <c r="A3" s="209" t="s">
        <v>992</v>
      </c>
      <c r="B3" s="229" t="s">
        <v>216</v>
      </c>
      <c r="C3" s="208"/>
      <c r="D3" s="208"/>
      <c r="E3" s="208"/>
      <c r="F3" s="208"/>
      <c r="G3" s="208"/>
      <c r="H3" s="208"/>
      <c r="I3" s="208"/>
      <c r="J3" s="208"/>
    </row>
    <row r="4" ht="14.25" customHeight="1">
      <c r="A4" s="209" t="s">
        <v>993</v>
      </c>
      <c r="B4" s="229" t="s">
        <v>895</v>
      </c>
      <c r="C4" s="208"/>
      <c r="D4" s="208"/>
      <c r="E4" s="208"/>
      <c r="F4" s="208"/>
      <c r="G4" s="208"/>
      <c r="H4" s="208"/>
      <c r="I4" s="208"/>
      <c r="J4" s="208"/>
    </row>
    <row r="5" ht="14.25" customHeight="1">
      <c r="A5" s="209" t="s">
        <v>994</v>
      </c>
      <c r="B5" s="229" t="s">
        <v>882</v>
      </c>
      <c r="C5" s="208"/>
      <c r="D5" s="208"/>
      <c r="E5" s="208"/>
      <c r="F5" s="208"/>
      <c r="G5" s="208"/>
      <c r="H5" s="208"/>
      <c r="I5" s="208"/>
      <c r="J5" s="208"/>
    </row>
    <row r="6" ht="14.25" customHeight="1">
      <c r="A6" s="209" t="s">
        <v>995</v>
      </c>
      <c r="B6" s="230" t="s">
        <v>996</v>
      </c>
      <c r="C6" s="230"/>
      <c r="D6" s="208"/>
      <c r="E6" s="208"/>
      <c r="F6" s="208"/>
      <c r="G6" s="208"/>
      <c r="H6" s="208"/>
      <c r="I6" s="208"/>
      <c r="J6" s="208"/>
    </row>
    <row r="7" ht="14.25" customHeight="1">
      <c r="A7" s="209" t="s">
        <v>997</v>
      </c>
      <c r="B7" s="230" t="s">
        <v>998</v>
      </c>
      <c r="C7" s="231"/>
      <c r="D7" s="208"/>
      <c r="E7" s="208"/>
      <c r="F7" s="208"/>
      <c r="G7" s="208"/>
      <c r="H7" s="208"/>
      <c r="I7" s="208"/>
      <c r="J7" s="208"/>
    </row>
    <row r="8" ht="14.25" customHeight="1">
      <c r="A8" s="208"/>
      <c r="B8" s="208"/>
      <c r="C8" s="208"/>
      <c r="D8" s="208"/>
      <c r="E8" s="208"/>
      <c r="F8" s="208"/>
      <c r="G8" s="208"/>
      <c r="H8" s="208"/>
      <c r="I8" s="208"/>
      <c r="J8" s="208"/>
    </row>
    <row r="9" ht="15.0" customHeight="1">
      <c r="A9" s="232" t="s">
        <v>999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7"/>
    </row>
    <row r="10" ht="28.5" customHeight="1">
      <c r="A10" s="233" t="s">
        <v>914</v>
      </c>
      <c r="B10" s="233" t="s">
        <v>1000</v>
      </c>
      <c r="C10" s="233" t="s">
        <v>915</v>
      </c>
      <c r="D10" s="233" t="s">
        <v>916</v>
      </c>
      <c r="E10" s="233" t="s">
        <v>917</v>
      </c>
      <c r="F10" s="233" t="s">
        <v>1001</v>
      </c>
      <c r="G10" s="233" t="s">
        <v>22</v>
      </c>
      <c r="H10" s="233" t="s">
        <v>1002</v>
      </c>
      <c r="I10" s="208"/>
      <c r="J10" s="208"/>
    </row>
    <row r="11" ht="57.0" customHeight="1">
      <c r="A11" s="213" t="s">
        <v>918</v>
      </c>
      <c r="B11" s="213" t="s">
        <v>1003</v>
      </c>
      <c r="C11" s="213" t="s">
        <v>224</v>
      </c>
      <c r="D11" s="213" t="s">
        <v>919</v>
      </c>
      <c r="E11" s="213" t="s">
        <v>920</v>
      </c>
      <c r="F11" s="213"/>
      <c r="G11" s="213" t="s">
        <v>225</v>
      </c>
      <c r="H11" s="213"/>
      <c r="I11" s="208"/>
      <c r="J11" s="208"/>
    </row>
    <row r="12" ht="28.5" customHeight="1">
      <c r="A12" s="213" t="s">
        <v>921</v>
      </c>
      <c r="B12" s="234" t="s">
        <v>1004</v>
      </c>
      <c r="C12" s="213" t="s">
        <v>227</v>
      </c>
      <c r="D12" s="213" t="s">
        <v>228</v>
      </c>
      <c r="E12" s="213" t="s">
        <v>229</v>
      </c>
      <c r="F12" s="213"/>
      <c r="G12" s="213" t="s">
        <v>131</v>
      </c>
      <c r="H12" s="213"/>
      <c r="I12" s="208"/>
      <c r="J12" s="208"/>
    </row>
    <row r="13" ht="86.25" customHeight="1">
      <c r="A13" s="213" t="s">
        <v>922</v>
      </c>
      <c r="B13" s="213" t="s">
        <v>1005</v>
      </c>
      <c r="C13" s="213" t="s">
        <v>230</v>
      </c>
      <c r="D13" s="213" t="s">
        <v>231</v>
      </c>
      <c r="E13" s="213" t="s">
        <v>232</v>
      </c>
      <c r="F13" s="213"/>
      <c r="G13" s="213" t="s">
        <v>225</v>
      </c>
      <c r="H13" s="213"/>
      <c r="I13" s="208"/>
      <c r="J13" s="208"/>
    </row>
    <row r="14" ht="57.0" customHeight="1">
      <c r="A14" s="213" t="s">
        <v>923</v>
      </c>
      <c r="B14" s="213" t="s">
        <v>1006</v>
      </c>
      <c r="C14" s="213" t="s">
        <v>233</v>
      </c>
      <c r="D14" s="213" t="s">
        <v>234</v>
      </c>
      <c r="E14" s="213" t="s">
        <v>924</v>
      </c>
      <c r="F14" s="213"/>
      <c r="G14" s="213" t="s">
        <v>225</v>
      </c>
      <c r="H14" s="213"/>
      <c r="I14" s="208"/>
      <c r="J14" s="208"/>
    </row>
    <row r="15" ht="72.0" customHeight="1">
      <c r="A15" s="213" t="s">
        <v>925</v>
      </c>
      <c r="B15" s="213" t="s">
        <v>1007</v>
      </c>
      <c r="C15" s="213" t="s">
        <v>235</v>
      </c>
      <c r="D15" s="213" t="s">
        <v>236</v>
      </c>
      <c r="E15" s="213" t="s">
        <v>237</v>
      </c>
      <c r="F15" s="213"/>
      <c r="G15" s="213" t="s">
        <v>131</v>
      </c>
      <c r="H15" s="213"/>
      <c r="I15" s="208"/>
      <c r="J15" s="208"/>
    </row>
    <row r="16" ht="72.0" customHeight="1">
      <c r="A16" s="213" t="s">
        <v>926</v>
      </c>
      <c r="B16" s="213" t="s">
        <v>1008</v>
      </c>
      <c r="C16" s="213" t="s">
        <v>238</v>
      </c>
      <c r="D16" s="213" t="s">
        <v>239</v>
      </c>
      <c r="E16" s="213" t="s">
        <v>240</v>
      </c>
      <c r="F16" s="213"/>
      <c r="G16" s="213" t="s">
        <v>241</v>
      </c>
      <c r="H16" s="213"/>
      <c r="I16" s="208"/>
      <c r="J16" s="208"/>
    </row>
    <row r="17" ht="47.25" customHeight="1">
      <c r="A17" s="213" t="s">
        <v>944</v>
      </c>
      <c r="B17" s="213" t="s">
        <v>1009</v>
      </c>
      <c r="C17" s="213" t="s">
        <v>267</v>
      </c>
      <c r="D17" s="213" t="s">
        <v>268</v>
      </c>
      <c r="E17" s="213" t="s">
        <v>269</v>
      </c>
      <c r="F17" s="213"/>
      <c r="G17" s="213" t="s">
        <v>131</v>
      </c>
      <c r="H17" s="213"/>
      <c r="I17" s="208"/>
      <c r="J17" s="208"/>
    </row>
    <row r="18" ht="56.25" customHeight="1">
      <c r="A18" s="213" t="s">
        <v>945</v>
      </c>
      <c r="B18" s="213" t="s">
        <v>1010</v>
      </c>
      <c r="C18" s="213" t="s">
        <v>271</v>
      </c>
      <c r="D18" s="213" t="s">
        <v>272</v>
      </c>
      <c r="E18" s="213" t="s">
        <v>273</v>
      </c>
      <c r="F18" s="213"/>
      <c r="G18" s="213" t="s">
        <v>131</v>
      </c>
      <c r="H18" s="213"/>
      <c r="I18" s="208"/>
      <c r="J18" s="208"/>
    </row>
    <row r="19" ht="42.75" customHeight="1">
      <c r="A19" s="213" t="s">
        <v>946</v>
      </c>
      <c r="B19" s="213" t="s">
        <v>1011</v>
      </c>
      <c r="C19" s="213" t="s">
        <v>275</v>
      </c>
      <c r="D19" s="213" t="s">
        <v>272</v>
      </c>
      <c r="E19" s="213" t="s">
        <v>276</v>
      </c>
      <c r="F19" s="213"/>
      <c r="G19" s="213" t="s">
        <v>277</v>
      </c>
      <c r="H19" s="213"/>
      <c r="I19" s="208"/>
      <c r="J19" s="208"/>
    </row>
    <row r="20" ht="42.75" customHeight="1">
      <c r="A20" s="213" t="s">
        <v>927</v>
      </c>
      <c r="B20" s="213" t="s">
        <v>1012</v>
      </c>
      <c r="C20" s="213" t="s">
        <v>358</v>
      </c>
      <c r="D20" s="213" t="s">
        <v>359</v>
      </c>
      <c r="E20" s="213" t="s">
        <v>360</v>
      </c>
      <c r="F20" s="213"/>
      <c r="G20" s="213" t="s">
        <v>131</v>
      </c>
      <c r="H20" s="213"/>
      <c r="I20" s="208"/>
      <c r="J20" s="208"/>
    </row>
    <row r="21" ht="57.0" customHeight="1">
      <c r="A21" s="213" t="s">
        <v>928</v>
      </c>
      <c r="B21" s="213" t="s">
        <v>1013</v>
      </c>
      <c r="C21" s="213" t="s">
        <v>363</v>
      </c>
      <c r="D21" s="213" t="s">
        <v>364</v>
      </c>
      <c r="E21" s="213" t="s">
        <v>364</v>
      </c>
      <c r="F21" s="213"/>
      <c r="G21" s="213" t="s">
        <v>365</v>
      </c>
      <c r="H21" s="213"/>
      <c r="I21" s="208"/>
      <c r="J21" s="208"/>
    </row>
    <row r="22" ht="14.25" customHeight="1">
      <c r="A22" s="208"/>
      <c r="B22" s="208"/>
      <c r="C22" s="208"/>
      <c r="D22" s="208"/>
      <c r="E22" s="208"/>
      <c r="F22" s="208"/>
      <c r="G22" s="208"/>
      <c r="H22" s="208"/>
      <c r="I22" s="208"/>
      <c r="J22" s="208"/>
    </row>
    <row r="23" ht="15.0" customHeight="1">
      <c r="A23" s="218" t="s">
        <v>1014</v>
      </c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7"/>
    </row>
    <row r="24" ht="14.25" customHeight="1">
      <c r="A24" s="235" t="s">
        <v>32</v>
      </c>
      <c r="B24" s="235" t="s">
        <v>1015</v>
      </c>
      <c r="C24" s="235" t="s">
        <v>1016</v>
      </c>
      <c r="D24" s="235" t="s">
        <v>23</v>
      </c>
      <c r="E24" s="235" t="s">
        <v>22</v>
      </c>
      <c r="F24" s="235" t="s">
        <v>1017</v>
      </c>
      <c r="G24" s="235" t="s">
        <v>1018</v>
      </c>
      <c r="H24" s="235" t="s">
        <v>1019</v>
      </c>
      <c r="I24" s="235" t="s">
        <v>1020</v>
      </c>
      <c r="J24" s="235" t="s">
        <v>1021</v>
      </c>
    </row>
    <row r="25" ht="28.5" customHeight="1">
      <c r="A25" s="213" t="s">
        <v>1022</v>
      </c>
      <c r="B25" s="213" t="s">
        <v>1008</v>
      </c>
      <c r="C25" s="213"/>
      <c r="D25" s="213"/>
      <c r="E25" s="213"/>
      <c r="F25" s="213"/>
      <c r="G25" s="213"/>
      <c r="H25" s="213"/>
      <c r="I25" s="213"/>
      <c r="J25" s="213"/>
    </row>
    <row r="26" ht="14.25" customHeight="1">
      <c r="A26" s="213" t="s">
        <v>1023</v>
      </c>
      <c r="B26" s="213"/>
      <c r="C26" s="213"/>
      <c r="D26" s="213"/>
      <c r="E26" s="213"/>
      <c r="F26" s="213"/>
      <c r="G26" s="213"/>
      <c r="H26" s="213"/>
      <c r="I26" s="213"/>
      <c r="J26" s="213"/>
    </row>
    <row r="27" ht="14.25" customHeight="1">
      <c r="A27" s="213" t="s">
        <v>1022</v>
      </c>
      <c r="B27" s="213"/>
      <c r="C27" s="213"/>
      <c r="D27" s="213"/>
      <c r="E27" s="213"/>
      <c r="F27" s="213"/>
      <c r="G27" s="213"/>
      <c r="H27" s="213"/>
      <c r="I27" s="213"/>
      <c r="J27" s="213"/>
    </row>
    <row r="28" ht="14.25" customHeight="1">
      <c r="A28" s="213" t="s">
        <v>1024</v>
      </c>
      <c r="B28" s="213"/>
      <c r="C28" s="213"/>
      <c r="D28" s="213"/>
      <c r="E28" s="213"/>
      <c r="F28" s="213"/>
      <c r="G28" s="213"/>
      <c r="H28" s="213"/>
      <c r="I28" s="213"/>
      <c r="J28" s="213"/>
    </row>
    <row r="29" ht="14.25" customHeight="1">
      <c r="A29" s="213" t="s">
        <v>1025</v>
      </c>
      <c r="B29" s="213"/>
      <c r="C29" s="213"/>
      <c r="D29" s="213"/>
      <c r="E29" s="213"/>
      <c r="F29" s="213"/>
      <c r="G29" s="213"/>
      <c r="H29" s="213"/>
      <c r="I29" s="213"/>
      <c r="J29" s="213"/>
    </row>
    <row r="30" ht="14.25" customHeight="1">
      <c r="A30" s="213" t="s">
        <v>1024</v>
      </c>
      <c r="B30" s="213"/>
      <c r="C30" s="213"/>
      <c r="D30" s="213"/>
      <c r="E30" s="213"/>
      <c r="F30" s="213"/>
      <c r="G30" s="213"/>
      <c r="H30" s="213"/>
      <c r="I30" s="213"/>
      <c r="J30" s="213"/>
    </row>
    <row r="31" ht="14.25" customHeight="1">
      <c r="A31" s="213" t="s">
        <v>1023</v>
      </c>
      <c r="B31" s="213"/>
      <c r="C31" s="213"/>
      <c r="D31" s="213"/>
      <c r="E31" s="213"/>
      <c r="F31" s="213"/>
      <c r="G31" s="213"/>
      <c r="H31" s="213"/>
      <c r="I31" s="213"/>
      <c r="J31" s="213"/>
    </row>
    <row r="32" ht="14.25" customHeight="1">
      <c r="A32" s="213" t="s">
        <v>1022</v>
      </c>
      <c r="B32" s="213"/>
      <c r="C32" s="213"/>
      <c r="D32" s="213"/>
      <c r="E32" s="213"/>
      <c r="F32" s="213"/>
      <c r="G32" s="213"/>
      <c r="H32" s="213"/>
      <c r="I32" s="213"/>
      <c r="J32" s="213"/>
    </row>
    <row r="33" ht="14.25" customHeight="1">
      <c r="A33" s="213" t="s">
        <v>1024</v>
      </c>
      <c r="B33" s="213"/>
      <c r="C33" s="213"/>
      <c r="D33" s="213"/>
      <c r="E33" s="213"/>
      <c r="F33" s="213"/>
      <c r="G33" s="213"/>
      <c r="H33" s="213"/>
      <c r="I33" s="213"/>
      <c r="J33" s="213"/>
    </row>
    <row r="34" ht="14.25" customHeight="1">
      <c r="A34" s="213" t="s">
        <v>1025</v>
      </c>
      <c r="B34" s="213"/>
      <c r="C34" s="213"/>
      <c r="D34" s="213"/>
      <c r="E34" s="213"/>
      <c r="F34" s="213"/>
      <c r="G34" s="213"/>
      <c r="H34" s="213"/>
      <c r="I34" s="213"/>
      <c r="J34" s="213"/>
    </row>
    <row r="35" ht="14.25" customHeight="1">
      <c r="A35" s="208"/>
      <c r="B35" s="208"/>
      <c r="C35" s="208"/>
      <c r="D35" s="208"/>
      <c r="E35" s="208"/>
      <c r="F35" s="208"/>
      <c r="G35" s="208"/>
      <c r="H35" s="208"/>
      <c r="I35" s="208"/>
      <c r="J35" s="208"/>
    </row>
    <row r="36" ht="14.25" customHeight="1">
      <c r="A36" s="208"/>
      <c r="B36" s="208"/>
      <c r="C36" s="208"/>
      <c r="D36" s="208"/>
      <c r="E36" s="208"/>
      <c r="F36" s="208"/>
      <c r="G36" s="208"/>
      <c r="H36" s="208"/>
      <c r="I36" s="208"/>
      <c r="J36" s="208"/>
    </row>
    <row r="37" ht="14.25" customHeight="1">
      <c r="A37" s="236" t="s">
        <v>1026</v>
      </c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7"/>
    </row>
    <row r="38" ht="24.0" customHeight="1">
      <c r="A38" s="237" t="s">
        <v>377</v>
      </c>
      <c r="B38" s="237" t="s">
        <v>32</v>
      </c>
      <c r="C38" s="237" t="s">
        <v>1027</v>
      </c>
      <c r="D38" s="237" t="s">
        <v>1028</v>
      </c>
      <c r="E38" s="237" t="s">
        <v>154</v>
      </c>
      <c r="F38" s="237" t="s">
        <v>1029</v>
      </c>
      <c r="G38" s="237" t="s">
        <v>381</v>
      </c>
      <c r="H38" s="208"/>
      <c r="I38" s="208"/>
      <c r="J38" s="208"/>
    </row>
    <row r="39" ht="14.25" customHeight="1">
      <c r="A39" s="238"/>
      <c r="B39" s="238"/>
      <c r="C39" s="238"/>
      <c r="D39" s="238"/>
      <c r="E39" s="238"/>
      <c r="F39" s="238"/>
      <c r="G39" s="238"/>
      <c r="H39" s="208"/>
      <c r="I39" s="208"/>
      <c r="J39" s="208"/>
    </row>
    <row r="40" ht="14.25" customHeight="1">
      <c r="A40" s="238"/>
      <c r="B40" s="238"/>
      <c r="C40" s="238"/>
      <c r="D40" s="238"/>
      <c r="E40" s="238"/>
      <c r="F40" s="238"/>
      <c r="G40" s="238"/>
      <c r="H40" s="208"/>
      <c r="I40" s="208"/>
      <c r="J40" s="208"/>
    </row>
    <row r="41" ht="14.25" customHeight="1">
      <c r="A41" s="238"/>
      <c r="B41" s="238"/>
      <c r="C41" s="238"/>
      <c r="D41" s="238"/>
      <c r="E41" s="238"/>
      <c r="F41" s="238"/>
      <c r="G41" s="238"/>
      <c r="H41" s="208"/>
      <c r="I41" s="208"/>
      <c r="J41" s="208"/>
    </row>
    <row r="42" ht="14.25" customHeight="1">
      <c r="A42" s="238"/>
      <c r="B42" s="238"/>
      <c r="C42" s="238"/>
      <c r="D42" s="238"/>
      <c r="E42" s="238"/>
      <c r="F42" s="238"/>
      <c r="G42" s="238"/>
      <c r="H42" s="208"/>
      <c r="I42" s="208"/>
      <c r="J42" s="208"/>
    </row>
    <row r="43" ht="14.25" customHeight="1">
      <c r="A43" s="238"/>
      <c r="B43" s="238"/>
      <c r="C43" s="238"/>
      <c r="D43" s="238"/>
      <c r="E43" s="238"/>
      <c r="F43" s="238"/>
      <c r="G43" s="238"/>
      <c r="H43" s="208"/>
      <c r="I43" s="208"/>
      <c r="J43" s="208"/>
    </row>
    <row r="44" ht="14.25" customHeight="1">
      <c r="A44" s="208"/>
      <c r="B44" s="208"/>
      <c r="C44" s="208"/>
      <c r="D44" s="208"/>
      <c r="E44" s="208"/>
      <c r="F44" s="208"/>
      <c r="G44" s="208"/>
      <c r="H44" s="208"/>
      <c r="I44" s="208"/>
      <c r="J44" s="208"/>
    </row>
    <row r="45" ht="14.25" customHeight="1">
      <c r="A45" s="208"/>
      <c r="B45" s="208"/>
      <c r="C45" s="208"/>
      <c r="D45" s="208"/>
      <c r="E45" s="208"/>
      <c r="F45" s="208"/>
      <c r="G45" s="208"/>
      <c r="H45" s="208"/>
      <c r="I45" s="208"/>
      <c r="J45" s="208"/>
    </row>
    <row r="46" ht="14.25" customHeight="1">
      <c r="A46" s="239" t="s">
        <v>1030</v>
      </c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20"/>
    </row>
    <row r="47" ht="14.25" customHeight="1">
      <c r="A47" s="241"/>
      <c r="B47" s="242" t="s">
        <v>1031</v>
      </c>
      <c r="C47" s="240"/>
      <c r="D47" s="240"/>
      <c r="E47" s="240"/>
      <c r="F47" s="240"/>
      <c r="G47" s="240"/>
      <c r="H47" s="240"/>
      <c r="I47" s="240"/>
      <c r="J47" s="240"/>
      <c r="K47" s="240"/>
      <c r="L47" s="220"/>
    </row>
    <row r="48" ht="14.25" customHeight="1">
      <c r="A48" s="241" t="s">
        <v>1024</v>
      </c>
      <c r="B48" s="242" t="s">
        <v>1032</v>
      </c>
      <c r="C48" s="240"/>
      <c r="D48" s="240"/>
      <c r="E48" s="240"/>
      <c r="F48" s="240"/>
      <c r="G48" s="240"/>
      <c r="H48" s="240"/>
      <c r="I48" s="240"/>
      <c r="J48" s="240"/>
      <c r="K48" s="240"/>
      <c r="L48" s="220"/>
    </row>
    <row r="49" ht="14.25" customHeight="1">
      <c r="A49" s="241" t="s">
        <v>1023</v>
      </c>
      <c r="B49" s="242" t="s">
        <v>1033</v>
      </c>
      <c r="C49" s="240"/>
      <c r="D49" s="240"/>
      <c r="E49" s="240"/>
      <c r="F49" s="240"/>
      <c r="G49" s="240"/>
      <c r="H49" s="240"/>
      <c r="I49" s="240"/>
      <c r="J49" s="240"/>
      <c r="K49" s="240"/>
      <c r="L49" s="220"/>
    </row>
    <row r="50" ht="14.25" customHeight="1">
      <c r="A50" s="241" t="s">
        <v>1022</v>
      </c>
      <c r="B50" s="242" t="s">
        <v>1034</v>
      </c>
      <c r="C50" s="240"/>
      <c r="D50" s="240"/>
      <c r="E50" s="240"/>
      <c r="F50" s="240"/>
      <c r="G50" s="240"/>
      <c r="H50" s="240"/>
      <c r="I50" s="240"/>
      <c r="J50" s="240"/>
      <c r="K50" s="240"/>
      <c r="L50" s="220"/>
    </row>
    <row r="51" ht="14.25" customHeight="1">
      <c r="A51" s="241" t="s">
        <v>1025</v>
      </c>
      <c r="B51" s="242" t="s">
        <v>1035</v>
      </c>
      <c r="C51" s="240"/>
      <c r="D51" s="240"/>
      <c r="E51" s="240"/>
      <c r="F51" s="240"/>
      <c r="G51" s="240"/>
      <c r="H51" s="240"/>
      <c r="I51" s="240"/>
      <c r="J51" s="240"/>
      <c r="K51" s="240"/>
      <c r="L51" s="220"/>
    </row>
    <row r="52" ht="14.25" customHeight="1">
      <c r="A52" s="241"/>
      <c r="B52" s="242" t="s">
        <v>1036</v>
      </c>
      <c r="C52" s="240"/>
      <c r="D52" s="240"/>
      <c r="E52" s="240"/>
      <c r="F52" s="240"/>
      <c r="G52" s="240"/>
      <c r="H52" s="240"/>
      <c r="I52" s="240"/>
      <c r="J52" s="240"/>
      <c r="K52" s="240"/>
      <c r="L52" s="220"/>
    </row>
    <row r="53" ht="14.25" customHeight="1">
      <c r="A53" s="241" t="s">
        <v>1037</v>
      </c>
      <c r="B53" s="242" t="s">
        <v>1038</v>
      </c>
      <c r="C53" s="240"/>
      <c r="D53" s="240"/>
      <c r="E53" s="240"/>
      <c r="F53" s="240"/>
      <c r="G53" s="240"/>
      <c r="H53" s="240"/>
      <c r="I53" s="240"/>
      <c r="J53" s="240"/>
      <c r="K53" s="240"/>
      <c r="L53" s="220"/>
    </row>
    <row r="54" ht="14.25" customHeight="1">
      <c r="A54" s="241" t="s">
        <v>1039</v>
      </c>
      <c r="B54" s="242" t="s">
        <v>1040</v>
      </c>
      <c r="C54" s="240"/>
      <c r="D54" s="240"/>
      <c r="E54" s="240"/>
      <c r="F54" s="240"/>
      <c r="G54" s="240"/>
      <c r="H54" s="240"/>
      <c r="I54" s="240"/>
      <c r="J54" s="240"/>
      <c r="K54" s="240"/>
      <c r="L54" s="220"/>
    </row>
    <row r="55" ht="14.25" customHeight="1">
      <c r="A55" s="241" t="s">
        <v>1041</v>
      </c>
      <c r="B55" s="242" t="s">
        <v>1042</v>
      </c>
      <c r="C55" s="240"/>
      <c r="D55" s="240"/>
      <c r="E55" s="240"/>
      <c r="F55" s="240"/>
      <c r="G55" s="240"/>
      <c r="H55" s="240"/>
      <c r="I55" s="240"/>
      <c r="J55" s="240"/>
      <c r="K55" s="240"/>
      <c r="L55" s="220"/>
    </row>
    <row r="56" ht="14.25" customHeight="1">
      <c r="A56" s="241" t="s">
        <v>1043</v>
      </c>
      <c r="B56" s="242" t="s">
        <v>1044</v>
      </c>
      <c r="C56" s="240"/>
      <c r="D56" s="240"/>
      <c r="E56" s="240"/>
      <c r="F56" s="240"/>
      <c r="G56" s="240"/>
      <c r="H56" s="240"/>
      <c r="I56" s="240"/>
      <c r="J56" s="240"/>
      <c r="K56" s="240"/>
      <c r="L56" s="220"/>
    </row>
    <row r="57" ht="14.25" customHeight="1">
      <c r="A57" s="241" t="s">
        <v>1045</v>
      </c>
      <c r="B57" s="242" t="s">
        <v>1046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20"/>
    </row>
    <row r="58" ht="14.25" customHeight="1">
      <c r="A58" s="241" t="s">
        <v>1047</v>
      </c>
      <c r="B58" s="242" t="s">
        <v>1048</v>
      </c>
      <c r="C58" s="240"/>
      <c r="D58" s="240"/>
      <c r="E58" s="240"/>
      <c r="F58" s="240"/>
      <c r="G58" s="240"/>
      <c r="H58" s="240"/>
      <c r="I58" s="240"/>
      <c r="J58" s="240"/>
      <c r="K58" s="240"/>
      <c r="L58" s="220"/>
    </row>
    <row r="59" ht="14.25" customHeight="1">
      <c r="A59" s="241" t="s">
        <v>1049</v>
      </c>
      <c r="B59" s="242" t="s">
        <v>1050</v>
      </c>
      <c r="C59" s="240"/>
      <c r="D59" s="240"/>
      <c r="E59" s="240"/>
      <c r="F59" s="240"/>
      <c r="G59" s="240"/>
      <c r="H59" s="240"/>
      <c r="I59" s="240"/>
      <c r="J59" s="240"/>
      <c r="K59" s="240"/>
      <c r="L59" s="220"/>
    </row>
    <row r="60" ht="14.25" customHeight="1">
      <c r="A60" s="241" t="s">
        <v>1051</v>
      </c>
      <c r="B60" s="242" t="s">
        <v>1052</v>
      </c>
      <c r="C60" s="240"/>
      <c r="D60" s="240"/>
      <c r="E60" s="240"/>
      <c r="F60" s="240"/>
      <c r="G60" s="240"/>
      <c r="H60" s="240"/>
      <c r="I60" s="240"/>
      <c r="J60" s="240"/>
      <c r="K60" s="240"/>
      <c r="L60" s="220"/>
    </row>
    <row r="61" ht="14.25" customHeight="1">
      <c r="A61" s="241" t="s">
        <v>1053</v>
      </c>
      <c r="B61" s="242" t="s">
        <v>1054</v>
      </c>
      <c r="C61" s="240"/>
      <c r="D61" s="240"/>
      <c r="E61" s="240"/>
      <c r="F61" s="240"/>
      <c r="G61" s="240"/>
      <c r="H61" s="240"/>
      <c r="I61" s="240"/>
      <c r="J61" s="240"/>
      <c r="K61" s="240"/>
      <c r="L61" s="220"/>
    </row>
    <row r="62" ht="14.25" customHeight="1">
      <c r="A62" s="241"/>
      <c r="B62" s="242" t="s">
        <v>1055</v>
      </c>
      <c r="C62" s="240"/>
      <c r="D62" s="240"/>
      <c r="E62" s="240"/>
      <c r="F62" s="240"/>
      <c r="G62" s="240"/>
      <c r="H62" s="240"/>
      <c r="I62" s="240"/>
      <c r="J62" s="240"/>
      <c r="K62" s="240"/>
      <c r="L62" s="220"/>
    </row>
    <row r="63" ht="14.25" customHeight="1">
      <c r="A63" s="241" t="s">
        <v>1056</v>
      </c>
      <c r="B63" s="242" t="s">
        <v>1057</v>
      </c>
      <c r="C63" s="240"/>
      <c r="D63" s="240"/>
      <c r="E63" s="240"/>
      <c r="F63" s="240"/>
      <c r="G63" s="240"/>
      <c r="H63" s="240"/>
      <c r="I63" s="240"/>
      <c r="J63" s="240"/>
      <c r="K63" s="240"/>
      <c r="L63" s="220"/>
    </row>
    <row r="64" ht="14.25" customHeight="1">
      <c r="A64" s="241" t="s">
        <v>1058</v>
      </c>
      <c r="B64" s="242" t="s">
        <v>1059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20"/>
    </row>
    <row r="65" ht="14.25" customHeight="1">
      <c r="A65" s="241" t="s">
        <v>1060</v>
      </c>
      <c r="B65" s="242" t="s">
        <v>1061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20"/>
    </row>
    <row r="66" ht="14.25" customHeight="1">
      <c r="A66" s="241" t="s">
        <v>1062</v>
      </c>
      <c r="B66" s="242" t="s">
        <v>1063</v>
      </c>
      <c r="C66" s="240"/>
      <c r="D66" s="240"/>
      <c r="E66" s="240"/>
      <c r="F66" s="240"/>
      <c r="G66" s="240"/>
      <c r="H66" s="240"/>
      <c r="I66" s="240"/>
      <c r="J66" s="240"/>
      <c r="K66" s="240"/>
      <c r="L66" s="220"/>
    </row>
    <row r="67" ht="14.25" customHeight="1">
      <c r="A67" s="241"/>
      <c r="B67" s="242" t="s">
        <v>1064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20"/>
    </row>
    <row r="68" ht="14.25" customHeight="1">
      <c r="A68" s="241" t="s">
        <v>1065</v>
      </c>
      <c r="B68" s="242" t="s">
        <v>1066</v>
      </c>
      <c r="C68" s="240"/>
      <c r="D68" s="240"/>
      <c r="E68" s="240"/>
      <c r="F68" s="240"/>
      <c r="G68" s="240"/>
      <c r="H68" s="240"/>
      <c r="I68" s="240"/>
      <c r="J68" s="240"/>
      <c r="K68" s="240"/>
      <c r="L68" s="220"/>
    </row>
    <row r="69" ht="14.25" customHeight="1">
      <c r="A69" s="241" t="s">
        <v>1067</v>
      </c>
      <c r="B69" s="242" t="s">
        <v>1068</v>
      </c>
      <c r="C69" s="240"/>
      <c r="D69" s="240"/>
      <c r="E69" s="240"/>
      <c r="F69" s="240"/>
      <c r="G69" s="240"/>
      <c r="H69" s="240"/>
      <c r="I69" s="240"/>
      <c r="J69" s="240"/>
      <c r="K69" s="240"/>
      <c r="L69" s="220"/>
    </row>
    <row r="70" ht="14.25" customHeight="1">
      <c r="A70" s="241" t="s">
        <v>1069</v>
      </c>
      <c r="B70" s="242" t="s">
        <v>1070</v>
      </c>
      <c r="C70" s="240"/>
      <c r="D70" s="240"/>
      <c r="E70" s="240"/>
      <c r="F70" s="240"/>
      <c r="G70" s="240"/>
      <c r="H70" s="240"/>
      <c r="I70" s="240"/>
      <c r="J70" s="240"/>
      <c r="K70" s="240"/>
      <c r="L70" s="220"/>
    </row>
    <row r="71" ht="14.25" customHeight="1">
      <c r="A71" s="241" t="s">
        <v>1071</v>
      </c>
      <c r="B71" s="242" t="s">
        <v>1072</v>
      </c>
      <c r="C71" s="240"/>
      <c r="D71" s="240"/>
      <c r="E71" s="240"/>
      <c r="F71" s="240"/>
      <c r="G71" s="240"/>
      <c r="H71" s="240"/>
      <c r="I71" s="240"/>
      <c r="J71" s="240"/>
      <c r="K71" s="240"/>
      <c r="L71" s="220"/>
    </row>
    <row r="72" ht="14.25" customHeight="1">
      <c r="A72" s="208"/>
      <c r="B72" s="208"/>
      <c r="C72" s="208"/>
      <c r="D72" s="208"/>
      <c r="E72" s="208"/>
      <c r="F72" s="208"/>
      <c r="G72" s="208"/>
      <c r="H72" s="208"/>
      <c r="I72" s="208"/>
      <c r="J72" s="208"/>
    </row>
    <row r="73" ht="14.25" customHeight="1">
      <c r="A73" s="208"/>
      <c r="B73" s="208"/>
      <c r="C73" s="208"/>
      <c r="D73" s="208"/>
      <c r="E73" s="208"/>
      <c r="F73" s="208"/>
      <c r="G73" s="208"/>
      <c r="H73" s="208"/>
      <c r="I73" s="208"/>
      <c r="J73" s="208"/>
    </row>
    <row r="74" ht="14.25" customHeight="1">
      <c r="A74" s="208"/>
      <c r="B74" s="208"/>
      <c r="C74" s="208"/>
      <c r="D74" s="208"/>
      <c r="E74" s="208"/>
      <c r="F74" s="208"/>
      <c r="G74" s="208"/>
      <c r="H74" s="208"/>
      <c r="I74" s="208"/>
      <c r="J74" s="208"/>
    </row>
    <row r="75" ht="14.25" customHeight="1">
      <c r="A75" s="208"/>
      <c r="B75" s="208"/>
      <c r="C75" s="208"/>
      <c r="D75" s="208"/>
      <c r="E75" s="208"/>
      <c r="F75" s="208"/>
      <c r="G75" s="208"/>
      <c r="H75" s="208"/>
      <c r="I75" s="208"/>
      <c r="J75" s="208"/>
    </row>
    <row r="76" ht="14.25" customHeight="1">
      <c r="A76" s="208"/>
      <c r="B76" s="208"/>
      <c r="C76" s="208"/>
      <c r="D76" s="208"/>
      <c r="E76" s="208"/>
      <c r="F76" s="208"/>
      <c r="G76" s="208"/>
      <c r="H76" s="208"/>
      <c r="I76" s="208"/>
      <c r="J76" s="208"/>
    </row>
    <row r="77" ht="14.25" customHeight="1">
      <c r="A77" s="208"/>
      <c r="B77" s="208"/>
      <c r="C77" s="208"/>
      <c r="D77" s="208"/>
      <c r="E77" s="208"/>
      <c r="F77" s="208"/>
      <c r="G77" s="208"/>
      <c r="H77" s="208"/>
      <c r="I77" s="208"/>
      <c r="J77" s="208"/>
    </row>
    <row r="78" ht="14.25" customHeight="1">
      <c r="A78" s="208"/>
      <c r="B78" s="208"/>
      <c r="C78" s="208"/>
      <c r="D78" s="208"/>
      <c r="E78" s="208"/>
      <c r="F78" s="208"/>
      <c r="G78" s="208"/>
      <c r="H78" s="208"/>
      <c r="I78" s="208"/>
      <c r="J78" s="208"/>
    </row>
    <row r="79" ht="14.25" customHeight="1">
      <c r="A79" s="208"/>
      <c r="B79" s="208"/>
      <c r="C79" s="208"/>
      <c r="D79" s="208"/>
      <c r="E79" s="208"/>
      <c r="F79" s="208"/>
      <c r="G79" s="208"/>
      <c r="H79" s="208"/>
      <c r="I79" s="208"/>
      <c r="J79" s="208"/>
    </row>
    <row r="80" ht="14.25" customHeight="1">
      <c r="A80" s="208"/>
      <c r="B80" s="208"/>
      <c r="C80" s="208"/>
      <c r="D80" s="208"/>
      <c r="E80" s="208"/>
      <c r="F80" s="208"/>
      <c r="G80" s="208"/>
      <c r="H80" s="208"/>
      <c r="I80" s="208"/>
      <c r="J80" s="208"/>
    </row>
    <row r="81" ht="14.25" customHeight="1">
      <c r="A81" s="208"/>
      <c r="B81" s="208"/>
      <c r="C81" s="208"/>
      <c r="D81" s="208"/>
      <c r="E81" s="208"/>
      <c r="F81" s="208"/>
      <c r="G81" s="208"/>
      <c r="H81" s="208"/>
      <c r="I81" s="208"/>
      <c r="J81" s="208"/>
    </row>
    <row r="82" ht="14.25" customHeight="1">
      <c r="A82" s="208"/>
      <c r="B82" s="208"/>
      <c r="C82" s="208"/>
      <c r="D82" s="208"/>
      <c r="E82" s="208"/>
      <c r="F82" s="208"/>
      <c r="G82" s="208"/>
      <c r="H82" s="208"/>
      <c r="I82" s="208"/>
      <c r="J82" s="208"/>
    </row>
    <row r="83" ht="14.25" customHeight="1">
      <c r="A83" s="208"/>
      <c r="B83" s="208"/>
      <c r="C83" s="208"/>
      <c r="D83" s="208"/>
      <c r="E83" s="208"/>
      <c r="F83" s="208"/>
      <c r="G83" s="208"/>
      <c r="H83" s="208"/>
      <c r="I83" s="208"/>
      <c r="J83" s="208"/>
    </row>
    <row r="84" ht="14.25" customHeight="1">
      <c r="A84" s="208"/>
      <c r="B84" s="208"/>
      <c r="C84" s="208"/>
      <c r="D84" s="208"/>
      <c r="E84" s="208"/>
      <c r="F84" s="208"/>
      <c r="G84" s="208"/>
      <c r="H84" s="208"/>
      <c r="I84" s="208"/>
      <c r="J84" s="208"/>
    </row>
    <row r="85" ht="14.25" customHeight="1">
      <c r="A85" s="208"/>
      <c r="B85" s="208"/>
      <c r="C85" s="208"/>
      <c r="D85" s="208"/>
      <c r="E85" s="208"/>
      <c r="F85" s="208"/>
      <c r="G85" s="208"/>
      <c r="H85" s="208"/>
      <c r="I85" s="208"/>
      <c r="J85" s="208"/>
    </row>
    <row r="86" ht="14.25" customHeight="1">
      <c r="A86" s="208"/>
      <c r="B86" s="208"/>
      <c r="C86" s="208"/>
      <c r="D86" s="208"/>
      <c r="E86" s="208"/>
      <c r="F86" s="208"/>
      <c r="G86" s="208"/>
      <c r="H86" s="208"/>
      <c r="I86" s="208"/>
      <c r="J86" s="208"/>
    </row>
    <row r="87" ht="14.25" customHeight="1">
      <c r="A87" s="208"/>
      <c r="B87" s="208"/>
      <c r="C87" s="208"/>
      <c r="D87" s="208"/>
      <c r="E87" s="208"/>
      <c r="F87" s="208"/>
      <c r="G87" s="208"/>
      <c r="H87" s="208"/>
      <c r="I87" s="208"/>
      <c r="J87" s="208"/>
    </row>
    <row r="88" ht="14.2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</row>
    <row r="89" ht="14.2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</row>
    <row r="90" ht="14.2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</row>
    <row r="91" ht="14.2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</row>
    <row r="92" ht="14.2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</row>
    <row r="93" ht="14.2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</row>
    <row r="94" ht="14.2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</row>
    <row r="95" ht="14.2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</row>
    <row r="96" ht="14.2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</row>
    <row r="97" ht="14.2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</row>
    <row r="98" ht="14.2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</row>
    <row r="99" ht="14.2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</row>
    <row r="100" ht="14.2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</row>
    <row r="101" ht="14.2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</row>
    <row r="102" ht="14.2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</row>
    <row r="103" ht="14.2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</row>
    <row r="104" ht="14.2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</row>
    <row r="105" ht="14.2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</row>
    <row r="106" ht="14.2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</row>
    <row r="107" ht="14.2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</row>
    <row r="108" ht="14.2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</row>
    <row r="109" ht="14.2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</row>
    <row r="110" ht="14.2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</row>
    <row r="111" ht="14.2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</row>
    <row r="112" ht="14.2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</row>
    <row r="113" ht="14.2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</row>
    <row r="114" ht="14.2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</row>
    <row r="115" ht="14.2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</row>
    <row r="116" ht="14.2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</row>
    <row r="117" ht="14.2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</row>
    <row r="118" ht="14.2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</row>
    <row r="119" ht="14.2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</row>
    <row r="120" ht="14.2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</row>
    <row r="121" ht="14.2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</row>
    <row r="122" ht="14.2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</row>
    <row r="123" ht="14.2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</row>
    <row r="124" ht="14.2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</row>
    <row r="125" ht="14.2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</row>
    <row r="126" ht="14.2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</row>
    <row r="127" ht="14.2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</row>
    <row r="128" ht="14.2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</row>
    <row r="129" ht="14.2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</row>
    <row r="130" ht="14.2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</row>
    <row r="131" ht="14.2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</row>
    <row r="132" ht="14.2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</row>
    <row r="133" ht="14.2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</row>
    <row r="134" ht="14.2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</row>
    <row r="135" ht="14.2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</row>
    <row r="136" ht="14.2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</row>
    <row r="137" ht="14.2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</row>
    <row r="138" ht="14.2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</row>
    <row r="139" ht="14.2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</row>
    <row r="140" ht="14.2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</row>
    <row r="141" ht="14.2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</row>
    <row r="142" ht="14.2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</row>
    <row r="143" ht="14.2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</row>
    <row r="144" ht="14.2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</row>
    <row r="145" ht="14.2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</row>
    <row r="146" ht="14.2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</row>
    <row r="147" ht="14.2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</row>
    <row r="148" ht="14.2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</row>
    <row r="149" ht="14.2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</row>
    <row r="150" ht="14.2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</row>
    <row r="151" ht="14.2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</row>
    <row r="152" ht="14.2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</row>
    <row r="153" ht="14.2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</row>
    <row r="154" ht="14.2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</row>
    <row r="155" ht="14.2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</row>
    <row r="156" ht="14.2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</row>
    <row r="157" ht="14.2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</row>
    <row r="158" ht="14.2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</row>
    <row r="159" ht="14.2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</row>
    <row r="160" ht="14.2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</row>
    <row r="161" ht="14.2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</row>
    <row r="162" ht="14.2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</row>
    <row r="163" ht="14.2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</row>
    <row r="164" ht="14.2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</row>
    <row r="165" ht="14.2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</row>
    <row r="166" ht="14.2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</row>
    <row r="167" ht="14.2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</row>
    <row r="168" ht="14.2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</row>
    <row r="169" ht="14.2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</row>
    <row r="170" ht="14.2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</row>
    <row r="171" ht="14.2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</row>
    <row r="172" ht="14.2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</row>
    <row r="173" ht="14.2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</row>
    <row r="174" ht="14.2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</row>
    <row r="175" ht="14.2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</row>
    <row r="176" ht="14.2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</row>
    <row r="177" ht="14.2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</row>
    <row r="178" ht="14.2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</row>
    <row r="179" ht="14.2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</row>
    <row r="180" ht="14.2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</row>
    <row r="181" ht="14.2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</row>
    <row r="182" ht="14.2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</row>
    <row r="183" ht="14.2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</row>
    <row r="184" ht="14.2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</row>
    <row r="185" ht="14.2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</row>
    <row r="186" ht="14.2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</row>
    <row r="187" ht="14.2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</row>
    <row r="188" ht="14.2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</row>
    <row r="189" ht="14.2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</row>
    <row r="190" ht="14.2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</row>
    <row r="191" ht="14.2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</row>
    <row r="192" ht="14.2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</row>
    <row r="193" ht="14.2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</row>
    <row r="194" ht="14.2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</row>
    <row r="195" ht="14.2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</row>
    <row r="196" ht="14.2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</row>
    <row r="197" ht="14.2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</row>
    <row r="198" ht="14.2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</row>
    <row r="199" ht="14.2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</row>
    <row r="200" ht="14.2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</row>
    <row r="201" ht="14.2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</row>
    <row r="202" ht="14.2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</row>
    <row r="203" ht="14.2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</row>
    <row r="204" ht="14.2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</row>
    <row r="205" ht="14.2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</row>
    <row r="206" ht="14.2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</row>
    <row r="207" ht="14.2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</row>
    <row r="208" ht="14.2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</row>
    <row r="209" ht="14.2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</row>
    <row r="210" ht="14.2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</row>
    <row r="211" ht="14.2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</row>
    <row r="212" ht="14.2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</row>
    <row r="213" ht="14.2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</row>
    <row r="214" ht="14.2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</row>
    <row r="215" ht="14.2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</row>
    <row r="216" ht="14.2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</row>
    <row r="217" ht="14.2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</row>
    <row r="218" ht="14.2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</row>
    <row r="219" ht="14.2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</row>
    <row r="220" ht="14.2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</row>
    <row r="221" ht="14.2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</row>
    <row r="222" ht="14.2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</row>
    <row r="223" ht="14.2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</row>
    <row r="224" ht="14.2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</row>
    <row r="225" ht="14.2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</row>
    <row r="226" ht="14.2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</row>
    <row r="227" ht="14.2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</row>
    <row r="228" ht="14.2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</row>
    <row r="229" ht="14.2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</row>
    <row r="230" ht="14.2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</row>
    <row r="231" ht="14.2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</row>
    <row r="232" ht="14.2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</row>
    <row r="233" ht="14.2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</row>
    <row r="234" ht="14.2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</row>
    <row r="235" ht="14.2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</row>
    <row r="236" ht="14.2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</row>
    <row r="237" ht="14.2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</row>
    <row r="238" ht="14.2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</row>
    <row r="239" ht="14.2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</row>
    <row r="240" ht="14.2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</row>
    <row r="241" ht="14.2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</row>
    <row r="242" ht="14.2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</row>
    <row r="243" ht="14.2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</row>
    <row r="244" ht="14.2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</row>
    <row r="245" ht="14.2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</row>
    <row r="246" ht="14.2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</row>
    <row r="247" ht="14.2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</row>
    <row r="248" ht="14.2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</row>
    <row r="249" ht="14.2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</row>
    <row r="250" ht="14.2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</row>
    <row r="251" ht="14.2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</row>
    <row r="252" ht="14.2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</row>
    <row r="253" ht="14.2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</row>
    <row r="254" ht="14.2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</row>
    <row r="255" ht="14.2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</row>
    <row r="256" ht="14.2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</row>
    <row r="257" ht="14.2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</row>
    <row r="258" ht="14.2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</row>
    <row r="259" ht="14.2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</row>
    <row r="260" ht="14.2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</row>
    <row r="261" ht="14.2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</row>
    <row r="262" ht="14.2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</row>
    <row r="263" ht="14.2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</row>
    <row r="264" ht="14.2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</row>
    <row r="265" ht="14.2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</row>
    <row r="266" ht="14.2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</row>
    <row r="267" ht="14.2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</row>
    <row r="268" ht="14.2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</row>
    <row r="269" ht="14.2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</row>
    <row r="270" ht="14.2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</row>
    <row r="271" ht="14.25" customHeight="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</row>
    <row r="272" ht="14.25" customHeight="1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</row>
    <row r="273" ht="14.25" customHeight="1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</row>
    <row r="274" ht="14.25" customHeight="1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</row>
    <row r="275" ht="14.25" customHeight="1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</row>
    <row r="276" ht="14.25" customHeight="1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</row>
    <row r="277" ht="14.25" customHeight="1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</row>
    <row r="278" ht="14.25" customHeight="1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</row>
    <row r="279" ht="14.25" customHeight="1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</row>
    <row r="280" ht="14.25" customHeight="1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</row>
    <row r="281" ht="14.25" customHeight="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</row>
    <row r="282" ht="14.25" customHeight="1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</row>
    <row r="283" ht="14.25" customHeight="1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</row>
    <row r="284" ht="14.25" customHeight="1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</row>
    <row r="285" ht="14.25" customHeight="1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</row>
    <row r="286" ht="14.25" customHeight="1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</row>
    <row r="287" ht="14.25" customHeight="1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</row>
    <row r="288" ht="14.25" customHeight="1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</row>
    <row r="289" ht="14.25" customHeight="1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</row>
    <row r="290" ht="14.25" customHeight="1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</row>
    <row r="291" ht="14.25" customHeight="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</row>
    <row r="292" ht="14.25" customHeight="1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</row>
    <row r="293" ht="14.25" customHeight="1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</row>
    <row r="294" ht="14.25" customHeight="1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</row>
    <row r="295" ht="14.25" customHeight="1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</row>
    <row r="296" ht="14.25" customHeight="1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</row>
    <row r="297" ht="14.25" customHeight="1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</row>
    <row r="298" ht="14.25" customHeight="1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</row>
    <row r="299" ht="14.25" customHeight="1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</row>
    <row r="300" ht="14.25" customHeight="1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</row>
    <row r="301" ht="14.25" customHeight="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</row>
    <row r="302" ht="14.25" customHeight="1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</row>
    <row r="303" ht="14.25" customHeight="1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</row>
    <row r="304" ht="14.25" customHeight="1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</row>
    <row r="305" ht="14.25" customHeight="1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</row>
    <row r="306" ht="14.25" customHeight="1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</row>
    <row r="307" ht="14.25" customHeight="1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</row>
    <row r="308" ht="14.25" customHeight="1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</row>
    <row r="309" ht="14.25" customHeight="1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</row>
    <row r="310" ht="14.25" customHeight="1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</row>
    <row r="311" ht="14.25" customHeight="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</row>
    <row r="312" ht="14.25" customHeight="1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</row>
    <row r="313" ht="14.25" customHeight="1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</row>
    <row r="314" ht="14.25" customHeight="1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</row>
    <row r="315" ht="14.25" customHeight="1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</row>
    <row r="316" ht="14.25" customHeight="1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</row>
    <row r="317" ht="14.25" customHeight="1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</row>
    <row r="318" ht="14.25" customHeight="1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</row>
    <row r="319" ht="14.25" customHeight="1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</row>
    <row r="320" ht="14.25" customHeight="1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</row>
    <row r="321" ht="14.25" customHeight="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</row>
    <row r="322" ht="14.25" customHeight="1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</row>
    <row r="323" ht="14.25" customHeight="1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</row>
    <row r="324" ht="14.25" customHeight="1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</row>
    <row r="325" ht="14.25" customHeight="1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</row>
    <row r="326" ht="14.25" customHeight="1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</row>
    <row r="327" ht="14.25" customHeight="1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</row>
    <row r="328" ht="14.25" customHeight="1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</row>
    <row r="329" ht="14.25" customHeight="1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</row>
    <row r="330" ht="14.25" customHeight="1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</row>
    <row r="331" ht="14.25" customHeight="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</row>
    <row r="332" ht="14.25" customHeight="1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</row>
    <row r="333" ht="14.25" customHeight="1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</row>
    <row r="334" ht="14.25" customHeight="1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</row>
    <row r="335" ht="14.25" customHeight="1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</row>
    <row r="336" ht="14.25" customHeight="1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</row>
    <row r="337" ht="14.25" customHeight="1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</row>
    <row r="338" ht="14.25" customHeight="1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</row>
    <row r="339" ht="14.25" customHeight="1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</row>
    <row r="340" ht="14.25" customHeight="1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</row>
    <row r="341" ht="14.25" customHeight="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</row>
    <row r="342" ht="14.25" customHeight="1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</row>
    <row r="343" ht="14.25" customHeight="1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</row>
    <row r="344" ht="14.25" customHeight="1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</row>
    <row r="345" ht="14.25" customHeight="1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</row>
    <row r="346" ht="14.25" customHeight="1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</row>
    <row r="347" ht="14.25" customHeight="1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</row>
    <row r="348" ht="14.25" customHeight="1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</row>
    <row r="349" ht="14.25" customHeight="1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</row>
    <row r="350" ht="14.25" customHeight="1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</row>
    <row r="351" ht="14.25" customHeight="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</row>
    <row r="352" ht="14.25" customHeight="1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</row>
    <row r="353" ht="14.25" customHeight="1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</row>
    <row r="354" ht="14.25" customHeight="1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</row>
    <row r="355" ht="14.25" customHeight="1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</row>
    <row r="356" ht="14.25" customHeight="1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</row>
    <row r="357" ht="14.25" customHeight="1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</row>
    <row r="358" ht="14.25" customHeight="1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</row>
    <row r="359" ht="14.25" customHeight="1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</row>
    <row r="360" ht="14.25" customHeight="1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</row>
    <row r="361" ht="14.25" customHeight="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</row>
    <row r="362" ht="14.25" customHeight="1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</row>
    <row r="363" ht="14.25" customHeight="1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</row>
    <row r="364" ht="14.25" customHeight="1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</row>
    <row r="365" ht="14.25" customHeight="1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</row>
    <row r="366" ht="14.25" customHeight="1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</row>
    <row r="367" ht="14.25" customHeight="1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</row>
    <row r="368" ht="14.25" customHeight="1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</row>
    <row r="369" ht="14.25" customHeight="1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</row>
    <row r="370" ht="14.25" customHeight="1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</row>
    <row r="371" ht="14.25" customHeight="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</row>
    <row r="372" ht="14.25" customHeight="1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</row>
    <row r="373" ht="14.25" customHeight="1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</row>
    <row r="374" ht="14.25" customHeight="1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</row>
    <row r="375" ht="14.25" customHeight="1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</row>
    <row r="376" ht="14.25" customHeight="1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</row>
    <row r="377" ht="14.25" customHeight="1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</row>
    <row r="378" ht="14.25" customHeight="1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</row>
    <row r="379" ht="14.25" customHeight="1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</row>
    <row r="380" ht="14.25" customHeight="1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</row>
    <row r="381" ht="14.25" customHeight="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</row>
    <row r="382" ht="14.25" customHeight="1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</row>
    <row r="383" ht="14.25" customHeight="1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</row>
    <row r="384" ht="14.25" customHeight="1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</row>
    <row r="385" ht="14.25" customHeight="1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</row>
    <row r="386" ht="14.25" customHeight="1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</row>
    <row r="387" ht="14.25" customHeight="1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</row>
    <row r="388" ht="14.25" customHeight="1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</row>
    <row r="389" ht="14.25" customHeight="1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</row>
    <row r="390" ht="14.25" customHeight="1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</row>
    <row r="391" ht="14.25" customHeight="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</row>
    <row r="392" ht="14.25" customHeight="1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</row>
    <row r="393" ht="14.25" customHeight="1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</row>
    <row r="394" ht="14.25" customHeight="1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</row>
    <row r="395" ht="14.25" customHeight="1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</row>
    <row r="396" ht="14.25" customHeight="1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</row>
    <row r="397" ht="14.25" customHeight="1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</row>
    <row r="398" ht="14.25" customHeight="1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</row>
    <row r="399" ht="14.25" customHeight="1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</row>
    <row r="400" ht="14.25" customHeight="1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</row>
    <row r="401" ht="14.25" customHeight="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</row>
    <row r="402" ht="14.25" customHeight="1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</row>
    <row r="403" ht="14.25" customHeight="1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</row>
    <row r="404" ht="14.25" customHeight="1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</row>
    <row r="405" ht="14.25" customHeight="1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</row>
    <row r="406" ht="14.25" customHeight="1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</row>
    <row r="407" ht="14.25" customHeight="1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</row>
    <row r="408" ht="14.25" customHeight="1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</row>
    <row r="409" ht="14.25" customHeight="1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</row>
    <row r="410" ht="14.25" customHeight="1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</row>
    <row r="411" ht="14.25" customHeight="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</row>
    <row r="412" ht="14.25" customHeight="1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</row>
    <row r="413" ht="14.25" customHeight="1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</row>
    <row r="414" ht="14.25" customHeight="1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</row>
    <row r="415" ht="14.25" customHeight="1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</row>
    <row r="416" ht="14.25" customHeight="1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</row>
    <row r="417" ht="14.25" customHeight="1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</row>
    <row r="418" ht="14.25" customHeight="1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</row>
    <row r="419" ht="14.25" customHeight="1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</row>
    <row r="420" ht="14.25" customHeight="1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</row>
    <row r="421" ht="14.25" customHeight="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</row>
    <row r="422" ht="14.25" customHeight="1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</row>
    <row r="423" ht="14.25" customHeight="1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</row>
    <row r="424" ht="14.25" customHeight="1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</row>
    <row r="425" ht="14.25" customHeight="1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</row>
    <row r="426" ht="14.25" customHeight="1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</row>
    <row r="427" ht="14.25" customHeight="1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</row>
    <row r="428" ht="14.25" customHeight="1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</row>
    <row r="429" ht="14.25" customHeight="1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</row>
    <row r="430" ht="14.25" customHeight="1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</row>
    <row r="431" ht="14.25" customHeight="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</row>
    <row r="432" ht="14.25" customHeight="1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</row>
    <row r="433" ht="14.25" customHeight="1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</row>
    <row r="434" ht="14.25" customHeight="1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</row>
    <row r="435" ht="14.25" customHeight="1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</row>
    <row r="436" ht="14.25" customHeight="1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</row>
    <row r="437" ht="14.25" customHeight="1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</row>
    <row r="438" ht="14.25" customHeight="1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</row>
    <row r="439" ht="14.25" customHeight="1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</row>
    <row r="440" ht="14.25" customHeight="1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</row>
    <row r="441" ht="14.25" customHeight="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</row>
    <row r="442" ht="14.25" customHeight="1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</row>
    <row r="443" ht="14.25" customHeight="1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</row>
    <row r="444" ht="14.25" customHeight="1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</row>
    <row r="445" ht="14.25" customHeight="1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</row>
    <row r="446" ht="14.25" customHeight="1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</row>
    <row r="447" ht="14.25" customHeight="1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</row>
    <row r="448" ht="14.25" customHeight="1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</row>
    <row r="449" ht="14.25" customHeight="1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</row>
    <row r="450" ht="14.25" customHeight="1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</row>
    <row r="451" ht="14.25" customHeight="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</row>
    <row r="452" ht="14.25" customHeight="1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</row>
    <row r="453" ht="14.25" customHeight="1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</row>
    <row r="454" ht="14.25" customHeight="1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</row>
    <row r="455" ht="14.25" customHeight="1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</row>
    <row r="456" ht="14.25" customHeight="1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</row>
    <row r="457" ht="14.25" customHeight="1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</row>
    <row r="458" ht="14.25" customHeight="1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</row>
    <row r="459" ht="14.25" customHeight="1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</row>
    <row r="460" ht="14.25" customHeight="1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</row>
    <row r="461" ht="14.25" customHeight="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</row>
    <row r="462" ht="14.25" customHeight="1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</row>
    <row r="463" ht="14.25" customHeight="1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</row>
    <row r="464" ht="14.25" customHeight="1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</row>
    <row r="465" ht="14.25" customHeight="1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</row>
    <row r="466" ht="14.25" customHeight="1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</row>
    <row r="467" ht="14.25" customHeight="1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</row>
    <row r="468" ht="14.25" customHeight="1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</row>
    <row r="469" ht="14.25" customHeight="1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</row>
    <row r="470" ht="14.25" customHeight="1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</row>
    <row r="471" ht="14.25" customHeight="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</row>
    <row r="472" ht="14.25" customHeight="1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</row>
    <row r="473" ht="14.25" customHeight="1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</row>
    <row r="474" ht="14.25" customHeight="1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</row>
    <row r="475" ht="14.25" customHeight="1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</row>
    <row r="476" ht="14.25" customHeight="1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</row>
    <row r="477" ht="14.25" customHeight="1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</row>
    <row r="478" ht="14.25" customHeight="1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</row>
    <row r="479" ht="14.25" customHeight="1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</row>
    <row r="480" ht="14.25" customHeight="1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</row>
    <row r="481" ht="14.25" customHeight="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</row>
    <row r="482" ht="14.25" customHeight="1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</row>
    <row r="483" ht="14.25" customHeight="1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</row>
    <row r="484" ht="14.25" customHeight="1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</row>
    <row r="485" ht="14.25" customHeight="1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</row>
    <row r="486" ht="14.25" customHeight="1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</row>
    <row r="487" ht="14.25" customHeight="1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</row>
    <row r="488" ht="14.25" customHeight="1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</row>
    <row r="489" ht="14.25" customHeight="1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</row>
    <row r="490" ht="14.25" customHeight="1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</row>
    <row r="491" ht="14.25" customHeight="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</row>
    <row r="492" ht="14.25" customHeight="1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</row>
    <row r="493" ht="14.25" customHeight="1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</row>
    <row r="494" ht="14.25" customHeight="1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</row>
    <row r="495" ht="14.25" customHeight="1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</row>
    <row r="496" ht="14.25" customHeight="1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</row>
    <row r="497" ht="14.25" customHeight="1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</row>
    <row r="498" ht="14.25" customHeight="1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</row>
    <row r="499" ht="14.25" customHeight="1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</row>
    <row r="500" ht="14.25" customHeight="1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</row>
    <row r="501" ht="14.25" customHeight="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</row>
    <row r="502" ht="14.25" customHeight="1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</row>
    <row r="503" ht="14.25" customHeight="1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</row>
    <row r="504" ht="14.25" customHeight="1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</row>
    <row r="505" ht="14.25" customHeight="1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</row>
    <row r="506" ht="14.25" customHeight="1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</row>
    <row r="507" ht="14.25" customHeight="1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</row>
    <row r="508" ht="14.25" customHeight="1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</row>
    <row r="509" ht="14.25" customHeight="1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</row>
    <row r="510" ht="14.25" customHeight="1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</row>
    <row r="511" ht="14.25" customHeight="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</row>
    <row r="512" ht="14.25" customHeight="1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</row>
    <row r="513" ht="14.25" customHeight="1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</row>
    <row r="514" ht="14.25" customHeight="1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</row>
    <row r="515" ht="14.25" customHeight="1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</row>
    <row r="516" ht="14.25" customHeight="1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</row>
    <row r="517" ht="14.25" customHeight="1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</row>
    <row r="518" ht="14.25" customHeight="1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</row>
    <row r="519" ht="14.25" customHeight="1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</row>
    <row r="520" ht="14.25" customHeight="1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</row>
    <row r="521" ht="14.25" customHeight="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</row>
    <row r="522" ht="14.25" customHeight="1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</row>
    <row r="523" ht="14.25" customHeight="1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</row>
    <row r="524" ht="14.25" customHeight="1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</row>
    <row r="525" ht="14.25" customHeight="1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</row>
    <row r="526" ht="14.25" customHeight="1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</row>
    <row r="527" ht="14.25" customHeight="1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</row>
    <row r="528" ht="14.25" customHeight="1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</row>
    <row r="529" ht="14.25" customHeight="1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</row>
    <row r="530" ht="14.25" customHeight="1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</row>
    <row r="531" ht="14.25" customHeight="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</row>
    <row r="532" ht="14.25" customHeight="1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</row>
    <row r="533" ht="14.25" customHeight="1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</row>
    <row r="534" ht="14.25" customHeight="1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</row>
    <row r="535" ht="14.25" customHeight="1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</row>
    <row r="536" ht="14.25" customHeight="1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</row>
    <row r="537" ht="14.25" customHeight="1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</row>
    <row r="538" ht="14.25" customHeight="1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</row>
    <row r="539" ht="14.25" customHeight="1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</row>
    <row r="540" ht="14.25" customHeight="1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</row>
    <row r="541" ht="14.25" customHeight="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</row>
    <row r="542" ht="14.25" customHeight="1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</row>
    <row r="543" ht="14.25" customHeight="1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</row>
    <row r="544" ht="14.25" customHeight="1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</row>
    <row r="545" ht="14.25" customHeight="1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</row>
    <row r="546" ht="14.25" customHeight="1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</row>
    <row r="547" ht="14.25" customHeight="1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</row>
    <row r="548" ht="14.25" customHeight="1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</row>
    <row r="549" ht="14.25" customHeight="1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</row>
    <row r="550" ht="14.25" customHeight="1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</row>
    <row r="551" ht="14.25" customHeight="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</row>
    <row r="552" ht="14.25" customHeight="1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</row>
    <row r="553" ht="14.25" customHeight="1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</row>
    <row r="554" ht="14.25" customHeight="1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</row>
    <row r="555" ht="14.25" customHeight="1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</row>
    <row r="556" ht="14.25" customHeight="1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</row>
    <row r="557" ht="14.25" customHeight="1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</row>
    <row r="558" ht="14.25" customHeight="1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</row>
    <row r="559" ht="14.25" customHeight="1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</row>
    <row r="560" ht="14.25" customHeight="1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</row>
    <row r="561" ht="14.25" customHeight="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</row>
    <row r="562" ht="14.25" customHeight="1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</row>
    <row r="563" ht="14.25" customHeight="1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</row>
    <row r="564" ht="14.25" customHeight="1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</row>
    <row r="565" ht="14.25" customHeight="1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</row>
    <row r="566" ht="14.25" customHeight="1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</row>
    <row r="567" ht="14.25" customHeight="1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</row>
    <row r="568" ht="14.25" customHeight="1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</row>
    <row r="569" ht="14.25" customHeight="1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</row>
    <row r="570" ht="14.25" customHeight="1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</row>
    <row r="571" ht="14.25" customHeight="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</row>
    <row r="572" ht="14.25" customHeight="1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</row>
    <row r="573" ht="14.25" customHeight="1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</row>
    <row r="574" ht="14.25" customHeight="1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</row>
    <row r="575" ht="14.25" customHeight="1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</row>
    <row r="576" ht="14.25" customHeight="1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</row>
    <row r="577" ht="14.25" customHeight="1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</row>
    <row r="578" ht="14.25" customHeight="1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</row>
    <row r="579" ht="14.25" customHeight="1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</row>
    <row r="580" ht="14.25" customHeight="1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</row>
    <row r="581" ht="14.25" customHeight="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</row>
    <row r="582" ht="14.25" customHeight="1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</row>
    <row r="583" ht="14.25" customHeight="1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</row>
    <row r="584" ht="14.25" customHeight="1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</row>
    <row r="585" ht="14.25" customHeight="1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</row>
    <row r="586" ht="14.25" customHeight="1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</row>
    <row r="587" ht="14.25" customHeight="1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</row>
    <row r="588" ht="14.25" customHeight="1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</row>
    <row r="589" ht="14.25" customHeight="1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</row>
    <row r="590" ht="14.25" customHeight="1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</row>
    <row r="591" ht="14.25" customHeight="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</row>
    <row r="592" ht="14.25" customHeight="1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</row>
    <row r="593" ht="14.25" customHeight="1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</row>
    <row r="594" ht="14.25" customHeight="1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</row>
    <row r="595" ht="14.25" customHeight="1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</row>
    <row r="596" ht="14.25" customHeight="1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</row>
    <row r="597" ht="14.25" customHeight="1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</row>
    <row r="598" ht="14.25" customHeight="1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</row>
    <row r="599" ht="14.25" customHeight="1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</row>
    <row r="600" ht="14.25" customHeight="1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</row>
    <row r="601" ht="14.25" customHeight="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</row>
    <row r="602" ht="14.25" customHeight="1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</row>
    <row r="603" ht="14.25" customHeight="1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</row>
    <row r="604" ht="14.25" customHeight="1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</row>
    <row r="605" ht="14.25" customHeight="1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</row>
    <row r="606" ht="14.25" customHeight="1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</row>
    <row r="607" ht="14.25" customHeight="1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</row>
    <row r="608" ht="14.25" customHeight="1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</row>
    <row r="609" ht="14.25" customHeight="1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</row>
    <row r="610" ht="14.25" customHeight="1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</row>
    <row r="611" ht="14.25" customHeight="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</row>
    <row r="612" ht="14.25" customHeight="1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</row>
    <row r="613" ht="14.25" customHeight="1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</row>
    <row r="614" ht="14.25" customHeight="1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</row>
    <row r="615" ht="14.25" customHeight="1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</row>
    <row r="616" ht="14.25" customHeight="1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</row>
    <row r="617" ht="14.25" customHeight="1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</row>
    <row r="618" ht="14.25" customHeight="1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</row>
    <row r="619" ht="14.25" customHeight="1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</row>
    <row r="620" ht="14.25" customHeight="1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</row>
    <row r="621" ht="14.25" customHeight="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</row>
    <row r="622" ht="14.25" customHeight="1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</row>
    <row r="623" ht="14.25" customHeight="1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</row>
    <row r="624" ht="14.25" customHeight="1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</row>
    <row r="625" ht="14.25" customHeight="1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</row>
    <row r="626" ht="14.25" customHeight="1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</row>
    <row r="627" ht="14.25" customHeight="1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</row>
    <row r="628" ht="14.25" customHeight="1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</row>
    <row r="629" ht="14.25" customHeight="1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</row>
    <row r="630" ht="14.25" customHeight="1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</row>
    <row r="631" ht="14.25" customHeight="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</row>
    <row r="632" ht="14.25" customHeight="1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</row>
    <row r="633" ht="14.25" customHeight="1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</row>
    <row r="634" ht="14.25" customHeight="1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</row>
    <row r="635" ht="14.25" customHeight="1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</row>
    <row r="636" ht="14.25" customHeight="1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</row>
    <row r="637" ht="14.25" customHeight="1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</row>
    <row r="638" ht="14.25" customHeight="1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</row>
    <row r="639" ht="14.25" customHeight="1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</row>
    <row r="640" ht="14.25" customHeight="1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</row>
    <row r="641" ht="14.25" customHeight="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</row>
    <row r="642" ht="14.25" customHeight="1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</row>
    <row r="643" ht="14.25" customHeight="1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</row>
    <row r="644" ht="14.25" customHeight="1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</row>
    <row r="645" ht="14.25" customHeight="1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</row>
    <row r="646" ht="14.25" customHeight="1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</row>
    <row r="647" ht="14.25" customHeight="1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</row>
    <row r="648" ht="14.25" customHeight="1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</row>
    <row r="649" ht="14.25" customHeight="1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</row>
    <row r="650" ht="14.25" customHeight="1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</row>
    <row r="651" ht="14.25" customHeight="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</row>
    <row r="652" ht="14.25" customHeight="1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</row>
    <row r="653" ht="14.25" customHeight="1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</row>
    <row r="654" ht="14.25" customHeight="1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</row>
    <row r="655" ht="14.25" customHeight="1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</row>
    <row r="656" ht="14.25" customHeight="1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</row>
    <row r="657" ht="14.25" customHeight="1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</row>
    <row r="658" ht="14.25" customHeight="1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</row>
    <row r="659" ht="14.25" customHeight="1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</row>
    <row r="660" ht="14.25" customHeight="1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</row>
    <row r="661" ht="14.25" customHeight="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</row>
    <row r="662" ht="14.25" customHeight="1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</row>
    <row r="663" ht="14.25" customHeight="1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</row>
    <row r="664" ht="14.25" customHeight="1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</row>
    <row r="665" ht="14.25" customHeight="1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</row>
    <row r="666" ht="14.25" customHeight="1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</row>
    <row r="667" ht="14.25" customHeight="1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</row>
    <row r="668" ht="14.25" customHeight="1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</row>
    <row r="669" ht="14.25" customHeight="1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</row>
    <row r="670" ht="14.25" customHeight="1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</row>
    <row r="671" ht="14.25" customHeight="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</row>
    <row r="672" ht="14.25" customHeight="1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</row>
    <row r="673" ht="14.25" customHeight="1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</row>
    <row r="674" ht="14.25" customHeight="1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</row>
    <row r="675" ht="14.25" customHeight="1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</row>
    <row r="676" ht="14.25" customHeight="1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</row>
    <row r="677" ht="14.25" customHeight="1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</row>
    <row r="678" ht="14.25" customHeight="1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</row>
    <row r="679" ht="14.25" customHeight="1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</row>
    <row r="680" ht="14.25" customHeight="1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</row>
    <row r="681" ht="14.25" customHeight="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</row>
    <row r="682" ht="14.25" customHeight="1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</row>
    <row r="683" ht="14.25" customHeight="1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</row>
    <row r="684" ht="14.25" customHeight="1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</row>
    <row r="685" ht="14.25" customHeight="1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</row>
    <row r="686" ht="14.25" customHeight="1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</row>
    <row r="687" ht="14.25" customHeight="1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</row>
    <row r="688" ht="14.25" customHeight="1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</row>
    <row r="689" ht="14.25" customHeight="1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</row>
    <row r="690" ht="14.25" customHeight="1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</row>
    <row r="691" ht="14.25" customHeight="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</row>
    <row r="692" ht="14.25" customHeight="1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</row>
    <row r="693" ht="14.25" customHeight="1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</row>
    <row r="694" ht="14.25" customHeight="1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</row>
    <row r="695" ht="14.25" customHeight="1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</row>
    <row r="696" ht="14.25" customHeight="1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</row>
    <row r="697" ht="14.25" customHeight="1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</row>
    <row r="698" ht="14.25" customHeight="1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</row>
    <row r="699" ht="14.25" customHeight="1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</row>
    <row r="700" ht="14.25" customHeight="1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</row>
    <row r="701" ht="14.25" customHeight="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</row>
    <row r="702" ht="14.25" customHeight="1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</row>
    <row r="703" ht="14.25" customHeight="1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</row>
    <row r="704" ht="14.25" customHeight="1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</row>
    <row r="705" ht="14.25" customHeight="1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</row>
    <row r="706" ht="14.25" customHeight="1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</row>
    <row r="707" ht="14.25" customHeight="1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</row>
    <row r="708" ht="14.25" customHeight="1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</row>
    <row r="709" ht="14.25" customHeight="1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</row>
    <row r="710" ht="14.25" customHeight="1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</row>
    <row r="711" ht="14.25" customHeight="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</row>
    <row r="712" ht="14.25" customHeight="1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</row>
    <row r="713" ht="14.25" customHeight="1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</row>
    <row r="714" ht="14.25" customHeight="1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</row>
    <row r="715" ht="14.25" customHeight="1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</row>
    <row r="716" ht="14.25" customHeight="1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</row>
    <row r="717" ht="14.25" customHeight="1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</row>
    <row r="718" ht="14.25" customHeight="1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</row>
    <row r="719" ht="14.25" customHeight="1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</row>
    <row r="720" ht="14.25" customHeight="1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</row>
    <row r="721" ht="14.25" customHeight="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</row>
    <row r="722" ht="14.25" customHeight="1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</row>
    <row r="723" ht="14.25" customHeight="1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</row>
    <row r="724" ht="14.25" customHeight="1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</row>
    <row r="725" ht="14.25" customHeight="1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</row>
    <row r="726" ht="14.25" customHeight="1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</row>
    <row r="727" ht="14.25" customHeight="1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</row>
    <row r="728" ht="14.25" customHeight="1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</row>
    <row r="729" ht="14.25" customHeight="1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</row>
    <row r="730" ht="14.25" customHeight="1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</row>
    <row r="731" ht="14.25" customHeight="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</row>
    <row r="732" ht="14.25" customHeight="1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</row>
    <row r="733" ht="14.25" customHeight="1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</row>
    <row r="734" ht="14.25" customHeight="1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</row>
    <row r="735" ht="14.25" customHeight="1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</row>
    <row r="736" ht="14.25" customHeight="1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</row>
    <row r="737" ht="14.25" customHeight="1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</row>
    <row r="738" ht="14.25" customHeight="1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</row>
    <row r="739" ht="14.25" customHeight="1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</row>
    <row r="740" ht="14.25" customHeight="1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</row>
    <row r="741" ht="14.25" customHeight="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</row>
    <row r="742" ht="14.25" customHeight="1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</row>
    <row r="743" ht="14.25" customHeight="1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</row>
    <row r="744" ht="14.25" customHeight="1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</row>
    <row r="745" ht="14.25" customHeight="1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</row>
    <row r="746" ht="14.25" customHeight="1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</row>
    <row r="747" ht="14.25" customHeight="1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</row>
    <row r="748" ht="14.25" customHeight="1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</row>
    <row r="749" ht="14.25" customHeight="1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</row>
    <row r="750" ht="14.25" customHeight="1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</row>
    <row r="751" ht="14.25" customHeight="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</row>
    <row r="752" ht="14.25" customHeight="1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</row>
    <row r="753" ht="14.25" customHeight="1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</row>
    <row r="754" ht="14.25" customHeight="1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</row>
    <row r="755" ht="14.25" customHeight="1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</row>
    <row r="756" ht="14.25" customHeight="1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</row>
    <row r="757" ht="14.25" customHeight="1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</row>
    <row r="758" ht="14.25" customHeight="1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</row>
    <row r="759" ht="14.25" customHeight="1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</row>
    <row r="760" ht="14.25" customHeight="1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</row>
    <row r="761" ht="14.25" customHeight="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</row>
    <row r="762" ht="14.25" customHeight="1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</row>
    <row r="763" ht="14.25" customHeight="1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</row>
    <row r="764" ht="14.25" customHeight="1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</row>
    <row r="765" ht="14.25" customHeight="1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</row>
    <row r="766" ht="14.25" customHeight="1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</row>
    <row r="767" ht="14.25" customHeight="1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</row>
    <row r="768" ht="14.25" customHeight="1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</row>
    <row r="769" ht="14.25" customHeight="1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</row>
    <row r="770" ht="14.25" customHeight="1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</row>
    <row r="771" ht="14.25" customHeight="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</row>
    <row r="772" ht="14.25" customHeight="1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</row>
    <row r="773" ht="14.25" customHeight="1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</row>
    <row r="774" ht="14.25" customHeight="1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</row>
    <row r="775" ht="14.25" customHeight="1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</row>
    <row r="776" ht="14.25" customHeight="1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</row>
    <row r="777" ht="14.25" customHeight="1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</row>
    <row r="778" ht="14.25" customHeight="1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</row>
    <row r="779" ht="14.25" customHeight="1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</row>
    <row r="780" ht="14.25" customHeight="1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</row>
    <row r="781" ht="14.25" customHeight="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</row>
    <row r="782" ht="14.25" customHeight="1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</row>
    <row r="783" ht="14.25" customHeight="1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</row>
    <row r="784" ht="14.25" customHeight="1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</row>
    <row r="785" ht="14.25" customHeight="1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</row>
    <row r="786" ht="14.25" customHeight="1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</row>
    <row r="787" ht="14.25" customHeight="1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</row>
    <row r="788" ht="14.25" customHeight="1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</row>
    <row r="789" ht="14.25" customHeight="1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</row>
    <row r="790" ht="14.25" customHeight="1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</row>
    <row r="791" ht="14.25" customHeight="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</row>
    <row r="792" ht="14.25" customHeight="1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</row>
    <row r="793" ht="14.25" customHeight="1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</row>
    <row r="794" ht="14.25" customHeight="1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</row>
    <row r="795" ht="14.25" customHeight="1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</row>
    <row r="796" ht="14.25" customHeight="1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</row>
    <row r="797" ht="14.25" customHeight="1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</row>
    <row r="798" ht="14.25" customHeight="1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</row>
    <row r="799" ht="14.25" customHeight="1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</row>
    <row r="800" ht="14.25" customHeight="1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</row>
    <row r="801" ht="14.25" customHeight="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</row>
    <row r="802" ht="14.25" customHeight="1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</row>
    <row r="803" ht="14.25" customHeight="1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</row>
    <row r="804" ht="14.25" customHeight="1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</row>
    <row r="805" ht="14.25" customHeight="1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</row>
    <row r="806" ht="14.25" customHeight="1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</row>
    <row r="807" ht="14.25" customHeight="1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</row>
    <row r="808" ht="14.25" customHeight="1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</row>
    <row r="809" ht="14.25" customHeight="1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</row>
    <row r="810" ht="14.25" customHeight="1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</row>
    <row r="811" ht="14.25" customHeight="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</row>
    <row r="812" ht="14.25" customHeight="1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</row>
    <row r="813" ht="14.25" customHeight="1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</row>
    <row r="814" ht="14.25" customHeight="1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</row>
    <row r="815" ht="14.25" customHeight="1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</row>
    <row r="816" ht="14.25" customHeight="1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</row>
    <row r="817" ht="14.25" customHeight="1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</row>
    <row r="818" ht="14.25" customHeight="1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</row>
    <row r="819" ht="14.25" customHeight="1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</row>
    <row r="820" ht="14.25" customHeight="1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</row>
    <row r="821" ht="14.25" customHeight="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</row>
    <row r="822" ht="14.25" customHeight="1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</row>
    <row r="823" ht="14.25" customHeight="1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</row>
    <row r="824" ht="14.25" customHeight="1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</row>
    <row r="825" ht="14.25" customHeight="1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</row>
    <row r="826" ht="14.25" customHeight="1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</row>
    <row r="827" ht="14.25" customHeight="1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</row>
    <row r="828" ht="14.25" customHeight="1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</row>
    <row r="829" ht="14.25" customHeight="1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</row>
    <row r="830" ht="14.25" customHeight="1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</row>
    <row r="831" ht="14.25" customHeight="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</row>
    <row r="832" ht="14.25" customHeight="1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</row>
    <row r="833" ht="14.25" customHeight="1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</row>
    <row r="834" ht="14.25" customHeight="1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</row>
    <row r="835" ht="14.25" customHeight="1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</row>
    <row r="836" ht="14.25" customHeight="1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</row>
    <row r="837" ht="14.25" customHeight="1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</row>
    <row r="838" ht="14.25" customHeight="1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</row>
    <row r="839" ht="14.25" customHeight="1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</row>
    <row r="840" ht="14.25" customHeight="1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</row>
    <row r="841" ht="14.25" customHeight="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</row>
    <row r="842" ht="14.25" customHeight="1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</row>
    <row r="843" ht="14.25" customHeight="1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</row>
    <row r="844" ht="14.25" customHeight="1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</row>
    <row r="845" ht="14.25" customHeight="1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</row>
    <row r="846" ht="14.25" customHeight="1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</row>
    <row r="847" ht="14.25" customHeight="1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</row>
    <row r="848" ht="14.25" customHeight="1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</row>
    <row r="849" ht="14.25" customHeight="1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</row>
    <row r="850" ht="14.25" customHeight="1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</row>
    <row r="851" ht="14.25" customHeight="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</row>
    <row r="852" ht="14.25" customHeight="1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</row>
    <row r="853" ht="14.25" customHeight="1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</row>
    <row r="854" ht="14.25" customHeight="1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</row>
    <row r="855" ht="14.25" customHeight="1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</row>
    <row r="856" ht="14.25" customHeight="1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</row>
    <row r="857" ht="14.25" customHeight="1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</row>
    <row r="858" ht="14.25" customHeight="1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</row>
    <row r="859" ht="14.25" customHeight="1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</row>
    <row r="860" ht="14.25" customHeight="1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</row>
    <row r="861" ht="14.25" customHeight="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</row>
    <row r="862" ht="14.25" customHeight="1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</row>
    <row r="863" ht="14.25" customHeight="1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</row>
    <row r="864" ht="14.25" customHeight="1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</row>
    <row r="865" ht="14.25" customHeight="1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</row>
    <row r="866" ht="14.25" customHeight="1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</row>
    <row r="867" ht="14.25" customHeight="1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</row>
    <row r="868" ht="14.25" customHeight="1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</row>
    <row r="869" ht="14.25" customHeight="1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</row>
    <row r="870" ht="14.25" customHeight="1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</row>
    <row r="871" ht="14.25" customHeight="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</row>
    <row r="872" ht="14.25" customHeight="1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</row>
    <row r="873" ht="14.25" customHeight="1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</row>
    <row r="874" ht="14.25" customHeight="1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</row>
    <row r="875" ht="14.25" customHeight="1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</row>
    <row r="876" ht="14.25" customHeight="1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</row>
    <row r="877" ht="14.25" customHeight="1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</row>
    <row r="878" ht="14.25" customHeight="1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</row>
    <row r="879" ht="14.25" customHeight="1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</row>
    <row r="880" ht="14.25" customHeight="1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</row>
    <row r="881" ht="14.25" customHeight="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</row>
    <row r="882" ht="14.25" customHeight="1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</row>
    <row r="883" ht="14.25" customHeight="1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</row>
    <row r="884" ht="14.25" customHeight="1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</row>
    <row r="885" ht="14.25" customHeight="1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</row>
    <row r="886" ht="14.25" customHeight="1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</row>
    <row r="887" ht="14.25" customHeight="1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</row>
    <row r="888" ht="14.25" customHeight="1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</row>
    <row r="889" ht="14.25" customHeight="1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</row>
    <row r="890" ht="14.25" customHeight="1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</row>
    <row r="891" ht="14.25" customHeight="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</row>
    <row r="892" ht="14.25" customHeight="1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</row>
    <row r="893" ht="14.25" customHeight="1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</row>
    <row r="894" ht="14.25" customHeight="1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</row>
    <row r="895" ht="14.25" customHeight="1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</row>
    <row r="896" ht="14.25" customHeight="1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</row>
    <row r="897" ht="14.25" customHeight="1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</row>
    <row r="898" ht="14.25" customHeight="1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</row>
    <row r="899" ht="14.25" customHeight="1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</row>
    <row r="900" ht="14.25" customHeight="1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</row>
    <row r="901" ht="14.25" customHeight="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</row>
    <row r="902" ht="14.25" customHeight="1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</row>
    <row r="903" ht="14.25" customHeight="1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</row>
    <row r="904" ht="14.25" customHeight="1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</row>
    <row r="905" ht="14.25" customHeight="1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</row>
    <row r="906" ht="14.25" customHeight="1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</row>
    <row r="907" ht="14.25" customHeight="1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</row>
    <row r="908" ht="14.25" customHeight="1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</row>
    <row r="909" ht="14.25" customHeight="1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</row>
    <row r="910" ht="14.25" customHeight="1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</row>
    <row r="911" ht="14.25" customHeight="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</row>
    <row r="912" ht="14.25" customHeight="1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</row>
    <row r="913" ht="14.25" customHeight="1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</row>
    <row r="914" ht="14.25" customHeight="1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</row>
    <row r="915" ht="14.25" customHeight="1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</row>
    <row r="916" ht="14.25" customHeight="1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</row>
    <row r="917" ht="14.25" customHeight="1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</row>
    <row r="918" ht="14.25" customHeight="1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</row>
    <row r="919" ht="14.25" customHeight="1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</row>
    <row r="920" ht="14.25" customHeight="1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</row>
    <row r="921" ht="14.25" customHeight="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</row>
    <row r="922" ht="14.25" customHeight="1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</row>
    <row r="923" ht="14.25" customHeight="1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</row>
    <row r="924" ht="14.25" customHeight="1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</row>
    <row r="925" ht="14.25" customHeight="1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</row>
    <row r="926" ht="14.25" customHeight="1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</row>
    <row r="927" ht="14.25" customHeight="1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</row>
    <row r="928" ht="14.25" customHeight="1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</row>
    <row r="929" ht="14.25" customHeight="1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</row>
    <row r="930" ht="14.25" customHeight="1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</row>
    <row r="931" ht="14.25" customHeight="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</row>
    <row r="932" ht="14.25" customHeight="1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</row>
    <row r="933" ht="14.25" customHeight="1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</row>
    <row r="934" ht="14.25" customHeight="1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</row>
    <row r="935" ht="14.25" customHeight="1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</row>
    <row r="936" ht="14.25" customHeight="1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</row>
    <row r="937" ht="14.25" customHeight="1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</row>
    <row r="938" ht="14.25" customHeight="1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</row>
    <row r="939" ht="14.25" customHeight="1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</row>
    <row r="940" ht="14.25" customHeight="1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</row>
    <row r="941" ht="14.25" customHeight="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</row>
    <row r="942" ht="14.25" customHeight="1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</row>
    <row r="943" ht="14.25" customHeight="1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</row>
    <row r="944" ht="14.25" customHeight="1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</row>
    <row r="945" ht="14.25" customHeight="1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</row>
    <row r="946" ht="14.25" customHeight="1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</row>
    <row r="947" ht="14.25" customHeight="1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</row>
    <row r="948" ht="14.25" customHeight="1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</row>
    <row r="949" ht="14.25" customHeight="1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</row>
    <row r="950" ht="14.25" customHeight="1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</row>
    <row r="951" ht="14.25" customHeight="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</row>
    <row r="952" ht="14.25" customHeight="1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</row>
    <row r="953" ht="14.25" customHeight="1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</row>
    <row r="954" ht="14.25" customHeight="1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</row>
    <row r="955" ht="14.25" customHeight="1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</row>
    <row r="956" ht="14.25" customHeight="1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</row>
    <row r="957" ht="14.25" customHeight="1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</row>
    <row r="958" ht="14.25" customHeight="1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</row>
    <row r="959" ht="14.25" customHeight="1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</row>
    <row r="960" ht="14.25" customHeight="1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</row>
    <row r="961" ht="14.25" customHeight="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</row>
    <row r="962" ht="14.25" customHeight="1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</row>
    <row r="963" ht="14.25" customHeight="1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</row>
    <row r="964" ht="14.25" customHeight="1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</row>
    <row r="965" ht="14.25" customHeight="1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</row>
    <row r="966" ht="14.25" customHeight="1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</row>
    <row r="967" ht="14.25" customHeight="1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</row>
    <row r="968" ht="14.25" customHeight="1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</row>
    <row r="969" ht="14.25" customHeight="1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</row>
    <row r="970" ht="14.25" customHeight="1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</row>
    <row r="971" ht="14.25" customHeight="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</row>
    <row r="972" ht="14.25" customHeight="1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</row>
    <row r="973" ht="14.25" customHeight="1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</row>
    <row r="974" ht="14.25" customHeight="1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</row>
    <row r="975" ht="14.25" customHeight="1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</row>
    <row r="976" ht="14.25" customHeight="1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</row>
    <row r="977" ht="14.25" customHeight="1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</row>
    <row r="978" ht="14.25" customHeight="1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</row>
    <row r="979" ht="14.25" customHeight="1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</row>
    <row r="980" ht="14.25" customHeight="1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</row>
    <row r="981" ht="14.25" customHeight="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</row>
    <row r="982" ht="14.25" customHeight="1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</row>
    <row r="983" ht="14.25" customHeight="1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</row>
    <row r="984" ht="14.25" customHeight="1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</row>
    <row r="985" ht="14.25" customHeight="1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</row>
    <row r="986" ht="14.25" customHeight="1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</row>
    <row r="987" ht="14.25" customHeight="1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</row>
    <row r="988" ht="14.25" customHeight="1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</row>
    <row r="989" ht="14.25" customHeight="1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</row>
    <row r="990" ht="14.25" customHeight="1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</row>
    <row r="991" ht="14.25" customHeight="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</row>
    <row r="992" ht="14.25" customHeight="1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</row>
    <row r="993" ht="14.25" customHeight="1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</row>
    <row r="994" ht="14.25" customHeight="1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</row>
    <row r="995" ht="14.25" customHeight="1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</row>
    <row r="996" ht="14.25" customHeight="1">
      <c r="A996" s="208"/>
      <c r="B996" s="208"/>
      <c r="C996" s="208"/>
      <c r="D996" s="208"/>
      <c r="E996" s="208"/>
      <c r="F996" s="208"/>
      <c r="G996" s="208"/>
      <c r="H996" s="208"/>
      <c r="I996" s="208"/>
      <c r="J996" s="208"/>
    </row>
    <row r="997" ht="14.25" customHeight="1">
      <c r="A997" s="208"/>
      <c r="B997" s="208"/>
      <c r="C997" s="208"/>
      <c r="D997" s="208"/>
      <c r="E997" s="208"/>
      <c r="F997" s="208"/>
      <c r="G997" s="208"/>
      <c r="H997" s="208"/>
      <c r="I997" s="208"/>
      <c r="J997" s="208"/>
    </row>
    <row r="998" ht="14.25" customHeight="1">
      <c r="A998" s="208"/>
      <c r="B998" s="208"/>
      <c r="C998" s="208"/>
      <c r="D998" s="208"/>
      <c r="E998" s="208"/>
      <c r="F998" s="208"/>
      <c r="G998" s="208"/>
      <c r="H998" s="208"/>
      <c r="I998" s="208"/>
      <c r="J998" s="208"/>
    </row>
    <row r="999" ht="14.25" customHeight="1">
      <c r="A999" s="208"/>
      <c r="B999" s="208"/>
      <c r="C999" s="208"/>
      <c r="D999" s="208"/>
      <c r="E999" s="208"/>
      <c r="F999" s="208"/>
      <c r="G999" s="208"/>
      <c r="H999" s="208"/>
      <c r="I999" s="208"/>
      <c r="J999" s="208"/>
    </row>
    <row r="1000" ht="14.25" customHeight="1">
      <c r="A1000" s="208"/>
      <c r="B1000" s="208"/>
      <c r="C1000" s="208"/>
      <c r="D1000" s="208"/>
      <c r="E1000" s="208"/>
      <c r="F1000" s="208"/>
      <c r="G1000" s="208"/>
      <c r="H1000" s="208"/>
      <c r="I1000" s="208"/>
      <c r="J1000" s="208"/>
    </row>
  </sheetData>
  <mergeCells count="30">
    <mergeCell ref="A1:H1"/>
    <mergeCell ref="A9:L9"/>
    <mergeCell ref="A23:L23"/>
    <mergeCell ref="A37:L37"/>
    <mergeCell ref="A46:L46"/>
    <mergeCell ref="B47:L47"/>
    <mergeCell ref="B48:L48"/>
    <mergeCell ref="B49:L49"/>
    <mergeCell ref="B50:L50"/>
    <mergeCell ref="B51:L51"/>
    <mergeCell ref="B52:L52"/>
    <mergeCell ref="B53:L53"/>
    <mergeCell ref="B54:L54"/>
    <mergeCell ref="B55:L55"/>
    <mergeCell ref="B56:L56"/>
    <mergeCell ref="B57:L57"/>
    <mergeCell ref="B58:L58"/>
    <mergeCell ref="B59:L59"/>
    <mergeCell ref="B60:L60"/>
    <mergeCell ref="B61:L61"/>
    <mergeCell ref="B62:L62"/>
    <mergeCell ref="B70:L70"/>
    <mergeCell ref="B71:L71"/>
    <mergeCell ref="B63:L63"/>
    <mergeCell ref="B64:L64"/>
    <mergeCell ref="B65:L65"/>
    <mergeCell ref="B66:L66"/>
    <mergeCell ref="B67:L67"/>
    <mergeCell ref="B68:L68"/>
    <mergeCell ref="B69:L69"/>
  </mergeCells>
  <dataValidations>
    <dataValidation type="list" allowBlank="1" sqref="A25:A34 B39:B43">
      <formula1>"📌 ЗАДАЧА,📦 ПРОЕКТ,🔬 ГИПОТЕЗА,💡 ИДЕЯ"</formula1>
    </dataValidation>
    <dataValidation type="list" allowBlank="1" sqref="B25:B34 D39:D43">
      <formula1>"6 ключевых ролей,≥50%,Сформирована орг структура,Ключевые учителя (химия;,Разработана; прописана,Команда синхронизирована,100 грантов и,Сервис «Пробные тесты»,100% внутренних грантов,Запуск мини продуктов (книги),Заключены партнёрства 3 более"</formula1>
    </dataValidation>
    <dataValidation type="list" allowBlank="1" sqref="F11:F21">
      <formula1>"On track,Опаздываем,Выполнено,Не начато,Требует внимания"</formula1>
    </dataValidation>
    <dataValidation type="list" allowBlank="1" sqref="E39:E43">
      <formula1>"High,Medium,Low"</formula1>
    </dataValidation>
    <dataValidation type="list" allowBlank="1" sqref="F25:I34">
      <formula1>"⏸️ Не начато,🔄 В работе,✅ Выполнено,⏸️ На паузе,❌ Отменено,⚠️ Требует решения"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3" width="51.14"/>
    <col customWidth="1" min="4" max="4" width="24.57"/>
    <col customWidth="1" min="5" max="5" width="23.29"/>
    <col customWidth="1" min="6" max="6" width="17.29"/>
    <col customWidth="1" min="7" max="7" width="19.0"/>
    <col customWidth="1" min="8" max="8" width="18.71"/>
    <col customWidth="1" min="9" max="9" width="17.86"/>
    <col customWidth="1" min="10" max="11" width="25.0"/>
    <col customWidth="1" min="12" max="12" width="21.29"/>
    <col customWidth="1" min="13" max="13" width="18.0"/>
    <col customWidth="1" min="14" max="27" width="8.71"/>
  </cols>
  <sheetData>
    <row r="1" ht="21.0" customHeight="1">
      <c r="A1" s="243" t="s">
        <v>1073</v>
      </c>
      <c r="B1" s="206"/>
      <c r="C1" s="206"/>
      <c r="D1" s="206"/>
      <c r="E1" s="206"/>
      <c r="F1" s="206"/>
      <c r="G1" s="206"/>
      <c r="H1" s="207"/>
      <c r="I1" s="244"/>
      <c r="J1" s="244"/>
      <c r="K1" s="244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</row>
    <row r="2" ht="14.25" customHeight="1">
      <c r="A2" s="246" t="s">
        <v>991</v>
      </c>
      <c r="B2" s="245" t="s">
        <v>896</v>
      </c>
      <c r="C2" s="244"/>
      <c r="D2" s="244"/>
      <c r="E2" s="244"/>
      <c r="F2" s="244"/>
      <c r="G2" s="244"/>
      <c r="H2" s="244"/>
      <c r="I2" s="244"/>
      <c r="J2" s="244"/>
      <c r="K2" s="244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</row>
    <row r="3" ht="14.25" customHeight="1">
      <c r="A3" s="246" t="s">
        <v>992</v>
      </c>
      <c r="B3" s="245" t="s">
        <v>897</v>
      </c>
      <c r="C3" s="244"/>
      <c r="D3" s="244"/>
      <c r="E3" s="244"/>
      <c r="F3" s="244"/>
      <c r="G3" s="244"/>
      <c r="H3" s="244"/>
      <c r="I3" s="244"/>
      <c r="J3" s="244"/>
      <c r="K3" s="244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</row>
    <row r="4" ht="14.25" customHeight="1">
      <c r="A4" s="246" t="s">
        <v>993</v>
      </c>
      <c r="B4" s="245" t="s">
        <v>898</v>
      </c>
      <c r="C4" s="244"/>
      <c r="D4" s="244"/>
      <c r="E4" s="244"/>
      <c r="F4" s="244"/>
      <c r="G4" s="244"/>
      <c r="H4" s="244"/>
      <c r="I4" s="244"/>
      <c r="J4" s="244"/>
      <c r="K4" s="244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</row>
    <row r="5" ht="14.25" customHeight="1">
      <c r="A5" s="246" t="s">
        <v>994</v>
      </c>
      <c r="B5" s="245" t="s">
        <v>882</v>
      </c>
      <c r="C5" s="244"/>
      <c r="D5" s="244"/>
      <c r="E5" s="244"/>
      <c r="F5" s="244"/>
      <c r="G5" s="244"/>
      <c r="H5" s="244"/>
      <c r="I5" s="244"/>
      <c r="J5" s="244"/>
      <c r="K5" s="244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</row>
    <row r="6" ht="14.25" customHeight="1">
      <c r="A6" s="247" t="s">
        <v>995</v>
      </c>
      <c r="B6" s="248" t="s">
        <v>996</v>
      </c>
      <c r="C6" s="249" t="s">
        <v>1074</v>
      </c>
      <c r="D6" s="244"/>
      <c r="E6" s="244"/>
      <c r="F6" s="244"/>
      <c r="G6" s="244"/>
      <c r="H6" s="244"/>
      <c r="I6" s="244"/>
      <c r="J6" s="244"/>
      <c r="K6" s="244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</row>
    <row r="7" ht="14.25" customHeight="1">
      <c r="A7" s="247" t="s">
        <v>997</v>
      </c>
      <c r="B7" s="250" t="s">
        <v>1075</v>
      </c>
      <c r="C7" s="249" t="s">
        <v>1076</v>
      </c>
      <c r="D7" s="244"/>
      <c r="E7" s="244"/>
      <c r="F7" s="244"/>
      <c r="G7" s="244"/>
      <c r="H7" s="244"/>
      <c r="I7" s="244"/>
      <c r="J7" s="244"/>
      <c r="K7" s="244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</row>
    <row r="8" ht="14.25" customHeight="1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</row>
    <row r="9" ht="15.0" customHeight="1">
      <c r="A9" s="251" t="s">
        <v>999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7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</row>
    <row r="10" ht="28.5" customHeight="1">
      <c r="A10" s="252" t="s">
        <v>914</v>
      </c>
      <c r="B10" s="252" t="s">
        <v>1000</v>
      </c>
      <c r="C10" s="252" t="s">
        <v>915</v>
      </c>
      <c r="D10" s="252" t="s">
        <v>916</v>
      </c>
      <c r="E10" s="252" t="s">
        <v>917</v>
      </c>
      <c r="F10" s="252" t="s">
        <v>1001</v>
      </c>
      <c r="G10" s="252" t="s">
        <v>22</v>
      </c>
      <c r="H10" s="252" t="s">
        <v>1002</v>
      </c>
      <c r="I10" s="244"/>
      <c r="J10" s="244"/>
      <c r="K10" s="244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</row>
    <row r="11">
      <c r="A11" s="253" t="s">
        <v>956</v>
      </c>
      <c r="B11" s="253" t="s">
        <v>1077</v>
      </c>
      <c r="C11" s="253" t="s">
        <v>304</v>
      </c>
      <c r="D11" s="253" t="s">
        <v>305</v>
      </c>
      <c r="E11" s="253" t="s">
        <v>306</v>
      </c>
      <c r="F11" s="254" t="s">
        <v>1078</v>
      </c>
      <c r="G11" s="253" t="s">
        <v>307</v>
      </c>
      <c r="H11" s="253"/>
      <c r="I11" s="244"/>
      <c r="J11" s="244"/>
      <c r="K11" s="244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</row>
    <row r="12">
      <c r="A12" s="253" t="s">
        <v>957</v>
      </c>
      <c r="B12" s="253" t="s">
        <v>1079</v>
      </c>
      <c r="C12" s="253" t="s">
        <v>309</v>
      </c>
      <c r="D12" s="253" t="s">
        <v>310</v>
      </c>
      <c r="E12" s="253" t="s">
        <v>311</v>
      </c>
      <c r="F12" s="254" t="s">
        <v>1080</v>
      </c>
      <c r="G12" s="253"/>
      <c r="H12" s="254" t="s">
        <v>1081</v>
      </c>
      <c r="I12" s="244"/>
      <c r="J12" s="244"/>
      <c r="K12" s="244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</row>
    <row r="13" ht="72.0" customHeight="1">
      <c r="A13" s="253" t="s">
        <v>958</v>
      </c>
      <c r="B13" s="253" t="s">
        <v>1082</v>
      </c>
      <c r="C13" s="253" t="s">
        <v>312</v>
      </c>
      <c r="D13" s="254" t="s">
        <v>1083</v>
      </c>
      <c r="E13" s="253" t="s">
        <v>314</v>
      </c>
      <c r="F13" s="254" t="s">
        <v>1084</v>
      </c>
      <c r="G13" s="253"/>
      <c r="H13" s="253"/>
      <c r="I13" s="244"/>
      <c r="J13" s="244"/>
      <c r="K13" s="244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</row>
    <row r="14">
      <c r="A14" s="253" t="s">
        <v>959</v>
      </c>
      <c r="B14" s="253" t="s">
        <v>1085</v>
      </c>
      <c r="C14" s="253" t="s">
        <v>317</v>
      </c>
      <c r="D14" s="253" t="s">
        <v>960</v>
      </c>
      <c r="E14" s="253" t="s">
        <v>319</v>
      </c>
      <c r="F14" s="254" t="s">
        <v>1086</v>
      </c>
      <c r="G14" s="253" t="s">
        <v>315</v>
      </c>
      <c r="H14" s="253"/>
      <c r="I14" s="244"/>
      <c r="J14" s="244"/>
      <c r="K14" s="244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</row>
    <row r="15" ht="28.5" customHeight="1">
      <c r="A15" s="253" t="s">
        <v>961</v>
      </c>
      <c r="B15" s="253" t="s">
        <v>1087</v>
      </c>
      <c r="C15" s="253" t="s">
        <v>320</v>
      </c>
      <c r="D15" s="253" t="s">
        <v>321</v>
      </c>
      <c r="E15" s="253" t="s">
        <v>322</v>
      </c>
      <c r="F15" s="254" t="s">
        <v>1084</v>
      </c>
      <c r="G15" s="253"/>
      <c r="H15" s="253"/>
      <c r="I15" s="244"/>
      <c r="J15" s="244"/>
      <c r="K15" s="244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</row>
    <row r="16" ht="28.5" customHeight="1">
      <c r="A16" s="253" t="s">
        <v>962</v>
      </c>
      <c r="B16" s="253" t="s">
        <v>1088</v>
      </c>
      <c r="C16" s="253" t="s">
        <v>323</v>
      </c>
      <c r="D16" s="253" t="s">
        <v>284</v>
      </c>
      <c r="E16" s="253" t="s">
        <v>285</v>
      </c>
      <c r="F16" s="254" t="s">
        <v>1078</v>
      </c>
      <c r="G16" s="253"/>
      <c r="H16" s="254" t="s">
        <v>1089</v>
      </c>
      <c r="I16" s="244"/>
      <c r="J16" s="244"/>
      <c r="K16" s="244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</row>
    <row r="17" ht="14.25" customHeight="1">
      <c r="A17" s="244"/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</row>
    <row r="18" ht="15.0" customHeight="1">
      <c r="A18" s="255" t="s">
        <v>1014</v>
      </c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7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</row>
    <row r="19" ht="14.25" customHeight="1">
      <c r="A19" s="256" t="s">
        <v>32</v>
      </c>
      <c r="B19" s="256" t="s">
        <v>1015</v>
      </c>
      <c r="C19" s="256" t="s">
        <v>1016</v>
      </c>
      <c r="D19" s="256" t="s">
        <v>23</v>
      </c>
      <c r="E19" s="256" t="s">
        <v>22</v>
      </c>
      <c r="F19" s="256" t="s">
        <v>1017</v>
      </c>
      <c r="G19" s="256" t="s">
        <v>1018</v>
      </c>
      <c r="H19" s="256" t="s">
        <v>1019</v>
      </c>
      <c r="I19" s="256" t="s">
        <v>1020</v>
      </c>
      <c r="J19" s="257" t="s">
        <v>1090</v>
      </c>
      <c r="K19" s="256" t="s">
        <v>1021</v>
      </c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</row>
    <row r="20" ht="28.5" customHeight="1">
      <c r="A20" s="253" t="s">
        <v>1024</v>
      </c>
      <c r="B20" s="253" t="s">
        <v>1091</v>
      </c>
      <c r="C20" s="253" t="s">
        <v>1092</v>
      </c>
      <c r="D20" s="253" t="s">
        <v>308</v>
      </c>
      <c r="E20" s="253" t="s">
        <v>1093</v>
      </c>
      <c r="F20" s="253" t="s">
        <v>1045</v>
      </c>
      <c r="G20" s="254" t="s">
        <v>1043</v>
      </c>
      <c r="H20" s="253"/>
      <c r="I20" s="253"/>
      <c r="J20" s="253"/>
      <c r="K20" s="253" t="s">
        <v>1094</v>
      </c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</row>
    <row r="21" ht="14.25" customHeight="1">
      <c r="A21" s="253" t="s">
        <v>1023</v>
      </c>
      <c r="B21" s="253" t="s">
        <v>956</v>
      </c>
      <c r="C21" s="253" t="s">
        <v>1095</v>
      </c>
      <c r="D21" s="253" t="s">
        <v>308</v>
      </c>
      <c r="E21" s="254" t="s">
        <v>1096</v>
      </c>
      <c r="F21" s="253" t="s">
        <v>1045</v>
      </c>
      <c r="G21" s="254" t="s">
        <v>1097</v>
      </c>
      <c r="H21" s="254" t="s">
        <v>1045</v>
      </c>
      <c r="I21" s="254" t="s">
        <v>1045</v>
      </c>
      <c r="J21" s="254" t="s">
        <v>1045</v>
      </c>
      <c r="K21" s="254" t="s">
        <v>1098</v>
      </c>
      <c r="L21" s="258" t="s">
        <v>1099</v>
      </c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</row>
    <row r="22" ht="14.25" customHeight="1">
      <c r="A22" s="253" t="s">
        <v>1022</v>
      </c>
      <c r="B22" s="253" t="s">
        <v>961</v>
      </c>
      <c r="C22" s="253" t="s">
        <v>1100</v>
      </c>
      <c r="D22" s="253" t="s">
        <v>308</v>
      </c>
      <c r="E22" s="253" t="s">
        <v>1101</v>
      </c>
      <c r="F22" s="253" t="s">
        <v>1051</v>
      </c>
      <c r="G22" s="254" t="s">
        <v>1102</v>
      </c>
      <c r="H22" s="254" t="s">
        <v>1102</v>
      </c>
      <c r="I22" s="254" t="s">
        <v>1102</v>
      </c>
      <c r="J22" s="254" t="s">
        <v>1102</v>
      </c>
      <c r="K22" s="253" t="s">
        <v>1103</v>
      </c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</row>
    <row r="23" ht="14.25" customHeight="1">
      <c r="A23" s="253" t="s">
        <v>1022</v>
      </c>
      <c r="B23" s="253" t="s">
        <v>961</v>
      </c>
      <c r="C23" s="254" t="s">
        <v>1104</v>
      </c>
      <c r="D23" s="253" t="s">
        <v>308</v>
      </c>
      <c r="E23" s="253" t="s">
        <v>1101</v>
      </c>
      <c r="F23" s="253" t="s">
        <v>1051</v>
      </c>
      <c r="G23" s="254" t="s">
        <v>1105</v>
      </c>
      <c r="H23" s="254" t="s">
        <v>1045</v>
      </c>
      <c r="I23" s="254" t="s">
        <v>1105</v>
      </c>
      <c r="J23" s="254" t="s">
        <v>1043</v>
      </c>
      <c r="K23" s="253" t="s">
        <v>1106</v>
      </c>
      <c r="L23" s="259" t="s">
        <v>1107</v>
      </c>
      <c r="M23" s="260" t="s">
        <v>1108</v>
      </c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</row>
    <row r="24" ht="14.25" customHeight="1">
      <c r="A24" s="254" t="s">
        <v>1024</v>
      </c>
      <c r="B24" s="253"/>
      <c r="C24" s="254" t="s">
        <v>1109</v>
      </c>
      <c r="D24" s="253" t="s">
        <v>308</v>
      </c>
      <c r="E24" s="253"/>
      <c r="F24" s="253"/>
      <c r="G24" s="253"/>
      <c r="H24" s="254" t="s">
        <v>1043</v>
      </c>
      <c r="I24" s="253"/>
      <c r="J24" s="253"/>
      <c r="K24" s="253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</row>
    <row r="25" ht="14.25" customHeight="1">
      <c r="A25" s="254" t="s">
        <v>1022</v>
      </c>
      <c r="B25" s="253"/>
      <c r="C25" s="254" t="s">
        <v>1110</v>
      </c>
      <c r="D25" s="253" t="s">
        <v>308</v>
      </c>
      <c r="E25" s="254" t="s">
        <v>1111</v>
      </c>
      <c r="F25" s="253"/>
      <c r="G25" s="253"/>
      <c r="H25" s="254" t="s">
        <v>1045</v>
      </c>
      <c r="I25" s="253"/>
      <c r="J25" s="254" t="s">
        <v>1102</v>
      </c>
      <c r="K25" s="253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</row>
    <row r="26" ht="14.25" customHeight="1">
      <c r="A26" s="254" t="s">
        <v>1024</v>
      </c>
      <c r="B26" s="254" t="s">
        <v>1088</v>
      </c>
      <c r="C26" s="254" t="s">
        <v>1112</v>
      </c>
      <c r="D26" s="253" t="s">
        <v>308</v>
      </c>
      <c r="E26" s="254" t="s">
        <v>1113</v>
      </c>
      <c r="F26" s="253"/>
      <c r="G26" s="253"/>
      <c r="H26" s="254" t="s">
        <v>1045</v>
      </c>
      <c r="I26" s="254" t="s">
        <v>1102</v>
      </c>
      <c r="J26" s="254" t="s">
        <v>1045</v>
      </c>
      <c r="K26" s="253"/>
      <c r="L26" s="258" t="s">
        <v>1114</v>
      </c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</row>
    <row r="27" ht="14.25" customHeight="1">
      <c r="A27" s="253" t="s">
        <v>1022</v>
      </c>
      <c r="B27" s="253"/>
      <c r="C27" s="254" t="s">
        <v>1115</v>
      </c>
      <c r="D27" s="253" t="s">
        <v>308</v>
      </c>
      <c r="E27" s="253"/>
      <c r="F27" s="253"/>
      <c r="G27" s="253"/>
      <c r="H27" s="253"/>
      <c r="I27" s="253"/>
      <c r="J27" s="253"/>
      <c r="K27" s="253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</row>
    <row r="28" ht="14.25" customHeight="1">
      <c r="A28" s="253"/>
      <c r="B28" s="253"/>
      <c r="C28" s="253"/>
      <c r="D28" s="253"/>
      <c r="E28" s="253"/>
      <c r="F28" s="253"/>
      <c r="G28" s="253"/>
      <c r="H28" s="253"/>
      <c r="I28" s="253"/>
      <c r="J28" s="253"/>
      <c r="K28" s="253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</row>
    <row r="29" ht="14.25" customHeight="1">
      <c r="A29" s="253"/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</row>
    <row r="30" ht="14.25" customHeight="1">
      <c r="A30" s="253"/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</row>
    <row r="31" ht="14.25" customHeight="1">
      <c r="A31" s="253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</row>
    <row r="32" ht="14.25" customHeight="1">
      <c r="A32" s="253"/>
      <c r="B32" s="253"/>
      <c r="C32" s="253"/>
      <c r="D32" s="253"/>
      <c r="E32" s="253"/>
      <c r="F32" s="253"/>
      <c r="G32" s="253"/>
      <c r="H32" s="253"/>
      <c r="I32" s="253"/>
      <c r="J32" s="253"/>
      <c r="K32" s="253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</row>
    <row r="33" ht="14.25" customHeight="1">
      <c r="A33" s="253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</row>
    <row r="34" ht="14.25" customHeight="1">
      <c r="A34" s="253" t="s">
        <v>1024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</row>
    <row r="35" ht="14.25" customHeight="1">
      <c r="A35" s="253" t="s">
        <v>1025</v>
      </c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</row>
    <row r="36" ht="14.25" customHeight="1">
      <c r="A36" s="244"/>
      <c r="B36" s="244"/>
      <c r="C36" s="244"/>
      <c r="D36" s="244"/>
      <c r="E36" s="244"/>
      <c r="F36" s="244"/>
      <c r="G36" s="244"/>
      <c r="H36" s="244"/>
      <c r="I36" s="244"/>
      <c r="J36" s="244"/>
      <c r="K36" s="244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</row>
    <row r="37" ht="14.25" customHeight="1">
      <c r="A37" s="244"/>
      <c r="B37" s="244"/>
      <c r="C37" s="244"/>
      <c r="D37" s="244"/>
      <c r="E37" s="244"/>
      <c r="F37" s="244"/>
      <c r="G37" s="244"/>
      <c r="H37" s="244"/>
      <c r="I37" s="244"/>
      <c r="J37" s="244"/>
      <c r="K37" s="244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</row>
    <row r="38" ht="14.25" customHeight="1">
      <c r="A38" s="261" t="s">
        <v>1026</v>
      </c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7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</row>
    <row r="39" ht="24.0" customHeight="1">
      <c r="A39" s="262" t="s">
        <v>377</v>
      </c>
      <c r="B39" s="262" t="s">
        <v>32</v>
      </c>
      <c r="C39" s="262" t="s">
        <v>1027</v>
      </c>
      <c r="D39" s="262" t="s">
        <v>1028</v>
      </c>
      <c r="E39" s="262" t="s">
        <v>154</v>
      </c>
      <c r="F39" s="262" t="s">
        <v>1029</v>
      </c>
      <c r="G39" s="262" t="s">
        <v>381</v>
      </c>
      <c r="H39" s="244"/>
      <c r="I39" s="244"/>
      <c r="J39" s="244"/>
      <c r="K39" s="244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</row>
    <row r="40" ht="14.25" customHeight="1">
      <c r="A40" s="263" t="s">
        <v>1116</v>
      </c>
      <c r="B40" s="263" t="s">
        <v>1022</v>
      </c>
      <c r="C40" s="264" t="s">
        <v>1117</v>
      </c>
      <c r="D40" s="265" t="s">
        <v>1077</v>
      </c>
      <c r="E40" s="263" t="s">
        <v>1118</v>
      </c>
      <c r="F40" s="263" t="s">
        <v>1119</v>
      </c>
      <c r="G40" s="263" t="s">
        <v>1053</v>
      </c>
      <c r="H40" s="244"/>
      <c r="I40" s="244"/>
      <c r="J40" s="244"/>
      <c r="K40" s="244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</row>
    <row r="41" ht="14.25" customHeight="1">
      <c r="A41" s="263" t="s">
        <v>1120</v>
      </c>
      <c r="B41" s="263" t="s">
        <v>1025</v>
      </c>
      <c r="C41" s="264" t="s">
        <v>1121</v>
      </c>
      <c r="D41" s="265" t="s">
        <v>1088</v>
      </c>
      <c r="E41" s="263" t="s">
        <v>1118</v>
      </c>
      <c r="F41" s="263" t="s">
        <v>1119</v>
      </c>
      <c r="G41" s="263" t="s">
        <v>1053</v>
      </c>
      <c r="H41" s="244"/>
      <c r="I41" s="244"/>
      <c r="J41" s="244"/>
      <c r="K41" s="244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</row>
    <row r="42" ht="14.25" customHeight="1">
      <c r="A42" s="263" t="s">
        <v>1122</v>
      </c>
      <c r="B42" s="263" t="s">
        <v>1022</v>
      </c>
      <c r="C42" s="264" t="s">
        <v>1123</v>
      </c>
      <c r="D42" s="263" t="s">
        <v>959</v>
      </c>
      <c r="E42" s="263" t="s">
        <v>1118</v>
      </c>
      <c r="F42" s="263" t="s">
        <v>1119</v>
      </c>
      <c r="G42" s="263" t="s">
        <v>1053</v>
      </c>
      <c r="H42" s="244"/>
      <c r="I42" s="244"/>
      <c r="J42" s="244"/>
      <c r="K42" s="244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</row>
    <row r="43" ht="14.25" customHeight="1">
      <c r="A43" s="263"/>
      <c r="B43" s="265" t="s">
        <v>1022</v>
      </c>
      <c r="C43" s="266" t="s">
        <v>1124</v>
      </c>
      <c r="D43" s="265">
        <v>7.5</v>
      </c>
      <c r="E43" s="265" t="s">
        <v>1125</v>
      </c>
      <c r="F43" s="265" t="s">
        <v>1126</v>
      </c>
      <c r="G43" s="263"/>
      <c r="H43" s="244"/>
      <c r="I43" s="244"/>
      <c r="J43" s="244"/>
      <c r="K43" s="244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</row>
    <row r="44" ht="14.25" customHeight="1">
      <c r="A44" s="263"/>
      <c r="B44" s="265" t="s">
        <v>1022</v>
      </c>
      <c r="C44" s="266" t="s">
        <v>1127</v>
      </c>
      <c r="D44" s="265" t="s">
        <v>1128</v>
      </c>
      <c r="E44" s="265" t="s">
        <v>1129</v>
      </c>
      <c r="F44" s="265" t="s">
        <v>1126</v>
      </c>
      <c r="G44" s="265" t="s">
        <v>1105</v>
      </c>
      <c r="H44" s="244"/>
      <c r="I44" s="244"/>
      <c r="J44" s="244"/>
      <c r="K44" s="244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</row>
    <row r="45" ht="14.25" customHeight="1">
      <c r="A45" s="244"/>
      <c r="B45" s="244"/>
      <c r="C45" s="244"/>
      <c r="D45" s="244"/>
      <c r="E45" s="244"/>
      <c r="F45" s="244"/>
      <c r="G45" s="244"/>
      <c r="H45" s="244"/>
      <c r="I45" s="244"/>
      <c r="J45" s="244"/>
      <c r="K45" s="244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</row>
    <row r="46" ht="14.25" customHeight="1">
      <c r="A46" s="244"/>
      <c r="B46" s="244"/>
      <c r="C46" s="244"/>
      <c r="D46" s="244"/>
      <c r="E46" s="244"/>
      <c r="F46" s="244"/>
      <c r="G46" s="244"/>
      <c r="H46" s="244"/>
      <c r="I46" s="244"/>
      <c r="J46" s="244"/>
      <c r="K46" s="244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</row>
    <row r="47" ht="14.25" customHeight="1">
      <c r="A47" s="267" t="s">
        <v>1030</v>
      </c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20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</row>
    <row r="48" ht="14.25" customHeight="1">
      <c r="A48" s="268"/>
      <c r="B48" s="269" t="s">
        <v>1031</v>
      </c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20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</row>
    <row r="49" ht="14.25" customHeight="1">
      <c r="A49" s="268" t="s">
        <v>1024</v>
      </c>
      <c r="B49" s="269" t="s">
        <v>1032</v>
      </c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20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</row>
    <row r="50" ht="14.25" customHeight="1">
      <c r="A50" s="268" t="s">
        <v>1023</v>
      </c>
      <c r="B50" s="269" t="s">
        <v>1033</v>
      </c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20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</row>
    <row r="51" ht="14.25" customHeight="1">
      <c r="A51" s="268" t="s">
        <v>1022</v>
      </c>
      <c r="B51" s="269" t="s">
        <v>1034</v>
      </c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20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</row>
    <row r="52" ht="14.25" customHeight="1">
      <c r="A52" s="268" t="s">
        <v>1025</v>
      </c>
      <c r="B52" s="269" t="s">
        <v>1035</v>
      </c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20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</row>
    <row r="53" ht="14.25" customHeight="1">
      <c r="A53" s="268"/>
      <c r="B53" s="269" t="s">
        <v>1036</v>
      </c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20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</row>
    <row r="54" ht="14.25" customHeight="1">
      <c r="A54" s="268" t="s">
        <v>1037</v>
      </c>
      <c r="B54" s="269" t="s">
        <v>1038</v>
      </c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20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</row>
    <row r="55" ht="14.25" customHeight="1">
      <c r="A55" s="268" t="s">
        <v>1039</v>
      </c>
      <c r="B55" s="269" t="s">
        <v>1040</v>
      </c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20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</row>
    <row r="56" ht="14.25" customHeight="1">
      <c r="A56" s="268" t="s">
        <v>1041</v>
      </c>
      <c r="B56" s="269" t="s">
        <v>1042</v>
      </c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20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</row>
    <row r="57" ht="14.25" customHeight="1">
      <c r="A57" s="268" t="s">
        <v>1043</v>
      </c>
      <c r="B57" s="269" t="s">
        <v>1044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20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</row>
    <row r="58" ht="14.25" customHeight="1">
      <c r="A58" s="268" t="s">
        <v>1045</v>
      </c>
      <c r="B58" s="269" t="s">
        <v>1046</v>
      </c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20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</row>
    <row r="59" ht="14.25" customHeight="1">
      <c r="A59" s="268" t="s">
        <v>1047</v>
      </c>
      <c r="B59" s="269" t="s">
        <v>1048</v>
      </c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20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</row>
    <row r="60" ht="14.25" customHeight="1">
      <c r="A60" s="268" t="s">
        <v>1049</v>
      </c>
      <c r="B60" s="269" t="s">
        <v>1050</v>
      </c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20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</row>
    <row r="61" ht="14.25" customHeight="1">
      <c r="A61" s="268" t="s">
        <v>1051</v>
      </c>
      <c r="B61" s="269" t="s">
        <v>1052</v>
      </c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20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</row>
    <row r="62" ht="14.25" customHeight="1">
      <c r="A62" s="268" t="s">
        <v>1053</v>
      </c>
      <c r="B62" s="269" t="s">
        <v>1054</v>
      </c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20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</row>
    <row r="63" ht="14.25" customHeight="1">
      <c r="A63" s="268"/>
      <c r="B63" s="269" t="s">
        <v>1055</v>
      </c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20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</row>
    <row r="64" ht="14.25" customHeight="1">
      <c r="A64" s="268" t="s">
        <v>1056</v>
      </c>
      <c r="B64" s="269" t="s">
        <v>1057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20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</row>
    <row r="65" ht="14.25" customHeight="1">
      <c r="A65" s="268" t="s">
        <v>1058</v>
      </c>
      <c r="B65" s="269" t="s">
        <v>1059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20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</row>
    <row r="66" ht="14.25" customHeight="1">
      <c r="A66" s="268" t="s">
        <v>1060</v>
      </c>
      <c r="B66" s="269" t="s">
        <v>1061</v>
      </c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20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</row>
    <row r="67" ht="14.25" customHeight="1">
      <c r="A67" s="268" t="s">
        <v>1062</v>
      </c>
      <c r="B67" s="269" t="s">
        <v>1063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20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</row>
    <row r="68" ht="14.25" customHeight="1">
      <c r="A68" s="268"/>
      <c r="B68" s="269" t="s">
        <v>1064</v>
      </c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20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</row>
    <row r="69" ht="14.25" customHeight="1">
      <c r="A69" s="268" t="s">
        <v>1065</v>
      </c>
      <c r="B69" s="269" t="s">
        <v>1066</v>
      </c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20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</row>
    <row r="70" ht="14.25" customHeight="1">
      <c r="A70" s="268" t="s">
        <v>1067</v>
      </c>
      <c r="B70" s="269" t="s">
        <v>1068</v>
      </c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20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</row>
    <row r="71" ht="14.25" customHeight="1">
      <c r="A71" s="268" t="s">
        <v>1069</v>
      </c>
      <c r="B71" s="269" t="s">
        <v>1070</v>
      </c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20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</row>
    <row r="72" ht="14.25" customHeight="1">
      <c r="A72" s="268" t="s">
        <v>1071</v>
      </c>
      <c r="B72" s="269" t="s">
        <v>1072</v>
      </c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20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</row>
    <row r="73" ht="14.25" customHeight="1">
      <c r="A73" s="244"/>
      <c r="B73" s="244"/>
      <c r="C73" s="244"/>
      <c r="D73" s="244"/>
      <c r="E73" s="244"/>
      <c r="F73" s="244"/>
      <c r="G73" s="244"/>
      <c r="H73" s="244"/>
      <c r="I73" s="244"/>
      <c r="J73" s="244"/>
      <c r="K73" s="244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</row>
    <row r="74" ht="14.25" customHeight="1">
      <c r="A74" s="244"/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</row>
    <row r="75" ht="14.25" customHeight="1">
      <c r="A75" s="244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</row>
    <row r="76" ht="14.25" customHeight="1">
      <c r="A76" s="244"/>
      <c r="B76" s="244"/>
      <c r="C76" s="244"/>
      <c r="D76" s="244"/>
      <c r="E76" s="244"/>
      <c r="F76" s="244"/>
      <c r="G76" s="244"/>
      <c r="H76" s="244"/>
      <c r="I76" s="244"/>
      <c r="J76" s="244"/>
      <c r="K76" s="244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</row>
    <row r="77" ht="14.25" customHeight="1">
      <c r="A77" s="244"/>
      <c r="B77" s="244"/>
      <c r="C77" s="244"/>
      <c r="D77" s="244"/>
      <c r="E77" s="244"/>
      <c r="F77" s="244"/>
      <c r="G77" s="244"/>
      <c r="H77" s="244"/>
      <c r="I77" s="244"/>
      <c r="J77" s="244"/>
      <c r="K77" s="244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</row>
    <row r="78" ht="14.25" customHeight="1">
      <c r="A78" s="244"/>
      <c r="B78" s="244"/>
      <c r="C78" s="244"/>
      <c r="D78" s="244"/>
      <c r="E78" s="244"/>
      <c r="F78" s="244"/>
      <c r="G78" s="244"/>
      <c r="H78" s="244"/>
      <c r="I78" s="244"/>
      <c r="J78" s="244"/>
      <c r="K78" s="244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</row>
    <row r="79" ht="14.25" customHeight="1">
      <c r="A79" s="244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</row>
    <row r="80" ht="14.25" customHeight="1">
      <c r="A80" s="244"/>
      <c r="B80" s="244"/>
      <c r="C80" s="244"/>
      <c r="D80" s="244"/>
      <c r="E80" s="244"/>
      <c r="F80" s="244"/>
      <c r="G80" s="244"/>
      <c r="H80" s="244"/>
      <c r="I80" s="244"/>
      <c r="J80" s="244"/>
      <c r="K80" s="244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</row>
    <row r="81" ht="14.25" customHeight="1">
      <c r="A81" s="244"/>
      <c r="B81" s="244"/>
      <c r="C81" s="244"/>
      <c r="D81" s="244"/>
      <c r="E81" s="244"/>
      <c r="F81" s="244"/>
      <c r="G81" s="244"/>
      <c r="H81" s="244"/>
      <c r="I81" s="244"/>
      <c r="J81" s="244"/>
      <c r="K81" s="244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</row>
    <row r="82" ht="14.25" customHeight="1">
      <c r="A82" s="244"/>
      <c r="B82" s="244"/>
      <c r="C82" s="244"/>
      <c r="D82" s="244"/>
      <c r="E82" s="244"/>
      <c r="F82" s="244"/>
      <c r="G82" s="244"/>
      <c r="H82" s="244"/>
      <c r="I82" s="244"/>
      <c r="J82" s="244"/>
      <c r="K82" s="244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</row>
    <row r="83" ht="14.25" customHeight="1">
      <c r="A83" s="244"/>
      <c r="B83" s="244"/>
      <c r="C83" s="244"/>
      <c r="D83" s="244"/>
      <c r="E83" s="244"/>
      <c r="F83" s="244"/>
      <c r="G83" s="244"/>
      <c r="H83" s="244"/>
      <c r="I83" s="244"/>
      <c r="J83" s="244"/>
      <c r="K83" s="244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</row>
    <row r="84" ht="14.25" customHeight="1">
      <c r="A84" s="244"/>
      <c r="B84" s="244"/>
      <c r="C84" s="244"/>
      <c r="D84" s="244"/>
      <c r="E84" s="244"/>
      <c r="F84" s="244"/>
      <c r="G84" s="244"/>
      <c r="H84" s="244"/>
      <c r="I84" s="244"/>
      <c r="J84" s="244"/>
      <c r="K84" s="244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</row>
    <row r="85" ht="14.25" customHeight="1">
      <c r="A85" s="244"/>
      <c r="B85" s="244"/>
      <c r="C85" s="244"/>
      <c r="D85" s="244"/>
      <c r="E85" s="244"/>
      <c r="F85" s="244"/>
      <c r="G85" s="244"/>
      <c r="H85" s="244"/>
      <c r="I85" s="244"/>
      <c r="J85" s="244"/>
      <c r="K85" s="244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</row>
    <row r="86" ht="14.25" customHeight="1">
      <c r="A86" s="244"/>
      <c r="B86" s="244"/>
      <c r="C86" s="244"/>
      <c r="D86" s="244"/>
      <c r="E86" s="244"/>
      <c r="F86" s="244"/>
      <c r="G86" s="244"/>
      <c r="H86" s="244"/>
      <c r="I86" s="244"/>
      <c r="J86" s="244"/>
      <c r="K86" s="244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</row>
    <row r="87" ht="14.25" customHeight="1">
      <c r="A87" s="244"/>
      <c r="B87" s="244"/>
      <c r="C87" s="244"/>
      <c r="D87" s="244"/>
      <c r="E87" s="244"/>
      <c r="F87" s="244"/>
      <c r="G87" s="244"/>
      <c r="H87" s="244"/>
      <c r="I87" s="244"/>
      <c r="J87" s="244"/>
      <c r="K87" s="244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</row>
    <row r="88" ht="14.25" customHeight="1">
      <c r="A88" s="244"/>
      <c r="B88" s="244"/>
      <c r="C88" s="244"/>
      <c r="D88" s="244"/>
      <c r="E88" s="244"/>
      <c r="F88" s="244"/>
      <c r="G88" s="244"/>
      <c r="H88" s="244"/>
      <c r="I88" s="244"/>
      <c r="J88" s="244"/>
      <c r="K88" s="244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</row>
    <row r="89" ht="14.25" customHeight="1">
      <c r="A89" s="244"/>
      <c r="B89" s="244"/>
      <c r="C89" s="244"/>
      <c r="D89" s="244"/>
      <c r="E89" s="244"/>
      <c r="F89" s="244"/>
      <c r="G89" s="244"/>
      <c r="H89" s="244"/>
      <c r="I89" s="244"/>
      <c r="J89" s="244"/>
      <c r="K89" s="244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</row>
    <row r="90" ht="14.25" customHeight="1">
      <c r="A90" s="244"/>
      <c r="B90" s="244"/>
      <c r="C90" s="244"/>
      <c r="D90" s="244"/>
      <c r="E90" s="244"/>
      <c r="F90" s="244"/>
      <c r="G90" s="244"/>
      <c r="H90" s="244"/>
      <c r="I90" s="244"/>
      <c r="J90" s="244"/>
      <c r="K90" s="244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</row>
    <row r="91" ht="14.25" customHeight="1">
      <c r="A91" s="244"/>
      <c r="B91" s="244"/>
      <c r="C91" s="244"/>
      <c r="D91" s="244"/>
      <c r="E91" s="244"/>
      <c r="F91" s="244"/>
      <c r="G91" s="244"/>
      <c r="H91" s="244"/>
      <c r="I91" s="244"/>
      <c r="J91" s="244"/>
      <c r="K91" s="244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</row>
    <row r="92" ht="14.25" customHeight="1">
      <c r="A92" s="244"/>
      <c r="B92" s="244"/>
      <c r="C92" s="244"/>
      <c r="D92" s="244"/>
      <c r="E92" s="244"/>
      <c r="F92" s="244"/>
      <c r="G92" s="244"/>
      <c r="H92" s="244"/>
      <c r="I92" s="244"/>
      <c r="J92" s="244"/>
      <c r="K92" s="244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</row>
    <row r="93" ht="14.25" customHeight="1">
      <c r="A93" s="244"/>
      <c r="B93" s="244"/>
      <c r="C93" s="244"/>
      <c r="D93" s="244"/>
      <c r="E93" s="244"/>
      <c r="F93" s="244"/>
      <c r="G93" s="244"/>
      <c r="H93" s="244"/>
      <c r="I93" s="244"/>
      <c r="J93" s="244"/>
      <c r="K93" s="244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</row>
    <row r="94" ht="14.25" customHeight="1">
      <c r="A94" s="244"/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</row>
    <row r="95" ht="14.25" customHeight="1">
      <c r="A95" s="244"/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</row>
    <row r="96" ht="14.25" customHeight="1">
      <c r="A96" s="244"/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</row>
    <row r="97" ht="14.25" customHeight="1">
      <c r="A97" s="24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</row>
    <row r="98" ht="14.25" customHeight="1">
      <c r="A98" s="24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</row>
    <row r="99" ht="14.25" customHeight="1">
      <c r="A99" s="24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</row>
    <row r="100" ht="14.25" customHeight="1">
      <c r="A100" s="244"/>
      <c r="B100" s="244"/>
      <c r="C100" s="244"/>
      <c r="D100" s="244"/>
      <c r="E100" s="244"/>
      <c r="F100" s="244"/>
      <c r="G100" s="244"/>
      <c r="H100" s="244"/>
      <c r="I100" s="244"/>
      <c r="J100" s="244"/>
      <c r="K100" s="244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</row>
    <row r="101" ht="14.25" customHeight="1">
      <c r="A101" s="244"/>
      <c r="B101" s="244"/>
      <c r="C101" s="244"/>
      <c r="D101" s="244"/>
      <c r="E101" s="244"/>
      <c r="F101" s="244"/>
      <c r="G101" s="244"/>
      <c r="H101" s="244"/>
      <c r="I101" s="244"/>
      <c r="J101" s="244"/>
      <c r="K101" s="244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</row>
    <row r="102" ht="14.25" customHeight="1">
      <c r="A102" s="244"/>
      <c r="B102" s="244"/>
      <c r="C102" s="244"/>
      <c r="D102" s="244"/>
      <c r="E102" s="244"/>
      <c r="F102" s="244"/>
      <c r="G102" s="244"/>
      <c r="H102" s="244"/>
      <c r="I102" s="244"/>
      <c r="J102" s="244"/>
      <c r="K102" s="244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</row>
    <row r="103" ht="14.25" customHeight="1">
      <c r="A103" s="244"/>
      <c r="B103" s="244"/>
      <c r="C103" s="244"/>
      <c r="D103" s="244"/>
      <c r="E103" s="244"/>
      <c r="F103" s="244"/>
      <c r="G103" s="244"/>
      <c r="H103" s="244"/>
      <c r="I103" s="244"/>
      <c r="J103" s="244"/>
      <c r="K103" s="244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</row>
    <row r="104" ht="14.25" customHeight="1">
      <c r="A104" s="244"/>
      <c r="B104" s="244"/>
      <c r="C104" s="244"/>
      <c r="D104" s="244"/>
      <c r="E104" s="244"/>
      <c r="F104" s="244"/>
      <c r="G104" s="244"/>
      <c r="H104" s="244"/>
      <c r="I104" s="244"/>
      <c r="J104" s="244"/>
      <c r="K104" s="244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</row>
    <row r="105" ht="14.25" customHeight="1">
      <c r="A105" s="244"/>
      <c r="B105" s="244"/>
      <c r="C105" s="244"/>
      <c r="D105" s="244"/>
      <c r="E105" s="244"/>
      <c r="F105" s="244"/>
      <c r="G105" s="244"/>
      <c r="H105" s="244"/>
      <c r="I105" s="244"/>
      <c r="J105" s="244"/>
      <c r="K105" s="244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</row>
    <row r="106" ht="14.25" customHeight="1">
      <c r="A106" s="244"/>
      <c r="B106" s="244"/>
      <c r="C106" s="244"/>
      <c r="D106" s="244"/>
      <c r="E106" s="244"/>
      <c r="F106" s="244"/>
      <c r="G106" s="244"/>
      <c r="H106" s="244"/>
      <c r="I106" s="244"/>
      <c r="J106" s="244"/>
      <c r="K106" s="244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</row>
    <row r="107" ht="14.25" customHeight="1">
      <c r="A107" s="244"/>
      <c r="B107" s="244"/>
      <c r="C107" s="244"/>
      <c r="D107" s="244"/>
      <c r="E107" s="244"/>
      <c r="F107" s="244"/>
      <c r="G107" s="244"/>
      <c r="H107" s="244"/>
      <c r="I107" s="244"/>
      <c r="J107" s="244"/>
      <c r="K107" s="244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</row>
    <row r="108" ht="14.25" customHeight="1">
      <c r="A108" s="244"/>
      <c r="B108" s="244"/>
      <c r="C108" s="244"/>
      <c r="D108" s="244"/>
      <c r="E108" s="244"/>
      <c r="F108" s="244"/>
      <c r="G108" s="244"/>
      <c r="H108" s="244"/>
      <c r="I108" s="244"/>
      <c r="J108" s="244"/>
      <c r="K108" s="244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</row>
    <row r="109" ht="14.25" customHeight="1">
      <c r="A109" s="244"/>
      <c r="B109" s="244"/>
      <c r="C109" s="244"/>
      <c r="D109" s="244"/>
      <c r="E109" s="244"/>
      <c r="F109" s="244"/>
      <c r="G109" s="244"/>
      <c r="H109" s="244"/>
      <c r="I109" s="244"/>
      <c r="J109" s="244"/>
      <c r="K109" s="244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</row>
    <row r="110" ht="14.25" customHeight="1">
      <c r="A110" s="244"/>
      <c r="B110" s="244"/>
      <c r="C110" s="244"/>
      <c r="D110" s="244"/>
      <c r="E110" s="244"/>
      <c r="F110" s="244"/>
      <c r="G110" s="244"/>
      <c r="H110" s="244"/>
      <c r="I110" s="244"/>
      <c r="J110" s="244"/>
      <c r="K110" s="244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</row>
    <row r="111" ht="14.25" customHeight="1">
      <c r="A111" s="244"/>
      <c r="B111" s="244"/>
      <c r="C111" s="244"/>
      <c r="D111" s="244"/>
      <c r="E111" s="244"/>
      <c r="F111" s="244"/>
      <c r="G111" s="244"/>
      <c r="H111" s="244"/>
      <c r="I111" s="244"/>
      <c r="J111" s="244"/>
      <c r="K111" s="244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</row>
    <row r="112" ht="14.25" customHeight="1">
      <c r="A112" s="244"/>
      <c r="B112" s="244"/>
      <c r="C112" s="244"/>
      <c r="D112" s="244"/>
      <c r="E112" s="244"/>
      <c r="F112" s="244"/>
      <c r="G112" s="244"/>
      <c r="H112" s="244"/>
      <c r="I112" s="244"/>
      <c r="J112" s="244"/>
      <c r="K112" s="244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</row>
    <row r="113" ht="14.25" customHeight="1">
      <c r="A113" s="244"/>
      <c r="B113" s="244"/>
      <c r="C113" s="244"/>
      <c r="D113" s="244"/>
      <c r="E113" s="244"/>
      <c r="F113" s="244"/>
      <c r="G113" s="244"/>
      <c r="H113" s="244"/>
      <c r="I113" s="244"/>
      <c r="J113" s="244"/>
      <c r="K113" s="244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</row>
    <row r="114" ht="14.25" customHeight="1">
      <c r="A114" s="244"/>
      <c r="B114" s="244"/>
      <c r="C114" s="244"/>
      <c r="D114" s="244"/>
      <c r="E114" s="244"/>
      <c r="F114" s="244"/>
      <c r="G114" s="244"/>
      <c r="H114" s="244"/>
      <c r="I114" s="244"/>
      <c r="J114" s="244"/>
      <c r="K114" s="244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</row>
    <row r="115" ht="14.25" customHeight="1">
      <c r="A115" s="244"/>
      <c r="B115" s="244"/>
      <c r="C115" s="244"/>
      <c r="D115" s="244"/>
      <c r="E115" s="244"/>
      <c r="F115" s="244"/>
      <c r="G115" s="244"/>
      <c r="H115" s="244"/>
      <c r="I115" s="244"/>
      <c r="J115" s="244"/>
      <c r="K115" s="244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</row>
    <row r="116" ht="14.25" customHeight="1">
      <c r="A116" s="244"/>
      <c r="B116" s="244"/>
      <c r="C116" s="244"/>
      <c r="D116" s="244"/>
      <c r="E116" s="244"/>
      <c r="F116" s="244"/>
      <c r="G116" s="244"/>
      <c r="H116" s="244"/>
      <c r="I116" s="244"/>
      <c r="J116" s="244"/>
      <c r="K116" s="244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</row>
    <row r="117" ht="14.25" customHeight="1">
      <c r="A117" s="244"/>
      <c r="B117" s="244"/>
      <c r="C117" s="244"/>
      <c r="D117" s="244"/>
      <c r="E117" s="244"/>
      <c r="F117" s="244"/>
      <c r="G117" s="244"/>
      <c r="H117" s="244"/>
      <c r="I117" s="244"/>
      <c r="J117" s="244"/>
      <c r="K117" s="244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</row>
    <row r="118" ht="14.25" customHeight="1">
      <c r="A118" s="244"/>
      <c r="B118" s="244"/>
      <c r="C118" s="244"/>
      <c r="D118" s="244"/>
      <c r="E118" s="244"/>
      <c r="F118" s="244"/>
      <c r="G118" s="244"/>
      <c r="H118" s="244"/>
      <c r="I118" s="244"/>
      <c r="J118" s="244"/>
      <c r="K118" s="244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</row>
    <row r="119" ht="14.25" customHeight="1">
      <c r="A119" s="244"/>
      <c r="B119" s="244"/>
      <c r="C119" s="244"/>
      <c r="D119" s="244"/>
      <c r="E119" s="244"/>
      <c r="F119" s="244"/>
      <c r="G119" s="244"/>
      <c r="H119" s="244"/>
      <c r="I119" s="244"/>
      <c r="J119" s="244"/>
      <c r="K119" s="244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</row>
    <row r="120" ht="14.25" customHeight="1">
      <c r="A120" s="244"/>
      <c r="B120" s="244"/>
      <c r="C120" s="244"/>
      <c r="D120" s="244"/>
      <c r="E120" s="244"/>
      <c r="F120" s="244"/>
      <c r="G120" s="244"/>
      <c r="H120" s="244"/>
      <c r="I120" s="244"/>
      <c r="J120" s="244"/>
      <c r="K120" s="244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</row>
    <row r="121" ht="14.25" customHeight="1">
      <c r="A121" s="244"/>
      <c r="B121" s="244"/>
      <c r="C121" s="244"/>
      <c r="D121" s="244"/>
      <c r="E121" s="244"/>
      <c r="F121" s="244"/>
      <c r="G121" s="244"/>
      <c r="H121" s="244"/>
      <c r="I121" s="244"/>
      <c r="J121" s="244"/>
      <c r="K121" s="244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</row>
    <row r="122" ht="14.25" customHeight="1">
      <c r="A122" s="244"/>
      <c r="B122" s="244"/>
      <c r="C122" s="244"/>
      <c r="D122" s="244"/>
      <c r="E122" s="244"/>
      <c r="F122" s="244"/>
      <c r="G122" s="244"/>
      <c r="H122" s="244"/>
      <c r="I122" s="244"/>
      <c r="J122" s="244"/>
      <c r="K122" s="244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</row>
    <row r="123" ht="14.25" customHeight="1">
      <c r="A123" s="244"/>
      <c r="B123" s="244"/>
      <c r="C123" s="244"/>
      <c r="D123" s="244"/>
      <c r="E123" s="244"/>
      <c r="F123" s="244"/>
      <c r="G123" s="244"/>
      <c r="H123" s="244"/>
      <c r="I123" s="244"/>
      <c r="J123" s="244"/>
      <c r="K123" s="244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</row>
    <row r="124" ht="14.25" customHeight="1">
      <c r="A124" s="244"/>
      <c r="B124" s="244"/>
      <c r="C124" s="244"/>
      <c r="D124" s="244"/>
      <c r="E124" s="244"/>
      <c r="F124" s="244"/>
      <c r="G124" s="244"/>
      <c r="H124" s="244"/>
      <c r="I124" s="244"/>
      <c r="J124" s="244"/>
      <c r="K124" s="244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</row>
    <row r="125" ht="14.25" customHeight="1">
      <c r="A125" s="244"/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</row>
    <row r="126" ht="14.25" customHeight="1">
      <c r="A126" s="244"/>
      <c r="B126" s="244"/>
      <c r="C126" s="244"/>
      <c r="D126" s="244"/>
      <c r="E126" s="244"/>
      <c r="F126" s="244"/>
      <c r="G126" s="244"/>
      <c r="H126" s="244"/>
      <c r="I126" s="244"/>
      <c r="J126" s="244"/>
      <c r="K126" s="244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</row>
    <row r="127" ht="14.25" customHeight="1">
      <c r="A127" s="244"/>
      <c r="B127" s="244"/>
      <c r="C127" s="244"/>
      <c r="D127" s="244"/>
      <c r="E127" s="244"/>
      <c r="F127" s="244"/>
      <c r="G127" s="244"/>
      <c r="H127" s="244"/>
      <c r="I127" s="244"/>
      <c r="J127" s="244"/>
      <c r="K127" s="244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</row>
    <row r="128" ht="14.25" customHeight="1">
      <c r="A128" s="244"/>
      <c r="B128" s="244"/>
      <c r="C128" s="244"/>
      <c r="D128" s="244"/>
      <c r="E128" s="244"/>
      <c r="F128" s="244"/>
      <c r="G128" s="244"/>
      <c r="H128" s="244"/>
      <c r="I128" s="244"/>
      <c r="J128" s="244"/>
      <c r="K128" s="244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</row>
    <row r="129" ht="14.25" customHeight="1">
      <c r="A129" s="244"/>
      <c r="B129" s="244"/>
      <c r="C129" s="244"/>
      <c r="D129" s="244"/>
      <c r="E129" s="244"/>
      <c r="F129" s="244"/>
      <c r="G129" s="244"/>
      <c r="H129" s="244"/>
      <c r="I129" s="244"/>
      <c r="J129" s="244"/>
      <c r="K129" s="244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</row>
    <row r="130" ht="14.25" customHeight="1">
      <c r="A130" s="244"/>
      <c r="B130" s="244"/>
      <c r="C130" s="244"/>
      <c r="D130" s="244"/>
      <c r="E130" s="244"/>
      <c r="F130" s="244"/>
      <c r="G130" s="244"/>
      <c r="H130" s="244"/>
      <c r="I130" s="244"/>
      <c r="J130" s="244"/>
      <c r="K130" s="244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</row>
    <row r="131" ht="14.25" customHeight="1">
      <c r="A131" s="244"/>
      <c r="B131" s="244"/>
      <c r="C131" s="244"/>
      <c r="D131" s="244"/>
      <c r="E131" s="244"/>
      <c r="F131" s="244"/>
      <c r="G131" s="244"/>
      <c r="H131" s="244"/>
      <c r="I131" s="244"/>
      <c r="J131" s="244"/>
      <c r="K131" s="244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</row>
    <row r="132" ht="14.25" customHeight="1">
      <c r="A132" s="244"/>
      <c r="B132" s="244"/>
      <c r="C132" s="244"/>
      <c r="D132" s="244"/>
      <c r="E132" s="244"/>
      <c r="F132" s="244"/>
      <c r="G132" s="244"/>
      <c r="H132" s="244"/>
      <c r="I132" s="244"/>
      <c r="J132" s="244"/>
      <c r="K132" s="244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</row>
    <row r="133" ht="14.25" customHeight="1">
      <c r="A133" s="244"/>
      <c r="B133" s="244"/>
      <c r="C133" s="244"/>
      <c r="D133" s="244"/>
      <c r="E133" s="244"/>
      <c r="F133" s="244"/>
      <c r="G133" s="244"/>
      <c r="H133" s="244"/>
      <c r="I133" s="244"/>
      <c r="J133" s="244"/>
      <c r="K133" s="244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</row>
    <row r="134" ht="14.25" customHeight="1">
      <c r="A134" s="244"/>
      <c r="B134" s="244"/>
      <c r="C134" s="244"/>
      <c r="D134" s="244"/>
      <c r="E134" s="244"/>
      <c r="F134" s="244"/>
      <c r="G134" s="244"/>
      <c r="H134" s="244"/>
      <c r="I134" s="244"/>
      <c r="J134" s="244"/>
      <c r="K134" s="244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</row>
    <row r="135" ht="14.25" customHeight="1">
      <c r="A135" s="244"/>
      <c r="B135" s="244"/>
      <c r="C135" s="244"/>
      <c r="D135" s="244"/>
      <c r="E135" s="244"/>
      <c r="F135" s="244"/>
      <c r="G135" s="244"/>
      <c r="H135" s="244"/>
      <c r="I135" s="244"/>
      <c r="J135" s="244"/>
      <c r="K135" s="244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</row>
    <row r="136" ht="14.25" customHeight="1">
      <c r="A136" s="244"/>
      <c r="B136" s="244"/>
      <c r="C136" s="244"/>
      <c r="D136" s="244"/>
      <c r="E136" s="244"/>
      <c r="F136" s="244"/>
      <c r="G136" s="244"/>
      <c r="H136" s="244"/>
      <c r="I136" s="244"/>
      <c r="J136" s="244"/>
      <c r="K136" s="244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</row>
    <row r="137" ht="14.25" customHeight="1">
      <c r="A137" s="244"/>
      <c r="B137" s="244"/>
      <c r="C137" s="244"/>
      <c r="D137" s="244"/>
      <c r="E137" s="244"/>
      <c r="F137" s="244"/>
      <c r="G137" s="244"/>
      <c r="H137" s="244"/>
      <c r="I137" s="244"/>
      <c r="J137" s="244"/>
      <c r="K137" s="244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</row>
    <row r="138" ht="14.25" customHeight="1">
      <c r="A138" s="244"/>
      <c r="B138" s="244"/>
      <c r="C138" s="244"/>
      <c r="D138" s="244"/>
      <c r="E138" s="244"/>
      <c r="F138" s="244"/>
      <c r="G138" s="244"/>
      <c r="H138" s="244"/>
      <c r="I138" s="244"/>
      <c r="J138" s="244"/>
      <c r="K138" s="244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</row>
    <row r="139" ht="14.25" customHeight="1">
      <c r="A139" s="244"/>
      <c r="B139" s="244"/>
      <c r="C139" s="244"/>
      <c r="D139" s="244"/>
      <c r="E139" s="244"/>
      <c r="F139" s="244"/>
      <c r="G139" s="244"/>
      <c r="H139" s="244"/>
      <c r="I139" s="244"/>
      <c r="J139" s="244"/>
      <c r="K139" s="244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</row>
    <row r="140" ht="14.25" customHeight="1">
      <c r="A140" s="244"/>
      <c r="B140" s="244"/>
      <c r="C140" s="244"/>
      <c r="D140" s="244"/>
      <c r="E140" s="244"/>
      <c r="F140" s="244"/>
      <c r="G140" s="244"/>
      <c r="H140" s="244"/>
      <c r="I140" s="244"/>
      <c r="J140" s="244"/>
      <c r="K140" s="244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</row>
    <row r="141" ht="14.25" customHeight="1">
      <c r="A141" s="244"/>
      <c r="B141" s="244"/>
      <c r="C141" s="244"/>
      <c r="D141" s="244"/>
      <c r="E141" s="244"/>
      <c r="F141" s="244"/>
      <c r="G141" s="244"/>
      <c r="H141" s="244"/>
      <c r="I141" s="244"/>
      <c r="J141" s="244"/>
      <c r="K141" s="244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</row>
    <row r="142" ht="14.25" customHeight="1">
      <c r="A142" s="244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</row>
    <row r="143" ht="14.25" customHeight="1">
      <c r="A143" s="244"/>
      <c r="B143" s="244"/>
      <c r="C143" s="244"/>
      <c r="D143" s="244"/>
      <c r="E143" s="244"/>
      <c r="F143" s="244"/>
      <c r="G143" s="244"/>
      <c r="H143" s="244"/>
      <c r="I143" s="244"/>
      <c r="J143" s="244"/>
      <c r="K143" s="244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</row>
    <row r="144" ht="14.25" customHeight="1">
      <c r="A144" s="244"/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</row>
    <row r="145" ht="14.25" customHeight="1">
      <c r="A145" s="244"/>
      <c r="B145" s="244"/>
      <c r="C145" s="244"/>
      <c r="D145" s="244"/>
      <c r="E145" s="244"/>
      <c r="F145" s="244"/>
      <c r="G145" s="244"/>
      <c r="H145" s="244"/>
      <c r="I145" s="244"/>
      <c r="J145" s="244"/>
      <c r="K145" s="244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</row>
    <row r="146" ht="14.25" customHeight="1">
      <c r="A146" s="244"/>
      <c r="B146" s="244"/>
      <c r="C146" s="244"/>
      <c r="D146" s="244"/>
      <c r="E146" s="244"/>
      <c r="F146" s="244"/>
      <c r="G146" s="244"/>
      <c r="H146" s="244"/>
      <c r="I146" s="244"/>
      <c r="J146" s="244"/>
      <c r="K146" s="244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</row>
    <row r="147" ht="14.25" customHeight="1">
      <c r="A147" s="244"/>
      <c r="B147" s="244"/>
      <c r="C147" s="244"/>
      <c r="D147" s="244"/>
      <c r="E147" s="244"/>
      <c r="F147" s="244"/>
      <c r="G147" s="244"/>
      <c r="H147" s="244"/>
      <c r="I147" s="244"/>
      <c r="J147" s="244"/>
      <c r="K147" s="244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</row>
    <row r="148" ht="14.25" customHeight="1">
      <c r="A148" s="244"/>
      <c r="B148" s="244"/>
      <c r="C148" s="244"/>
      <c r="D148" s="244"/>
      <c r="E148" s="244"/>
      <c r="F148" s="244"/>
      <c r="G148" s="244"/>
      <c r="H148" s="244"/>
      <c r="I148" s="244"/>
      <c r="J148" s="244"/>
      <c r="K148" s="244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</row>
    <row r="149" ht="14.25" customHeight="1">
      <c r="A149" s="244"/>
      <c r="B149" s="244"/>
      <c r="C149" s="244"/>
      <c r="D149" s="244"/>
      <c r="E149" s="244"/>
      <c r="F149" s="244"/>
      <c r="G149" s="244"/>
      <c r="H149" s="244"/>
      <c r="I149" s="244"/>
      <c r="J149" s="244"/>
      <c r="K149" s="244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</row>
    <row r="150" ht="14.25" customHeight="1">
      <c r="A150" s="244"/>
      <c r="B150" s="244"/>
      <c r="C150" s="244"/>
      <c r="D150" s="244"/>
      <c r="E150" s="244"/>
      <c r="F150" s="244"/>
      <c r="G150" s="244"/>
      <c r="H150" s="244"/>
      <c r="I150" s="244"/>
      <c r="J150" s="244"/>
      <c r="K150" s="244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</row>
    <row r="151" ht="14.25" customHeight="1">
      <c r="A151" s="244"/>
      <c r="B151" s="244"/>
      <c r="C151" s="244"/>
      <c r="D151" s="244"/>
      <c r="E151" s="244"/>
      <c r="F151" s="244"/>
      <c r="G151" s="244"/>
      <c r="H151" s="244"/>
      <c r="I151" s="244"/>
      <c r="J151" s="244"/>
      <c r="K151" s="244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</row>
    <row r="152" ht="14.25" customHeight="1">
      <c r="A152" s="244"/>
      <c r="B152" s="244"/>
      <c r="C152" s="244"/>
      <c r="D152" s="244"/>
      <c r="E152" s="244"/>
      <c r="F152" s="244"/>
      <c r="G152" s="244"/>
      <c r="H152" s="244"/>
      <c r="I152" s="244"/>
      <c r="J152" s="244"/>
      <c r="K152" s="244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</row>
    <row r="153" ht="14.25" customHeight="1">
      <c r="A153" s="244"/>
      <c r="B153" s="244"/>
      <c r="C153" s="244"/>
      <c r="D153" s="244"/>
      <c r="E153" s="244"/>
      <c r="F153" s="244"/>
      <c r="G153" s="244"/>
      <c r="H153" s="244"/>
      <c r="I153" s="244"/>
      <c r="J153" s="244"/>
      <c r="K153" s="244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</row>
    <row r="154" ht="14.25" customHeight="1">
      <c r="A154" s="244"/>
      <c r="B154" s="244"/>
      <c r="C154" s="244"/>
      <c r="D154" s="244"/>
      <c r="E154" s="244"/>
      <c r="F154" s="244"/>
      <c r="G154" s="244"/>
      <c r="H154" s="244"/>
      <c r="I154" s="244"/>
      <c r="J154" s="244"/>
      <c r="K154" s="244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</row>
    <row r="155" ht="14.25" customHeight="1">
      <c r="A155" s="244"/>
      <c r="B155" s="244"/>
      <c r="C155" s="244"/>
      <c r="D155" s="244"/>
      <c r="E155" s="244"/>
      <c r="F155" s="244"/>
      <c r="G155" s="244"/>
      <c r="H155" s="244"/>
      <c r="I155" s="244"/>
      <c r="J155" s="244"/>
      <c r="K155" s="244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</row>
    <row r="156" ht="14.25" customHeight="1">
      <c r="A156" s="244"/>
      <c r="B156" s="244"/>
      <c r="C156" s="244"/>
      <c r="D156" s="244"/>
      <c r="E156" s="244"/>
      <c r="F156" s="244"/>
      <c r="G156" s="244"/>
      <c r="H156" s="244"/>
      <c r="I156" s="244"/>
      <c r="J156" s="244"/>
      <c r="K156" s="244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</row>
    <row r="157" ht="14.25" customHeight="1">
      <c r="A157" s="244"/>
      <c r="B157" s="244"/>
      <c r="C157" s="244"/>
      <c r="D157" s="244"/>
      <c r="E157" s="244"/>
      <c r="F157" s="244"/>
      <c r="G157" s="244"/>
      <c r="H157" s="244"/>
      <c r="I157" s="244"/>
      <c r="J157" s="244"/>
      <c r="K157" s="244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</row>
    <row r="158" ht="14.25" customHeight="1">
      <c r="A158" s="244"/>
      <c r="B158" s="244"/>
      <c r="C158" s="244"/>
      <c r="D158" s="244"/>
      <c r="E158" s="244"/>
      <c r="F158" s="244"/>
      <c r="G158" s="244"/>
      <c r="H158" s="244"/>
      <c r="I158" s="244"/>
      <c r="J158" s="244"/>
      <c r="K158" s="244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</row>
    <row r="159" ht="14.25" customHeight="1">
      <c r="A159" s="244"/>
      <c r="B159" s="244"/>
      <c r="C159" s="244"/>
      <c r="D159" s="244"/>
      <c r="E159" s="244"/>
      <c r="F159" s="244"/>
      <c r="G159" s="244"/>
      <c r="H159" s="244"/>
      <c r="I159" s="244"/>
      <c r="J159" s="244"/>
      <c r="K159" s="244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</row>
    <row r="160" ht="14.25" customHeight="1">
      <c r="A160" s="244"/>
      <c r="B160" s="244"/>
      <c r="C160" s="244"/>
      <c r="D160" s="244"/>
      <c r="E160" s="244"/>
      <c r="F160" s="244"/>
      <c r="G160" s="244"/>
      <c r="H160" s="244"/>
      <c r="I160" s="244"/>
      <c r="J160" s="244"/>
      <c r="K160" s="244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</row>
    <row r="161" ht="14.25" customHeight="1">
      <c r="A161" s="244"/>
      <c r="B161" s="244"/>
      <c r="C161" s="244"/>
      <c r="D161" s="244"/>
      <c r="E161" s="244"/>
      <c r="F161" s="244"/>
      <c r="G161" s="244"/>
      <c r="H161" s="244"/>
      <c r="I161" s="244"/>
      <c r="J161" s="244"/>
      <c r="K161" s="244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</row>
    <row r="162" ht="14.25" customHeight="1">
      <c r="A162" s="244"/>
      <c r="B162" s="244"/>
      <c r="C162" s="244"/>
      <c r="D162" s="244"/>
      <c r="E162" s="244"/>
      <c r="F162" s="244"/>
      <c r="G162" s="244"/>
      <c r="H162" s="244"/>
      <c r="I162" s="244"/>
      <c r="J162" s="244"/>
      <c r="K162" s="244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</row>
    <row r="163" ht="14.25" customHeight="1">
      <c r="A163" s="244"/>
      <c r="B163" s="244"/>
      <c r="C163" s="244"/>
      <c r="D163" s="244"/>
      <c r="E163" s="244"/>
      <c r="F163" s="244"/>
      <c r="G163" s="244"/>
      <c r="H163" s="244"/>
      <c r="I163" s="244"/>
      <c r="J163" s="244"/>
      <c r="K163" s="244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</row>
    <row r="164" ht="14.25" customHeight="1">
      <c r="A164" s="244"/>
      <c r="B164" s="244"/>
      <c r="C164" s="244"/>
      <c r="D164" s="244"/>
      <c r="E164" s="244"/>
      <c r="F164" s="244"/>
      <c r="G164" s="244"/>
      <c r="H164" s="244"/>
      <c r="I164" s="244"/>
      <c r="J164" s="244"/>
      <c r="K164" s="244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</row>
    <row r="165" ht="14.25" customHeight="1">
      <c r="A165" s="244"/>
      <c r="B165" s="244"/>
      <c r="C165" s="244"/>
      <c r="D165" s="244"/>
      <c r="E165" s="244"/>
      <c r="F165" s="244"/>
      <c r="G165" s="244"/>
      <c r="H165" s="244"/>
      <c r="I165" s="244"/>
      <c r="J165" s="244"/>
      <c r="K165" s="244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</row>
    <row r="166" ht="14.25" customHeight="1">
      <c r="A166" s="244"/>
      <c r="B166" s="244"/>
      <c r="C166" s="244"/>
      <c r="D166" s="244"/>
      <c r="E166" s="244"/>
      <c r="F166" s="244"/>
      <c r="G166" s="244"/>
      <c r="H166" s="244"/>
      <c r="I166" s="244"/>
      <c r="J166" s="244"/>
      <c r="K166" s="244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</row>
    <row r="167" ht="14.25" customHeight="1">
      <c r="A167" s="244"/>
      <c r="B167" s="244"/>
      <c r="C167" s="244"/>
      <c r="D167" s="244"/>
      <c r="E167" s="244"/>
      <c r="F167" s="244"/>
      <c r="G167" s="244"/>
      <c r="H167" s="244"/>
      <c r="I167" s="244"/>
      <c r="J167" s="244"/>
      <c r="K167" s="244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</row>
    <row r="168" ht="14.25" customHeight="1">
      <c r="A168" s="244"/>
      <c r="B168" s="244"/>
      <c r="C168" s="244"/>
      <c r="D168" s="244"/>
      <c r="E168" s="244"/>
      <c r="F168" s="244"/>
      <c r="G168" s="244"/>
      <c r="H168" s="244"/>
      <c r="I168" s="244"/>
      <c r="J168" s="244"/>
      <c r="K168" s="244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</row>
    <row r="169" ht="14.25" customHeight="1">
      <c r="A169" s="244"/>
      <c r="B169" s="244"/>
      <c r="C169" s="244"/>
      <c r="D169" s="244"/>
      <c r="E169" s="244"/>
      <c r="F169" s="244"/>
      <c r="G169" s="244"/>
      <c r="H169" s="244"/>
      <c r="I169" s="244"/>
      <c r="J169" s="244"/>
      <c r="K169" s="244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</row>
    <row r="170" ht="14.25" customHeight="1">
      <c r="A170" s="244"/>
      <c r="B170" s="244"/>
      <c r="C170" s="244"/>
      <c r="D170" s="244"/>
      <c r="E170" s="244"/>
      <c r="F170" s="244"/>
      <c r="G170" s="244"/>
      <c r="H170" s="244"/>
      <c r="I170" s="244"/>
      <c r="J170" s="244"/>
      <c r="K170" s="244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</row>
    <row r="171" ht="14.25" customHeight="1">
      <c r="A171" s="244"/>
      <c r="B171" s="244"/>
      <c r="C171" s="244"/>
      <c r="D171" s="244"/>
      <c r="E171" s="244"/>
      <c r="F171" s="244"/>
      <c r="G171" s="244"/>
      <c r="H171" s="244"/>
      <c r="I171" s="244"/>
      <c r="J171" s="244"/>
      <c r="K171" s="244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</row>
    <row r="172" ht="14.25" customHeight="1">
      <c r="A172" s="244"/>
      <c r="B172" s="244"/>
      <c r="C172" s="244"/>
      <c r="D172" s="244"/>
      <c r="E172" s="244"/>
      <c r="F172" s="244"/>
      <c r="G172" s="244"/>
      <c r="H172" s="244"/>
      <c r="I172" s="244"/>
      <c r="J172" s="244"/>
      <c r="K172" s="244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</row>
    <row r="173" ht="14.25" customHeight="1">
      <c r="A173" s="244"/>
      <c r="B173" s="244"/>
      <c r="C173" s="244"/>
      <c r="D173" s="244"/>
      <c r="E173" s="244"/>
      <c r="F173" s="244"/>
      <c r="G173" s="244"/>
      <c r="H173" s="244"/>
      <c r="I173" s="244"/>
      <c r="J173" s="244"/>
      <c r="K173" s="244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</row>
    <row r="174" ht="14.25" customHeight="1">
      <c r="A174" s="244"/>
      <c r="B174" s="244"/>
      <c r="C174" s="244"/>
      <c r="D174" s="244"/>
      <c r="E174" s="244"/>
      <c r="F174" s="244"/>
      <c r="G174" s="244"/>
      <c r="H174" s="244"/>
      <c r="I174" s="244"/>
      <c r="J174" s="244"/>
      <c r="K174" s="244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</row>
    <row r="175" ht="14.25" customHeight="1">
      <c r="A175" s="244"/>
      <c r="B175" s="244"/>
      <c r="C175" s="244"/>
      <c r="D175" s="244"/>
      <c r="E175" s="244"/>
      <c r="F175" s="244"/>
      <c r="G175" s="244"/>
      <c r="H175" s="244"/>
      <c r="I175" s="244"/>
      <c r="J175" s="244"/>
      <c r="K175" s="244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</row>
    <row r="176" ht="14.25" customHeight="1">
      <c r="A176" s="244"/>
      <c r="B176" s="244"/>
      <c r="C176" s="244"/>
      <c r="D176" s="244"/>
      <c r="E176" s="244"/>
      <c r="F176" s="244"/>
      <c r="G176" s="244"/>
      <c r="H176" s="244"/>
      <c r="I176" s="244"/>
      <c r="J176" s="244"/>
      <c r="K176" s="244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</row>
    <row r="177" ht="14.25" customHeight="1">
      <c r="A177" s="244"/>
      <c r="B177" s="244"/>
      <c r="C177" s="244"/>
      <c r="D177" s="244"/>
      <c r="E177" s="244"/>
      <c r="F177" s="244"/>
      <c r="G177" s="244"/>
      <c r="H177" s="244"/>
      <c r="I177" s="244"/>
      <c r="J177" s="244"/>
      <c r="K177" s="244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</row>
    <row r="178" ht="14.25" customHeight="1">
      <c r="A178" s="244"/>
      <c r="B178" s="244"/>
      <c r="C178" s="244"/>
      <c r="D178" s="244"/>
      <c r="E178" s="244"/>
      <c r="F178" s="244"/>
      <c r="G178" s="244"/>
      <c r="H178" s="244"/>
      <c r="I178" s="244"/>
      <c r="J178" s="244"/>
      <c r="K178" s="244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</row>
    <row r="179" ht="14.25" customHeight="1">
      <c r="A179" s="244"/>
      <c r="B179" s="244"/>
      <c r="C179" s="244"/>
      <c r="D179" s="244"/>
      <c r="E179" s="244"/>
      <c r="F179" s="244"/>
      <c r="G179" s="244"/>
      <c r="H179" s="244"/>
      <c r="I179" s="244"/>
      <c r="J179" s="244"/>
      <c r="K179" s="244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</row>
    <row r="180" ht="14.25" customHeight="1">
      <c r="A180" s="244"/>
      <c r="B180" s="244"/>
      <c r="C180" s="244"/>
      <c r="D180" s="244"/>
      <c r="E180" s="244"/>
      <c r="F180" s="244"/>
      <c r="G180" s="244"/>
      <c r="H180" s="244"/>
      <c r="I180" s="244"/>
      <c r="J180" s="244"/>
      <c r="K180" s="244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</row>
    <row r="181" ht="14.25" customHeight="1">
      <c r="A181" s="244"/>
      <c r="B181" s="244"/>
      <c r="C181" s="244"/>
      <c r="D181" s="244"/>
      <c r="E181" s="244"/>
      <c r="F181" s="244"/>
      <c r="G181" s="244"/>
      <c r="H181" s="244"/>
      <c r="I181" s="244"/>
      <c r="J181" s="244"/>
      <c r="K181" s="244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</row>
    <row r="182" ht="14.25" customHeight="1">
      <c r="A182" s="244"/>
      <c r="B182" s="244"/>
      <c r="C182" s="244"/>
      <c r="D182" s="244"/>
      <c r="E182" s="244"/>
      <c r="F182" s="244"/>
      <c r="G182" s="244"/>
      <c r="H182" s="244"/>
      <c r="I182" s="244"/>
      <c r="J182" s="244"/>
      <c r="K182" s="244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</row>
    <row r="183" ht="14.25" customHeight="1">
      <c r="A183" s="244"/>
      <c r="B183" s="244"/>
      <c r="C183" s="244"/>
      <c r="D183" s="244"/>
      <c r="E183" s="244"/>
      <c r="F183" s="244"/>
      <c r="G183" s="244"/>
      <c r="H183" s="244"/>
      <c r="I183" s="244"/>
      <c r="J183" s="244"/>
      <c r="K183" s="244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</row>
    <row r="184" ht="14.25" customHeight="1">
      <c r="A184" s="244"/>
      <c r="B184" s="244"/>
      <c r="C184" s="244"/>
      <c r="D184" s="244"/>
      <c r="E184" s="244"/>
      <c r="F184" s="244"/>
      <c r="G184" s="244"/>
      <c r="H184" s="244"/>
      <c r="I184" s="244"/>
      <c r="J184" s="244"/>
      <c r="K184" s="244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</row>
    <row r="185" ht="14.25" customHeight="1">
      <c r="A185" s="244"/>
      <c r="B185" s="244"/>
      <c r="C185" s="244"/>
      <c r="D185" s="244"/>
      <c r="E185" s="244"/>
      <c r="F185" s="244"/>
      <c r="G185" s="244"/>
      <c r="H185" s="244"/>
      <c r="I185" s="244"/>
      <c r="J185" s="244"/>
      <c r="K185" s="244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</row>
    <row r="186" ht="14.25" customHeight="1">
      <c r="A186" s="244"/>
      <c r="B186" s="244"/>
      <c r="C186" s="244"/>
      <c r="D186" s="244"/>
      <c r="E186" s="244"/>
      <c r="F186" s="244"/>
      <c r="G186" s="244"/>
      <c r="H186" s="244"/>
      <c r="I186" s="244"/>
      <c r="J186" s="244"/>
      <c r="K186" s="244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</row>
    <row r="187" ht="14.25" customHeight="1">
      <c r="A187" s="244"/>
      <c r="B187" s="244"/>
      <c r="C187" s="244"/>
      <c r="D187" s="244"/>
      <c r="E187" s="244"/>
      <c r="F187" s="244"/>
      <c r="G187" s="244"/>
      <c r="H187" s="244"/>
      <c r="I187" s="244"/>
      <c r="J187" s="244"/>
      <c r="K187" s="244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</row>
    <row r="188" ht="14.25" customHeight="1">
      <c r="A188" s="244"/>
      <c r="B188" s="244"/>
      <c r="C188" s="244"/>
      <c r="D188" s="244"/>
      <c r="E188" s="244"/>
      <c r="F188" s="244"/>
      <c r="G188" s="244"/>
      <c r="H188" s="244"/>
      <c r="I188" s="244"/>
      <c r="J188" s="244"/>
      <c r="K188" s="244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</row>
    <row r="189" ht="14.25" customHeight="1">
      <c r="A189" s="244"/>
      <c r="B189" s="244"/>
      <c r="C189" s="244"/>
      <c r="D189" s="244"/>
      <c r="E189" s="244"/>
      <c r="F189" s="244"/>
      <c r="G189" s="244"/>
      <c r="H189" s="244"/>
      <c r="I189" s="244"/>
      <c r="J189" s="244"/>
      <c r="K189" s="244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</row>
    <row r="190" ht="14.25" customHeight="1">
      <c r="A190" s="244"/>
      <c r="B190" s="244"/>
      <c r="C190" s="244"/>
      <c r="D190" s="244"/>
      <c r="E190" s="244"/>
      <c r="F190" s="244"/>
      <c r="G190" s="244"/>
      <c r="H190" s="244"/>
      <c r="I190" s="244"/>
      <c r="J190" s="244"/>
      <c r="K190" s="244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</row>
    <row r="191" ht="14.25" customHeight="1">
      <c r="A191" s="244"/>
      <c r="B191" s="244"/>
      <c r="C191" s="244"/>
      <c r="D191" s="244"/>
      <c r="E191" s="244"/>
      <c r="F191" s="244"/>
      <c r="G191" s="244"/>
      <c r="H191" s="244"/>
      <c r="I191" s="244"/>
      <c r="J191" s="244"/>
      <c r="K191" s="244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</row>
    <row r="192" ht="14.25" customHeight="1">
      <c r="A192" s="244"/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</row>
    <row r="193" ht="14.25" customHeight="1">
      <c r="A193" s="244"/>
      <c r="B193" s="244"/>
      <c r="C193" s="244"/>
      <c r="D193" s="244"/>
      <c r="E193" s="244"/>
      <c r="F193" s="244"/>
      <c r="G193" s="244"/>
      <c r="H193" s="244"/>
      <c r="I193" s="244"/>
      <c r="J193" s="244"/>
      <c r="K193" s="244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</row>
    <row r="194" ht="14.25" customHeight="1">
      <c r="A194" s="244"/>
      <c r="B194" s="244"/>
      <c r="C194" s="244"/>
      <c r="D194" s="244"/>
      <c r="E194" s="244"/>
      <c r="F194" s="244"/>
      <c r="G194" s="244"/>
      <c r="H194" s="244"/>
      <c r="I194" s="244"/>
      <c r="J194" s="244"/>
      <c r="K194" s="244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</row>
    <row r="195" ht="14.25" customHeight="1">
      <c r="A195" s="244"/>
      <c r="B195" s="244"/>
      <c r="C195" s="244"/>
      <c r="D195" s="244"/>
      <c r="E195" s="244"/>
      <c r="F195" s="244"/>
      <c r="G195" s="244"/>
      <c r="H195" s="244"/>
      <c r="I195" s="244"/>
      <c r="J195" s="244"/>
      <c r="K195" s="244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</row>
    <row r="196" ht="14.25" customHeight="1">
      <c r="A196" s="244"/>
      <c r="B196" s="244"/>
      <c r="C196" s="244"/>
      <c r="D196" s="244"/>
      <c r="E196" s="244"/>
      <c r="F196" s="244"/>
      <c r="G196" s="244"/>
      <c r="H196" s="244"/>
      <c r="I196" s="244"/>
      <c r="J196" s="244"/>
      <c r="K196" s="244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</row>
    <row r="197" ht="14.25" customHeight="1">
      <c r="A197" s="244"/>
      <c r="B197" s="244"/>
      <c r="C197" s="244"/>
      <c r="D197" s="244"/>
      <c r="E197" s="244"/>
      <c r="F197" s="244"/>
      <c r="G197" s="244"/>
      <c r="H197" s="244"/>
      <c r="I197" s="244"/>
      <c r="J197" s="244"/>
      <c r="K197" s="244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</row>
    <row r="198" ht="14.25" customHeight="1">
      <c r="A198" s="244"/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</row>
    <row r="199" ht="14.25" customHeight="1">
      <c r="A199" s="244"/>
      <c r="B199" s="244"/>
      <c r="C199" s="244"/>
      <c r="D199" s="244"/>
      <c r="E199" s="244"/>
      <c r="F199" s="244"/>
      <c r="G199" s="244"/>
      <c r="H199" s="244"/>
      <c r="I199" s="244"/>
      <c r="J199" s="244"/>
      <c r="K199" s="244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</row>
    <row r="200" ht="14.25" customHeight="1">
      <c r="A200" s="244"/>
      <c r="B200" s="244"/>
      <c r="C200" s="244"/>
      <c r="D200" s="244"/>
      <c r="E200" s="244"/>
      <c r="F200" s="244"/>
      <c r="G200" s="244"/>
      <c r="H200" s="244"/>
      <c r="I200" s="244"/>
      <c r="J200" s="244"/>
      <c r="K200" s="244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</row>
    <row r="201" ht="14.25" customHeight="1">
      <c r="A201" s="244"/>
      <c r="B201" s="244"/>
      <c r="C201" s="244"/>
      <c r="D201" s="244"/>
      <c r="E201" s="244"/>
      <c r="F201" s="244"/>
      <c r="G201" s="244"/>
      <c r="H201" s="244"/>
      <c r="I201" s="244"/>
      <c r="J201" s="244"/>
      <c r="K201" s="244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</row>
    <row r="202" ht="14.25" customHeight="1">
      <c r="A202" s="244"/>
      <c r="B202" s="244"/>
      <c r="C202" s="244"/>
      <c r="D202" s="244"/>
      <c r="E202" s="244"/>
      <c r="F202" s="244"/>
      <c r="G202" s="244"/>
      <c r="H202" s="244"/>
      <c r="I202" s="244"/>
      <c r="J202" s="244"/>
      <c r="K202" s="244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</row>
    <row r="203" ht="14.25" customHeight="1">
      <c r="A203" s="244"/>
      <c r="B203" s="244"/>
      <c r="C203" s="244"/>
      <c r="D203" s="244"/>
      <c r="E203" s="244"/>
      <c r="F203" s="244"/>
      <c r="G203" s="244"/>
      <c r="H203" s="244"/>
      <c r="I203" s="244"/>
      <c r="J203" s="244"/>
      <c r="K203" s="244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</row>
    <row r="204" ht="14.25" customHeight="1">
      <c r="A204" s="244"/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</row>
    <row r="205" ht="14.25" customHeight="1">
      <c r="A205" s="244"/>
      <c r="B205" s="244"/>
      <c r="C205" s="244"/>
      <c r="D205" s="244"/>
      <c r="E205" s="244"/>
      <c r="F205" s="244"/>
      <c r="G205" s="244"/>
      <c r="H205" s="244"/>
      <c r="I205" s="244"/>
      <c r="J205" s="244"/>
      <c r="K205" s="244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</row>
    <row r="206" ht="14.25" customHeight="1">
      <c r="A206" s="244"/>
      <c r="B206" s="244"/>
      <c r="C206" s="244"/>
      <c r="D206" s="244"/>
      <c r="E206" s="244"/>
      <c r="F206" s="244"/>
      <c r="G206" s="244"/>
      <c r="H206" s="244"/>
      <c r="I206" s="244"/>
      <c r="J206" s="244"/>
      <c r="K206" s="244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</row>
    <row r="207" ht="14.25" customHeight="1">
      <c r="A207" s="244"/>
      <c r="B207" s="244"/>
      <c r="C207" s="244"/>
      <c r="D207" s="244"/>
      <c r="E207" s="244"/>
      <c r="F207" s="244"/>
      <c r="G207" s="244"/>
      <c r="H207" s="244"/>
      <c r="I207" s="244"/>
      <c r="J207" s="244"/>
      <c r="K207" s="244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</row>
    <row r="208" ht="14.25" customHeight="1">
      <c r="A208" s="244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</row>
    <row r="209" ht="14.25" customHeight="1">
      <c r="A209" s="244"/>
      <c r="B209" s="244"/>
      <c r="C209" s="244"/>
      <c r="D209" s="244"/>
      <c r="E209" s="244"/>
      <c r="F209" s="244"/>
      <c r="G209" s="244"/>
      <c r="H209" s="244"/>
      <c r="I209" s="244"/>
      <c r="J209" s="244"/>
      <c r="K209" s="244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</row>
    <row r="210" ht="14.25" customHeight="1">
      <c r="A210" s="244"/>
      <c r="B210" s="244"/>
      <c r="C210" s="244"/>
      <c r="D210" s="244"/>
      <c r="E210" s="244"/>
      <c r="F210" s="244"/>
      <c r="G210" s="244"/>
      <c r="H210" s="244"/>
      <c r="I210" s="244"/>
      <c r="J210" s="244"/>
      <c r="K210" s="244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</row>
    <row r="211" ht="14.25" customHeight="1">
      <c r="A211" s="244"/>
      <c r="B211" s="244"/>
      <c r="C211" s="244"/>
      <c r="D211" s="244"/>
      <c r="E211" s="244"/>
      <c r="F211" s="244"/>
      <c r="G211" s="244"/>
      <c r="H211" s="244"/>
      <c r="I211" s="244"/>
      <c r="J211" s="244"/>
      <c r="K211" s="244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</row>
    <row r="212" ht="14.25" customHeight="1">
      <c r="A212" s="244"/>
      <c r="B212" s="244"/>
      <c r="C212" s="244"/>
      <c r="D212" s="244"/>
      <c r="E212" s="244"/>
      <c r="F212" s="244"/>
      <c r="G212" s="244"/>
      <c r="H212" s="244"/>
      <c r="I212" s="244"/>
      <c r="J212" s="244"/>
      <c r="K212" s="244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</row>
    <row r="213" ht="14.25" customHeight="1">
      <c r="A213" s="244"/>
      <c r="B213" s="244"/>
      <c r="C213" s="244"/>
      <c r="D213" s="244"/>
      <c r="E213" s="244"/>
      <c r="F213" s="244"/>
      <c r="G213" s="244"/>
      <c r="H213" s="244"/>
      <c r="I213" s="244"/>
      <c r="J213" s="244"/>
      <c r="K213" s="244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</row>
    <row r="214" ht="14.25" customHeight="1">
      <c r="A214" s="244"/>
      <c r="B214" s="244"/>
      <c r="C214" s="244"/>
      <c r="D214" s="244"/>
      <c r="E214" s="244"/>
      <c r="F214" s="244"/>
      <c r="G214" s="244"/>
      <c r="H214" s="244"/>
      <c r="I214" s="244"/>
      <c r="J214" s="244"/>
      <c r="K214" s="244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</row>
    <row r="215" ht="14.25" customHeight="1">
      <c r="A215" s="244"/>
      <c r="B215" s="244"/>
      <c r="C215" s="244"/>
      <c r="D215" s="244"/>
      <c r="E215" s="244"/>
      <c r="F215" s="244"/>
      <c r="G215" s="244"/>
      <c r="H215" s="244"/>
      <c r="I215" s="244"/>
      <c r="J215" s="244"/>
      <c r="K215" s="244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</row>
    <row r="216" ht="14.25" customHeight="1">
      <c r="A216" s="244"/>
      <c r="B216" s="244"/>
      <c r="C216" s="244"/>
      <c r="D216" s="244"/>
      <c r="E216" s="244"/>
      <c r="F216" s="244"/>
      <c r="G216" s="244"/>
      <c r="H216" s="244"/>
      <c r="I216" s="244"/>
      <c r="J216" s="244"/>
      <c r="K216" s="244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</row>
    <row r="217" ht="14.25" customHeight="1">
      <c r="A217" s="244"/>
      <c r="B217" s="244"/>
      <c r="C217" s="244"/>
      <c r="D217" s="244"/>
      <c r="E217" s="244"/>
      <c r="F217" s="244"/>
      <c r="G217" s="244"/>
      <c r="H217" s="244"/>
      <c r="I217" s="244"/>
      <c r="J217" s="244"/>
      <c r="K217" s="244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</row>
    <row r="218" ht="14.25" customHeight="1">
      <c r="A218" s="244"/>
      <c r="B218" s="244"/>
      <c r="C218" s="244"/>
      <c r="D218" s="244"/>
      <c r="E218" s="244"/>
      <c r="F218" s="244"/>
      <c r="G218" s="244"/>
      <c r="H218" s="244"/>
      <c r="I218" s="244"/>
      <c r="J218" s="244"/>
      <c r="K218" s="244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</row>
    <row r="219" ht="14.25" customHeight="1">
      <c r="A219" s="244"/>
      <c r="B219" s="244"/>
      <c r="C219" s="244"/>
      <c r="D219" s="244"/>
      <c r="E219" s="244"/>
      <c r="F219" s="244"/>
      <c r="G219" s="244"/>
      <c r="H219" s="244"/>
      <c r="I219" s="244"/>
      <c r="J219" s="244"/>
      <c r="K219" s="244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</row>
    <row r="220" ht="14.25" customHeight="1">
      <c r="A220" s="244"/>
      <c r="B220" s="244"/>
      <c r="C220" s="244"/>
      <c r="D220" s="244"/>
      <c r="E220" s="244"/>
      <c r="F220" s="244"/>
      <c r="G220" s="244"/>
      <c r="H220" s="244"/>
      <c r="I220" s="244"/>
      <c r="J220" s="244"/>
      <c r="K220" s="244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</row>
    <row r="221" ht="14.25" customHeight="1">
      <c r="A221" s="244"/>
      <c r="B221" s="244"/>
      <c r="C221" s="244"/>
      <c r="D221" s="244"/>
      <c r="E221" s="244"/>
      <c r="F221" s="244"/>
      <c r="G221" s="244"/>
      <c r="H221" s="244"/>
      <c r="I221" s="244"/>
      <c r="J221" s="244"/>
      <c r="K221" s="244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</row>
    <row r="222" ht="14.25" customHeight="1">
      <c r="A222" s="244"/>
      <c r="B222" s="244"/>
      <c r="C222" s="244"/>
      <c r="D222" s="244"/>
      <c r="E222" s="244"/>
      <c r="F222" s="244"/>
      <c r="G222" s="244"/>
      <c r="H222" s="244"/>
      <c r="I222" s="244"/>
      <c r="J222" s="244"/>
      <c r="K222" s="244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</row>
    <row r="223" ht="14.25" customHeight="1">
      <c r="A223" s="244"/>
      <c r="B223" s="244"/>
      <c r="C223" s="244"/>
      <c r="D223" s="244"/>
      <c r="E223" s="244"/>
      <c r="F223" s="244"/>
      <c r="G223" s="244"/>
      <c r="H223" s="244"/>
      <c r="I223" s="244"/>
      <c r="J223" s="244"/>
      <c r="K223" s="244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</row>
    <row r="224" ht="14.25" customHeight="1">
      <c r="A224" s="244"/>
      <c r="B224" s="244"/>
      <c r="C224" s="244"/>
      <c r="D224" s="244"/>
      <c r="E224" s="244"/>
      <c r="F224" s="244"/>
      <c r="G224" s="244"/>
      <c r="H224" s="244"/>
      <c r="I224" s="244"/>
      <c r="J224" s="244"/>
      <c r="K224" s="244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</row>
    <row r="225" ht="14.25" customHeight="1">
      <c r="A225" s="244"/>
      <c r="B225" s="244"/>
      <c r="C225" s="244"/>
      <c r="D225" s="244"/>
      <c r="E225" s="244"/>
      <c r="F225" s="244"/>
      <c r="G225" s="244"/>
      <c r="H225" s="244"/>
      <c r="I225" s="244"/>
      <c r="J225" s="244"/>
      <c r="K225" s="244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</row>
    <row r="226" ht="14.25" customHeight="1">
      <c r="A226" s="244"/>
      <c r="B226" s="244"/>
      <c r="C226" s="244"/>
      <c r="D226" s="244"/>
      <c r="E226" s="244"/>
      <c r="F226" s="244"/>
      <c r="G226" s="244"/>
      <c r="H226" s="244"/>
      <c r="I226" s="244"/>
      <c r="J226" s="244"/>
      <c r="K226" s="244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</row>
    <row r="227" ht="14.25" customHeight="1">
      <c r="A227" s="244"/>
      <c r="B227" s="244"/>
      <c r="C227" s="244"/>
      <c r="D227" s="244"/>
      <c r="E227" s="244"/>
      <c r="F227" s="244"/>
      <c r="G227" s="244"/>
      <c r="H227" s="244"/>
      <c r="I227" s="244"/>
      <c r="J227" s="244"/>
      <c r="K227" s="244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</row>
    <row r="228" ht="14.25" customHeight="1">
      <c r="A228" s="244"/>
      <c r="B228" s="244"/>
      <c r="C228" s="244"/>
      <c r="D228" s="244"/>
      <c r="E228" s="244"/>
      <c r="F228" s="244"/>
      <c r="G228" s="244"/>
      <c r="H228" s="244"/>
      <c r="I228" s="244"/>
      <c r="J228" s="244"/>
      <c r="K228" s="244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</row>
    <row r="229" ht="14.25" customHeight="1">
      <c r="A229" s="244"/>
      <c r="B229" s="244"/>
      <c r="C229" s="244"/>
      <c r="D229" s="244"/>
      <c r="E229" s="244"/>
      <c r="F229" s="244"/>
      <c r="G229" s="244"/>
      <c r="H229" s="244"/>
      <c r="I229" s="244"/>
      <c r="J229" s="244"/>
      <c r="K229" s="244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</row>
    <row r="230" ht="14.25" customHeight="1">
      <c r="A230" s="244"/>
      <c r="B230" s="244"/>
      <c r="C230" s="244"/>
      <c r="D230" s="244"/>
      <c r="E230" s="244"/>
      <c r="F230" s="244"/>
      <c r="G230" s="244"/>
      <c r="H230" s="244"/>
      <c r="I230" s="244"/>
      <c r="J230" s="244"/>
      <c r="K230" s="244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</row>
    <row r="231" ht="14.25" customHeight="1">
      <c r="A231" s="244"/>
      <c r="B231" s="244"/>
      <c r="C231" s="244"/>
      <c r="D231" s="244"/>
      <c r="E231" s="244"/>
      <c r="F231" s="244"/>
      <c r="G231" s="244"/>
      <c r="H231" s="244"/>
      <c r="I231" s="244"/>
      <c r="J231" s="244"/>
      <c r="K231" s="244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</row>
    <row r="232" ht="14.25" customHeight="1">
      <c r="A232" s="244"/>
      <c r="B232" s="244"/>
      <c r="C232" s="244"/>
      <c r="D232" s="244"/>
      <c r="E232" s="244"/>
      <c r="F232" s="244"/>
      <c r="G232" s="244"/>
      <c r="H232" s="244"/>
      <c r="I232" s="244"/>
      <c r="J232" s="244"/>
      <c r="K232" s="244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</row>
    <row r="233" ht="14.25" customHeight="1">
      <c r="A233" s="244"/>
      <c r="B233" s="244"/>
      <c r="C233" s="244"/>
      <c r="D233" s="244"/>
      <c r="E233" s="244"/>
      <c r="F233" s="244"/>
      <c r="G233" s="244"/>
      <c r="H233" s="244"/>
      <c r="I233" s="244"/>
      <c r="J233" s="244"/>
      <c r="K233" s="244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</row>
    <row r="234" ht="14.25" customHeight="1">
      <c r="A234" s="244"/>
      <c r="B234" s="244"/>
      <c r="C234" s="244"/>
      <c r="D234" s="244"/>
      <c r="E234" s="244"/>
      <c r="F234" s="244"/>
      <c r="G234" s="244"/>
      <c r="H234" s="244"/>
      <c r="I234" s="244"/>
      <c r="J234" s="244"/>
      <c r="K234" s="244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</row>
    <row r="235" ht="14.25" customHeight="1">
      <c r="A235" s="244"/>
      <c r="B235" s="244"/>
      <c r="C235" s="244"/>
      <c r="D235" s="244"/>
      <c r="E235" s="244"/>
      <c r="F235" s="244"/>
      <c r="G235" s="244"/>
      <c r="H235" s="244"/>
      <c r="I235" s="244"/>
      <c r="J235" s="244"/>
      <c r="K235" s="244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</row>
    <row r="236" ht="14.25" customHeight="1">
      <c r="A236" s="244"/>
      <c r="B236" s="244"/>
      <c r="C236" s="244"/>
      <c r="D236" s="244"/>
      <c r="E236" s="244"/>
      <c r="F236" s="244"/>
      <c r="G236" s="244"/>
      <c r="H236" s="244"/>
      <c r="I236" s="244"/>
      <c r="J236" s="244"/>
      <c r="K236" s="244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</row>
    <row r="237" ht="14.25" customHeight="1">
      <c r="A237" s="244"/>
      <c r="B237" s="244"/>
      <c r="C237" s="244"/>
      <c r="D237" s="244"/>
      <c r="E237" s="244"/>
      <c r="F237" s="244"/>
      <c r="G237" s="244"/>
      <c r="H237" s="244"/>
      <c r="I237" s="244"/>
      <c r="J237" s="244"/>
      <c r="K237" s="244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</row>
    <row r="238" ht="14.25" customHeight="1">
      <c r="A238" s="244"/>
      <c r="B238" s="244"/>
      <c r="C238" s="244"/>
      <c r="D238" s="244"/>
      <c r="E238" s="244"/>
      <c r="F238" s="244"/>
      <c r="G238" s="244"/>
      <c r="H238" s="244"/>
      <c r="I238" s="244"/>
      <c r="J238" s="244"/>
      <c r="K238" s="244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</row>
    <row r="239" ht="14.25" customHeight="1">
      <c r="A239" s="244"/>
      <c r="B239" s="244"/>
      <c r="C239" s="244"/>
      <c r="D239" s="244"/>
      <c r="E239" s="244"/>
      <c r="F239" s="244"/>
      <c r="G239" s="244"/>
      <c r="H239" s="244"/>
      <c r="I239" s="244"/>
      <c r="J239" s="244"/>
      <c r="K239" s="244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</row>
    <row r="240" ht="14.25" customHeight="1">
      <c r="A240" s="244"/>
      <c r="B240" s="244"/>
      <c r="C240" s="244"/>
      <c r="D240" s="244"/>
      <c r="E240" s="244"/>
      <c r="F240" s="244"/>
      <c r="G240" s="244"/>
      <c r="H240" s="244"/>
      <c r="I240" s="244"/>
      <c r="J240" s="244"/>
      <c r="K240" s="244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</row>
    <row r="241" ht="14.25" customHeight="1">
      <c r="A241" s="244"/>
      <c r="B241" s="244"/>
      <c r="C241" s="244"/>
      <c r="D241" s="244"/>
      <c r="E241" s="244"/>
      <c r="F241" s="244"/>
      <c r="G241" s="244"/>
      <c r="H241" s="244"/>
      <c r="I241" s="244"/>
      <c r="J241" s="244"/>
      <c r="K241" s="244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</row>
    <row r="242" ht="14.25" customHeight="1">
      <c r="A242" s="244"/>
      <c r="B242" s="244"/>
      <c r="C242" s="244"/>
      <c r="D242" s="244"/>
      <c r="E242" s="244"/>
      <c r="F242" s="244"/>
      <c r="G242" s="244"/>
      <c r="H242" s="244"/>
      <c r="I242" s="244"/>
      <c r="J242" s="244"/>
      <c r="K242" s="244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</row>
    <row r="243" ht="14.25" customHeight="1">
      <c r="A243" s="244"/>
      <c r="B243" s="244"/>
      <c r="C243" s="244"/>
      <c r="D243" s="244"/>
      <c r="E243" s="244"/>
      <c r="F243" s="244"/>
      <c r="G243" s="244"/>
      <c r="H243" s="244"/>
      <c r="I243" s="244"/>
      <c r="J243" s="244"/>
      <c r="K243" s="244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</row>
    <row r="244" ht="14.25" customHeight="1">
      <c r="A244" s="244"/>
      <c r="B244" s="244"/>
      <c r="C244" s="244"/>
      <c r="D244" s="244"/>
      <c r="E244" s="244"/>
      <c r="F244" s="244"/>
      <c r="G244" s="244"/>
      <c r="H244" s="244"/>
      <c r="I244" s="244"/>
      <c r="J244" s="244"/>
      <c r="K244" s="244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</row>
    <row r="245" ht="14.25" customHeight="1">
      <c r="A245" s="244"/>
      <c r="B245" s="244"/>
      <c r="C245" s="244"/>
      <c r="D245" s="244"/>
      <c r="E245" s="244"/>
      <c r="F245" s="244"/>
      <c r="G245" s="244"/>
      <c r="H245" s="244"/>
      <c r="I245" s="244"/>
      <c r="J245" s="244"/>
      <c r="K245" s="244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</row>
    <row r="246" ht="14.25" customHeight="1">
      <c r="A246" s="244"/>
      <c r="B246" s="244"/>
      <c r="C246" s="244"/>
      <c r="D246" s="244"/>
      <c r="E246" s="244"/>
      <c r="F246" s="244"/>
      <c r="G246" s="244"/>
      <c r="H246" s="244"/>
      <c r="I246" s="244"/>
      <c r="J246" s="244"/>
      <c r="K246" s="244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</row>
    <row r="247" ht="14.25" customHeight="1">
      <c r="A247" s="244"/>
      <c r="B247" s="244"/>
      <c r="C247" s="244"/>
      <c r="D247" s="244"/>
      <c r="E247" s="244"/>
      <c r="F247" s="244"/>
      <c r="G247" s="244"/>
      <c r="H247" s="244"/>
      <c r="I247" s="244"/>
      <c r="J247" s="244"/>
      <c r="K247" s="244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</row>
    <row r="248" ht="14.25" customHeight="1">
      <c r="A248" s="244"/>
      <c r="B248" s="244"/>
      <c r="C248" s="244"/>
      <c r="D248" s="244"/>
      <c r="E248" s="244"/>
      <c r="F248" s="244"/>
      <c r="G248" s="244"/>
      <c r="H248" s="244"/>
      <c r="I248" s="244"/>
      <c r="J248" s="244"/>
      <c r="K248" s="244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</row>
    <row r="249" ht="14.25" customHeight="1">
      <c r="A249" s="244"/>
      <c r="B249" s="244"/>
      <c r="C249" s="244"/>
      <c r="D249" s="244"/>
      <c r="E249" s="244"/>
      <c r="F249" s="244"/>
      <c r="G249" s="244"/>
      <c r="H249" s="244"/>
      <c r="I249" s="244"/>
      <c r="J249" s="244"/>
      <c r="K249" s="244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</row>
    <row r="250" ht="14.25" customHeight="1">
      <c r="A250" s="244"/>
      <c r="B250" s="244"/>
      <c r="C250" s="244"/>
      <c r="D250" s="244"/>
      <c r="E250" s="244"/>
      <c r="F250" s="244"/>
      <c r="G250" s="244"/>
      <c r="H250" s="244"/>
      <c r="I250" s="244"/>
      <c r="J250" s="244"/>
      <c r="K250" s="244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</row>
    <row r="251" ht="14.25" customHeight="1">
      <c r="A251" s="244"/>
      <c r="B251" s="244"/>
      <c r="C251" s="244"/>
      <c r="D251" s="244"/>
      <c r="E251" s="244"/>
      <c r="F251" s="244"/>
      <c r="G251" s="244"/>
      <c r="H251" s="244"/>
      <c r="I251" s="244"/>
      <c r="J251" s="244"/>
      <c r="K251" s="244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</row>
    <row r="252" ht="14.25" customHeight="1">
      <c r="A252" s="244"/>
      <c r="B252" s="244"/>
      <c r="C252" s="244"/>
      <c r="D252" s="244"/>
      <c r="E252" s="244"/>
      <c r="F252" s="244"/>
      <c r="G252" s="244"/>
      <c r="H252" s="244"/>
      <c r="I252" s="244"/>
      <c r="J252" s="244"/>
      <c r="K252" s="244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</row>
    <row r="253" ht="14.25" customHeight="1">
      <c r="A253" s="244"/>
      <c r="B253" s="244"/>
      <c r="C253" s="244"/>
      <c r="D253" s="244"/>
      <c r="E253" s="244"/>
      <c r="F253" s="244"/>
      <c r="G253" s="244"/>
      <c r="H253" s="244"/>
      <c r="I253" s="244"/>
      <c r="J253" s="244"/>
      <c r="K253" s="244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</row>
    <row r="254" ht="14.25" customHeight="1">
      <c r="A254" s="244"/>
      <c r="B254" s="244"/>
      <c r="C254" s="244"/>
      <c r="D254" s="244"/>
      <c r="E254" s="244"/>
      <c r="F254" s="244"/>
      <c r="G254" s="244"/>
      <c r="H254" s="244"/>
      <c r="I254" s="244"/>
      <c r="J254" s="244"/>
      <c r="K254" s="244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</row>
    <row r="255" ht="14.25" customHeight="1">
      <c r="A255" s="244"/>
      <c r="B255" s="244"/>
      <c r="C255" s="244"/>
      <c r="D255" s="244"/>
      <c r="E255" s="244"/>
      <c r="F255" s="244"/>
      <c r="G255" s="244"/>
      <c r="H255" s="244"/>
      <c r="I255" s="244"/>
      <c r="J255" s="244"/>
      <c r="K255" s="244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</row>
    <row r="256" ht="14.25" customHeight="1">
      <c r="A256" s="244"/>
      <c r="B256" s="244"/>
      <c r="C256" s="244"/>
      <c r="D256" s="244"/>
      <c r="E256" s="244"/>
      <c r="F256" s="244"/>
      <c r="G256" s="244"/>
      <c r="H256" s="244"/>
      <c r="I256" s="244"/>
      <c r="J256" s="244"/>
      <c r="K256" s="244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</row>
    <row r="257" ht="14.25" customHeight="1">
      <c r="A257" s="244"/>
      <c r="B257" s="244"/>
      <c r="C257" s="244"/>
      <c r="D257" s="244"/>
      <c r="E257" s="244"/>
      <c r="F257" s="244"/>
      <c r="G257" s="244"/>
      <c r="H257" s="244"/>
      <c r="I257" s="244"/>
      <c r="J257" s="244"/>
      <c r="K257" s="244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</row>
    <row r="258" ht="14.25" customHeight="1">
      <c r="A258" s="244"/>
      <c r="B258" s="244"/>
      <c r="C258" s="244"/>
      <c r="D258" s="244"/>
      <c r="E258" s="244"/>
      <c r="F258" s="244"/>
      <c r="G258" s="244"/>
      <c r="H258" s="244"/>
      <c r="I258" s="244"/>
      <c r="J258" s="244"/>
      <c r="K258" s="244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</row>
    <row r="259" ht="14.25" customHeight="1">
      <c r="A259" s="244"/>
      <c r="B259" s="244"/>
      <c r="C259" s="244"/>
      <c r="D259" s="244"/>
      <c r="E259" s="244"/>
      <c r="F259" s="244"/>
      <c r="G259" s="244"/>
      <c r="H259" s="244"/>
      <c r="I259" s="244"/>
      <c r="J259" s="244"/>
      <c r="K259" s="244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</row>
    <row r="260" ht="14.25" customHeight="1">
      <c r="A260" s="244"/>
      <c r="B260" s="244"/>
      <c r="C260" s="244"/>
      <c r="D260" s="244"/>
      <c r="E260" s="244"/>
      <c r="F260" s="244"/>
      <c r="G260" s="244"/>
      <c r="H260" s="244"/>
      <c r="I260" s="244"/>
      <c r="J260" s="244"/>
      <c r="K260" s="244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</row>
    <row r="261" ht="14.25" customHeight="1">
      <c r="A261" s="244"/>
      <c r="B261" s="244"/>
      <c r="C261" s="244"/>
      <c r="D261" s="244"/>
      <c r="E261" s="244"/>
      <c r="F261" s="244"/>
      <c r="G261" s="244"/>
      <c r="H261" s="244"/>
      <c r="I261" s="244"/>
      <c r="J261" s="244"/>
      <c r="K261" s="244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</row>
    <row r="262" ht="14.25" customHeight="1">
      <c r="A262" s="244"/>
      <c r="B262" s="244"/>
      <c r="C262" s="244"/>
      <c r="D262" s="244"/>
      <c r="E262" s="244"/>
      <c r="F262" s="244"/>
      <c r="G262" s="244"/>
      <c r="H262" s="244"/>
      <c r="I262" s="244"/>
      <c r="J262" s="244"/>
      <c r="K262" s="244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</row>
    <row r="263" ht="14.25" customHeight="1">
      <c r="A263" s="244"/>
      <c r="B263" s="244"/>
      <c r="C263" s="244"/>
      <c r="D263" s="244"/>
      <c r="E263" s="244"/>
      <c r="F263" s="244"/>
      <c r="G263" s="244"/>
      <c r="H263" s="244"/>
      <c r="I263" s="244"/>
      <c r="J263" s="244"/>
      <c r="K263" s="244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</row>
    <row r="264" ht="14.25" customHeight="1">
      <c r="A264" s="244"/>
      <c r="B264" s="244"/>
      <c r="C264" s="244"/>
      <c r="D264" s="244"/>
      <c r="E264" s="244"/>
      <c r="F264" s="244"/>
      <c r="G264" s="244"/>
      <c r="H264" s="244"/>
      <c r="I264" s="244"/>
      <c r="J264" s="244"/>
      <c r="K264" s="244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</row>
    <row r="265" ht="14.25" customHeight="1">
      <c r="A265" s="244"/>
      <c r="B265" s="244"/>
      <c r="C265" s="244"/>
      <c r="D265" s="244"/>
      <c r="E265" s="244"/>
      <c r="F265" s="244"/>
      <c r="G265" s="244"/>
      <c r="H265" s="244"/>
      <c r="I265" s="244"/>
      <c r="J265" s="244"/>
      <c r="K265" s="244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</row>
    <row r="266" ht="14.25" customHeight="1">
      <c r="A266" s="244"/>
      <c r="B266" s="244"/>
      <c r="C266" s="244"/>
      <c r="D266" s="244"/>
      <c r="E266" s="244"/>
      <c r="F266" s="244"/>
      <c r="G266" s="244"/>
      <c r="H266" s="244"/>
      <c r="I266" s="244"/>
      <c r="J266" s="244"/>
      <c r="K266" s="244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</row>
    <row r="267" ht="14.25" customHeight="1">
      <c r="A267" s="244"/>
      <c r="B267" s="244"/>
      <c r="C267" s="244"/>
      <c r="D267" s="244"/>
      <c r="E267" s="244"/>
      <c r="F267" s="244"/>
      <c r="G267" s="244"/>
      <c r="H267" s="244"/>
      <c r="I267" s="244"/>
      <c r="J267" s="244"/>
      <c r="K267" s="244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</row>
    <row r="268" ht="14.25" customHeight="1">
      <c r="A268" s="244"/>
      <c r="B268" s="244"/>
      <c r="C268" s="244"/>
      <c r="D268" s="244"/>
      <c r="E268" s="244"/>
      <c r="F268" s="244"/>
      <c r="G268" s="244"/>
      <c r="H268" s="244"/>
      <c r="I268" s="244"/>
      <c r="J268" s="244"/>
      <c r="K268" s="244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</row>
    <row r="269" ht="14.25" customHeight="1">
      <c r="A269" s="244"/>
      <c r="B269" s="244"/>
      <c r="C269" s="244"/>
      <c r="D269" s="244"/>
      <c r="E269" s="244"/>
      <c r="F269" s="244"/>
      <c r="G269" s="244"/>
      <c r="H269" s="244"/>
      <c r="I269" s="244"/>
      <c r="J269" s="244"/>
      <c r="K269" s="244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</row>
    <row r="270" ht="14.25" customHeight="1">
      <c r="A270" s="244"/>
      <c r="B270" s="244"/>
      <c r="C270" s="244"/>
      <c r="D270" s="244"/>
      <c r="E270" s="244"/>
      <c r="F270" s="244"/>
      <c r="G270" s="244"/>
      <c r="H270" s="244"/>
      <c r="I270" s="244"/>
      <c r="J270" s="244"/>
      <c r="K270" s="244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</row>
    <row r="271" ht="14.25" customHeight="1">
      <c r="A271" s="244"/>
      <c r="B271" s="244"/>
      <c r="C271" s="244"/>
      <c r="D271" s="244"/>
      <c r="E271" s="244"/>
      <c r="F271" s="244"/>
      <c r="G271" s="244"/>
      <c r="H271" s="244"/>
      <c r="I271" s="244"/>
      <c r="J271" s="244"/>
      <c r="K271" s="244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</row>
    <row r="272" ht="14.25" customHeight="1">
      <c r="A272" s="244"/>
      <c r="B272" s="244"/>
      <c r="C272" s="244"/>
      <c r="D272" s="244"/>
      <c r="E272" s="244"/>
      <c r="F272" s="244"/>
      <c r="G272" s="244"/>
      <c r="H272" s="244"/>
      <c r="I272" s="244"/>
      <c r="J272" s="244"/>
      <c r="K272" s="244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</row>
    <row r="273" ht="14.25" customHeight="1">
      <c r="A273" s="244"/>
      <c r="B273" s="244"/>
      <c r="C273" s="244"/>
      <c r="D273" s="244"/>
      <c r="E273" s="244"/>
      <c r="F273" s="244"/>
      <c r="G273" s="244"/>
      <c r="H273" s="244"/>
      <c r="I273" s="244"/>
      <c r="J273" s="244"/>
      <c r="K273" s="244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</row>
    <row r="274" ht="14.25" customHeight="1">
      <c r="A274" s="244"/>
      <c r="B274" s="244"/>
      <c r="C274" s="244"/>
      <c r="D274" s="244"/>
      <c r="E274" s="244"/>
      <c r="F274" s="244"/>
      <c r="G274" s="244"/>
      <c r="H274" s="244"/>
      <c r="I274" s="244"/>
      <c r="J274" s="244"/>
      <c r="K274" s="244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</row>
    <row r="275" ht="14.25" customHeight="1">
      <c r="A275" s="244"/>
      <c r="B275" s="244"/>
      <c r="C275" s="244"/>
      <c r="D275" s="244"/>
      <c r="E275" s="244"/>
      <c r="F275" s="244"/>
      <c r="G275" s="244"/>
      <c r="H275" s="244"/>
      <c r="I275" s="244"/>
      <c r="J275" s="244"/>
      <c r="K275" s="244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</row>
    <row r="276" ht="14.25" customHeight="1">
      <c r="A276" s="244"/>
      <c r="B276" s="244"/>
      <c r="C276" s="244"/>
      <c r="D276" s="244"/>
      <c r="E276" s="244"/>
      <c r="F276" s="244"/>
      <c r="G276" s="244"/>
      <c r="H276" s="244"/>
      <c r="I276" s="244"/>
      <c r="J276" s="244"/>
      <c r="K276" s="244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</row>
    <row r="277" ht="14.25" customHeight="1">
      <c r="A277" s="244"/>
      <c r="B277" s="244"/>
      <c r="C277" s="244"/>
      <c r="D277" s="244"/>
      <c r="E277" s="244"/>
      <c r="F277" s="244"/>
      <c r="G277" s="244"/>
      <c r="H277" s="244"/>
      <c r="I277" s="244"/>
      <c r="J277" s="244"/>
      <c r="K277" s="244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</row>
    <row r="278" ht="14.25" customHeight="1">
      <c r="A278" s="244"/>
      <c r="B278" s="244"/>
      <c r="C278" s="244"/>
      <c r="D278" s="244"/>
      <c r="E278" s="244"/>
      <c r="F278" s="244"/>
      <c r="G278" s="244"/>
      <c r="H278" s="244"/>
      <c r="I278" s="244"/>
      <c r="J278" s="244"/>
      <c r="K278" s="244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</row>
    <row r="279" ht="14.25" customHeight="1">
      <c r="A279" s="244"/>
      <c r="B279" s="244"/>
      <c r="C279" s="244"/>
      <c r="D279" s="244"/>
      <c r="E279" s="244"/>
      <c r="F279" s="244"/>
      <c r="G279" s="244"/>
      <c r="H279" s="244"/>
      <c r="I279" s="244"/>
      <c r="J279" s="244"/>
      <c r="K279" s="244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</row>
    <row r="280" ht="14.25" customHeight="1">
      <c r="A280" s="244"/>
      <c r="B280" s="244"/>
      <c r="C280" s="244"/>
      <c r="D280" s="244"/>
      <c r="E280" s="244"/>
      <c r="F280" s="244"/>
      <c r="G280" s="244"/>
      <c r="H280" s="244"/>
      <c r="I280" s="244"/>
      <c r="J280" s="244"/>
      <c r="K280" s="244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</row>
    <row r="281" ht="14.25" customHeight="1">
      <c r="A281" s="244"/>
      <c r="B281" s="244"/>
      <c r="C281" s="244"/>
      <c r="D281" s="244"/>
      <c r="E281" s="244"/>
      <c r="F281" s="244"/>
      <c r="G281" s="244"/>
      <c r="H281" s="244"/>
      <c r="I281" s="244"/>
      <c r="J281" s="244"/>
      <c r="K281" s="244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</row>
    <row r="282" ht="14.25" customHeight="1">
      <c r="A282" s="244"/>
      <c r="B282" s="244"/>
      <c r="C282" s="244"/>
      <c r="D282" s="244"/>
      <c r="E282" s="244"/>
      <c r="F282" s="244"/>
      <c r="G282" s="244"/>
      <c r="H282" s="244"/>
      <c r="I282" s="244"/>
      <c r="J282" s="244"/>
      <c r="K282" s="244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</row>
    <row r="283" ht="14.25" customHeight="1">
      <c r="A283" s="244"/>
      <c r="B283" s="244"/>
      <c r="C283" s="244"/>
      <c r="D283" s="244"/>
      <c r="E283" s="244"/>
      <c r="F283" s="244"/>
      <c r="G283" s="244"/>
      <c r="H283" s="244"/>
      <c r="I283" s="244"/>
      <c r="J283" s="244"/>
      <c r="K283" s="244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</row>
    <row r="284" ht="14.25" customHeight="1">
      <c r="A284" s="244"/>
      <c r="B284" s="244"/>
      <c r="C284" s="244"/>
      <c r="D284" s="244"/>
      <c r="E284" s="244"/>
      <c r="F284" s="244"/>
      <c r="G284" s="244"/>
      <c r="H284" s="244"/>
      <c r="I284" s="244"/>
      <c r="J284" s="244"/>
      <c r="K284" s="244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</row>
    <row r="285" ht="14.25" customHeight="1">
      <c r="A285" s="244"/>
      <c r="B285" s="244"/>
      <c r="C285" s="244"/>
      <c r="D285" s="244"/>
      <c r="E285" s="244"/>
      <c r="F285" s="244"/>
      <c r="G285" s="244"/>
      <c r="H285" s="244"/>
      <c r="I285" s="244"/>
      <c r="J285" s="244"/>
      <c r="K285" s="244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</row>
    <row r="286" ht="14.25" customHeight="1">
      <c r="A286" s="244"/>
      <c r="B286" s="244"/>
      <c r="C286" s="244"/>
      <c r="D286" s="244"/>
      <c r="E286" s="244"/>
      <c r="F286" s="244"/>
      <c r="G286" s="244"/>
      <c r="H286" s="244"/>
      <c r="I286" s="244"/>
      <c r="J286" s="244"/>
      <c r="K286" s="244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</row>
    <row r="287" ht="14.25" customHeight="1">
      <c r="A287" s="244"/>
      <c r="B287" s="244"/>
      <c r="C287" s="244"/>
      <c r="D287" s="244"/>
      <c r="E287" s="244"/>
      <c r="F287" s="244"/>
      <c r="G287" s="244"/>
      <c r="H287" s="244"/>
      <c r="I287" s="244"/>
      <c r="J287" s="244"/>
      <c r="K287" s="244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</row>
    <row r="288" ht="14.25" customHeight="1">
      <c r="A288" s="244"/>
      <c r="B288" s="244"/>
      <c r="C288" s="244"/>
      <c r="D288" s="244"/>
      <c r="E288" s="244"/>
      <c r="F288" s="244"/>
      <c r="G288" s="244"/>
      <c r="H288" s="244"/>
      <c r="I288" s="244"/>
      <c r="J288" s="244"/>
      <c r="K288" s="244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</row>
    <row r="289" ht="14.25" customHeight="1">
      <c r="A289" s="244"/>
      <c r="B289" s="244"/>
      <c r="C289" s="244"/>
      <c r="D289" s="244"/>
      <c r="E289" s="244"/>
      <c r="F289" s="244"/>
      <c r="G289" s="244"/>
      <c r="H289" s="244"/>
      <c r="I289" s="244"/>
      <c r="J289" s="244"/>
      <c r="K289" s="244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</row>
    <row r="290" ht="14.25" customHeight="1">
      <c r="A290" s="244"/>
      <c r="B290" s="244"/>
      <c r="C290" s="244"/>
      <c r="D290" s="244"/>
      <c r="E290" s="244"/>
      <c r="F290" s="244"/>
      <c r="G290" s="244"/>
      <c r="H290" s="244"/>
      <c r="I290" s="244"/>
      <c r="J290" s="244"/>
      <c r="K290" s="244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</row>
    <row r="291" ht="14.25" customHeight="1">
      <c r="A291" s="244"/>
      <c r="B291" s="244"/>
      <c r="C291" s="244"/>
      <c r="D291" s="244"/>
      <c r="E291" s="244"/>
      <c r="F291" s="244"/>
      <c r="G291" s="244"/>
      <c r="H291" s="244"/>
      <c r="I291" s="244"/>
      <c r="J291" s="244"/>
      <c r="K291" s="244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</row>
    <row r="292" ht="14.25" customHeight="1">
      <c r="A292" s="244"/>
      <c r="B292" s="244"/>
      <c r="C292" s="244"/>
      <c r="D292" s="244"/>
      <c r="E292" s="244"/>
      <c r="F292" s="244"/>
      <c r="G292" s="244"/>
      <c r="H292" s="244"/>
      <c r="I292" s="244"/>
      <c r="J292" s="244"/>
      <c r="K292" s="244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</row>
    <row r="293" ht="14.25" customHeight="1">
      <c r="A293" s="244"/>
      <c r="B293" s="244"/>
      <c r="C293" s="244"/>
      <c r="D293" s="244"/>
      <c r="E293" s="244"/>
      <c r="F293" s="244"/>
      <c r="G293" s="244"/>
      <c r="H293" s="244"/>
      <c r="I293" s="244"/>
      <c r="J293" s="244"/>
      <c r="K293" s="244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</row>
    <row r="294" ht="14.25" customHeight="1">
      <c r="A294" s="244"/>
      <c r="B294" s="244"/>
      <c r="C294" s="244"/>
      <c r="D294" s="244"/>
      <c r="E294" s="244"/>
      <c r="F294" s="244"/>
      <c r="G294" s="244"/>
      <c r="H294" s="244"/>
      <c r="I294" s="244"/>
      <c r="J294" s="244"/>
      <c r="K294" s="244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</row>
    <row r="295" ht="14.25" customHeight="1">
      <c r="A295" s="244"/>
      <c r="B295" s="244"/>
      <c r="C295" s="244"/>
      <c r="D295" s="244"/>
      <c r="E295" s="244"/>
      <c r="F295" s="244"/>
      <c r="G295" s="244"/>
      <c r="H295" s="244"/>
      <c r="I295" s="244"/>
      <c r="J295" s="244"/>
      <c r="K295" s="244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</row>
    <row r="296" ht="14.25" customHeight="1">
      <c r="A296" s="244"/>
      <c r="B296" s="244"/>
      <c r="C296" s="244"/>
      <c r="D296" s="244"/>
      <c r="E296" s="244"/>
      <c r="F296" s="244"/>
      <c r="G296" s="244"/>
      <c r="H296" s="244"/>
      <c r="I296" s="244"/>
      <c r="J296" s="244"/>
      <c r="K296" s="244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</row>
    <row r="297" ht="14.25" customHeight="1">
      <c r="A297" s="244"/>
      <c r="B297" s="244"/>
      <c r="C297" s="244"/>
      <c r="D297" s="244"/>
      <c r="E297" s="244"/>
      <c r="F297" s="244"/>
      <c r="G297" s="244"/>
      <c r="H297" s="244"/>
      <c r="I297" s="244"/>
      <c r="J297" s="244"/>
      <c r="K297" s="244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</row>
    <row r="298" ht="14.25" customHeight="1">
      <c r="A298" s="244"/>
      <c r="B298" s="244"/>
      <c r="C298" s="244"/>
      <c r="D298" s="244"/>
      <c r="E298" s="244"/>
      <c r="F298" s="244"/>
      <c r="G298" s="244"/>
      <c r="H298" s="244"/>
      <c r="I298" s="244"/>
      <c r="J298" s="244"/>
      <c r="K298" s="244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</row>
    <row r="299" ht="14.25" customHeight="1">
      <c r="A299" s="244"/>
      <c r="B299" s="244"/>
      <c r="C299" s="244"/>
      <c r="D299" s="244"/>
      <c r="E299" s="244"/>
      <c r="F299" s="244"/>
      <c r="G299" s="244"/>
      <c r="H299" s="244"/>
      <c r="I299" s="244"/>
      <c r="J299" s="244"/>
      <c r="K299" s="244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</row>
    <row r="300" ht="14.25" customHeight="1">
      <c r="A300" s="244"/>
      <c r="B300" s="244"/>
      <c r="C300" s="244"/>
      <c r="D300" s="244"/>
      <c r="E300" s="244"/>
      <c r="F300" s="244"/>
      <c r="G300" s="244"/>
      <c r="H300" s="244"/>
      <c r="I300" s="244"/>
      <c r="J300" s="244"/>
      <c r="K300" s="244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</row>
    <row r="301" ht="14.25" customHeight="1">
      <c r="A301" s="244"/>
      <c r="B301" s="244"/>
      <c r="C301" s="244"/>
      <c r="D301" s="244"/>
      <c r="E301" s="244"/>
      <c r="F301" s="244"/>
      <c r="G301" s="244"/>
      <c r="H301" s="244"/>
      <c r="I301" s="244"/>
      <c r="J301" s="244"/>
      <c r="K301" s="244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</row>
    <row r="302" ht="14.25" customHeight="1">
      <c r="A302" s="244"/>
      <c r="B302" s="244"/>
      <c r="C302" s="244"/>
      <c r="D302" s="244"/>
      <c r="E302" s="244"/>
      <c r="F302" s="244"/>
      <c r="G302" s="244"/>
      <c r="H302" s="244"/>
      <c r="I302" s="244"/>
      <c r="J302" s="244"/>
      <c r="K302" s="244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</row>
    <row r="303" ht="14.25" customHeight="1">
      <c r="A303" s="244"/>
      <c r="B303" s="244"/>
      <c r="C303" s="244"/>
      <c r="D303" s="244"/>
      <c r="E303" s="244"/>
      <c r="F303" s="244"/>
      <c r="G303" s="244"/>
      <c r="H303" s="244"/>
      <c r="I303" s="244"/>
      <c r="J303" s="244"/>
      <c r="K303" s="244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</row>
    <row r="304" ht="14.25" customHeight="1">
      <c r="A304" s="244"/>
      <c r="B304" s="244"/>
      <c r="C304" s="244"/>
      <c r="D304" s="244"/>
      <c r="E304" s="244"/>
      <c r="F304" s="244"/>
      <c r="G304" s="244"/>
      <c r="H304" s="244"/>
      <c r="I304" s="244"/>
      <c r="J304" s="244"/>
      <c r="K304" s="244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</row>
    <row r="305" ht="14.25" customHeight="1">
      <c r="A305" s="244"/>
      <c r="B305" s="244"/>
      <c r="C305" s="244"/>
      <c r="D305" s="244"/>
      <c r="E305" s="244"/>
      <c r="F305" s="244"/>
      <c r="G305" s="244"/>
      <c r="H305" s="244"/>
      <c r="I305" s="244"/>
      <c r="J305" s="244"/>
      <c r="K305" s="244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</row>
    <row r="306" ht="14.25" customHeight="1">
      <c r="A306" s="244"/>
      <c r="B306" s="244"/>
      <c r="C306" s="244"/>
      <c r="D306" s="244"/>
      <c r="E306" s="244"/>
      <c r="F306" s="244"/>
      <c r="G306" s="244"/>
      <c r="H306" s="244"/>
      <c r="I306" s="244"/>
      <c r="J306" s="244"/>
      <c r="K306" s="244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</row>
    <row r="307" ht="14.25" customHeight="1">
      <c r="A307" s="244"/>
      <c r="B307" s="244"/>
      <c r="C307" s="244"/>
      <c r="D307" s="244"/>
      <c r="E307" s="244"/>
      <c r="F307" s="244"/>
      <c r="G307" s="244"/>
      <c r="H307" s="244"/>
      <c r="I307" s="244"/>
      <c r="J307" s="244"/>
      <c r="K307" s="244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</row>
    <row r="308" ht="14.25" customHeight="1">
      <c r="A308" s="244"/>
      <c r="B308" s="244"/>
      <c r="C308" s="244"/>
      <c r="D308" s="244"/>
      <c r="E308" s="244"/>
      <c r="F308" s="244"/>
      <c r="G308" s="244"/>
      <c r="H308" s="244"/>
      <c r="I308" s="244"/>
      <c r="J308" s="244"/>
      <c r="K308" s="244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</row>
    <row r="309" ht="14.25" customHeight="1">
      <c r="A309" s="244"/>
      <c r="B309" s="244"/>
      <c r="C309" s="244"/>
      <c r="D309" s="244"/>
      <c r="E309" s="244"/>
      <c r="F309" s="244"/>
      <c r="G309" s="244"/>
      <c r="H309" s="244"/>
      <c r="I309" s="244"/>
      <c r="J309" s="244"/>
      <c r="K309" s="244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</row>
    <row r="310" ht="14.25" customHeight="1">
      <c r="A310" s="244"/>
      <c r="B310" s="244"/>
      <c r="C310" s="244"/>
      <c r="D310" s="244"/>
      <c r="E310" s="244"/>
      <c r="F310" s="244"/>
      <c r="G310" s="244"/>
      <c r="H310" s="244"/>
      <c r="I310" s="244"/>
      <c r="J310" s="244"/>
      <c r="K310" s="244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</row>
    <row r="311" ht="14.25" customHeight="1">
      <c r="A311" s="244"/>
      <c r="B311" s="244"/>
      <c r="C311" s="244"/>
      <c r="D311" s="244"/>
      <c r="E311" s="244"/>
      <c r="F311" s="244"/>
      <c r="G311" s="244"/>
      <c r="H311" s="244"/>
      <c r="I311" s="244"/>
      <c r="J311" s="244"/>
      <c r="K311" s="244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</row>
    <row r="312" ht="14.25" customHeight="1">
      <c r="A312" s="244"/>
      <c r="B312" s="244"/>
      <c r="C312" s="244"/>
      <c r="D312" s="244"/>
      <c r="E312" s="244"/>
      <c r="F312" s="244"/>
      <c r="G312" s="244"/>
      <c r="H312" s="244"/>
      <c r="I312" s="244"/>
      <c r="J312" s="244"/>
      <c r="K312" s="244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</row>
    <row r="313" ht="14.25" customHeight="1">
      <c r="A313" s="244"/>
      <c r="B313" s="244"/>
      <c r="C313" s="244"/>
      <c r="D313" s="244"/>
      <c r="E313" s="244"/>
      <c r="F313" s="244"/>
      <c r="G313" s="244"/>
      <c r="H313" s="244"/>
      <c r="I313" s="244"/>
      <c r="J313" s="244"/>
      <c r="K313" s="244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</row>
    <row r="314" ht="14.25" customHeight="1">
      <c r="A314" s="244"/>
      <c r="B314" s="244"/>
      <c r="C314" s="244"/>
      <c r="D314" s="244"/>
      <c r="E314" s="244"/>
      <c r="F314" s="244"/>
      <c r="G314" s="244"/>
      <c r="H314" s="244"/>
      <c r="I314" s="244"/>
      <c r="J314" s="244"/>
      <c r="K314" s="244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</row>
    <row r="315" ht="14.25" customHeight="1">
      <c r="A315" s="244"/>
      <c r="B315" s="244"/>
      <c r="C315" s="244"/>
      <c r="D315" s="244"/>
      <c r="E315" s="244"/>
      <c r="F315" s="244"/>
      <c r="G315" s="244"/>
      <c r="H315" s="244"/>
      <c r="I315" s="244"/>
      <c r="J315" s="244"/>
      <c r="K315" s="244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</row>
    <row r="316" ht="14.25" customHeight="1">
      <c r="A316" s="244"/>
      <c r="B316" s="244"/>
      <c r="C316" s="244"/>
      <c r="D316" s="244"/>
      <c r="E316" s="244"/>
      <c r="F316" s="244"/>
      <c r="G316" s="244"/>
      <c r="H316" s="244"/>
      <c r="I316" s="244"/>
      <c r="J316" s="244"/>
      <c r="K316" s="244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</row>
    <row r="317" ht="14.25" customHeight="1">
      <c r="A317" s="244"/>
      <c r="B317" s="244"/>
      <c r="C317" s="244"/>
      <c r="D317" s="244"/>
      <c r="E317" s="244"/>
      <c r="F317" s="244"/>
      <c r="G317" s="244"/>
      <c r="H317" s="244"/>
      <c r="I317" s="244"/>
      <c r="J317" s="244"/>
      <c r="K317" s="244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</row>
    <row r="318" ht="14.25" customHeight="1">
      <c r="A318" s="244"/>
      <c r="B318" s="244"/>
      <c r="C318" s="244"/>
      <c r="D318" s="244"/>
      <c r="E318" s="244"/>
      <c r="F318" s="244"/>
      <c r="G318" s="244"/>
      <c r="H318" s="244"/>
      <c r="I318" s="244"/>
      <c r="J318" s="244"/>
      <c r="K318" s="244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</row>
    <row r="319" ht="14.25" customHeight="1">
      <c r="A319" s="244"/>
      <c r="B319" s="244"/>
      <c r="C319" s="244"/>
      <c r="D319" s="244"/>
      <c r="E319" s="244"/>
      <c r="F319" s="244"/>
      <c r="G319" s="244"/>
      <c r="H319" s="244"/>
      <c r="I319" s="244"/>
      <c r="J319" s="244"/>
      <c r="K319" s="244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</row>
    <row r="320" ht="14.25" customHeight="1">
      <c r="A320" s="244"/>
      <c r="B320" s="244"/>
      <c r="C320" s="244"/>
      <c r="D320" s="244"/>
      <c r="E320" s="244"/>
      <c r="F320" s="244"/>
      <c r="G320" s="244"/>
      <c r="H320" s="244"/>
      <c r="I320" s="244"/>
      <c r="J320" s="244"/>
      <c r="K320" s="244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</row>
    <row r="321" ht="14.25" customHeight="1">
      <c r="A321" s="244"/>
      <c r="B321" s="244"/>
      <c r="C321" s="244"/>
      <c r="D321" s="244"/>
      <c r="E321" s="244"/>
      <c r="F321" s="244"/>
      <c r="G321" s="244"/>
      <c r="H321" s="244"/>
      <c r="I321" s="244"/>
      <c r="J321" s="244"/>
      <c r="K321" s="244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</row>
    <row r="322" ht="14.25" customHeight="1">
      <c r="A322" s="244"/>
      <c r="B322" s="244"/>
      <c r="C322" s="244"/>
      <c r="D322" s="244"/>
      <c r="E322" s="244"/>
      <c r="F322" s="244"/>
      <c r="G322" s="244"/>
      <c r="H322" s="244"/>
      <c r="I322" s="244"/>
      <c r="J322" s="244"/>
      <c r="K322" s="244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</row>
    <row r="323" ht="14.25" customHeight="1">
      <c r="A323" s="244"/>
      <c r="B323" s="244"/>
      <c r="C323" s="244"/>
      <c r="D323" s="244"/>
      <c r="E323" s="244"/>
      <c r="F323" s="244"/>
      <c r="G323" s="244"/>
      <c r="H323" s="244"/>
      <c r="I323" s="244"/>
      <c r="J323" s="244"/>
      <c r="K323" s="244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</row>
    <row r="324" ht="14.25" customHeight="1">
      <c r="A324" s="244"/>
      <c r="B324" s="244"/>
      <c r="C324" s="244"/>
      <c r="D324" s="244"/>
      <c r="E324" s="244"/>
      <c r="F324" s="244"/>
      <c r="G324" s="244"/>
      <c r="H324" s="244"/>
      <c r="I324" s="244"/>
      <c r="J324" s="244"/>
      <c r="K324" s="244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</row>
    <row r="325" ht="14.25" customHeight="1">
      <c r="A325" s="244"/>
      <c r="B325" s="244"/>
      <c r="C325" s="244"/>
      <c r="D325" s="244"/>
      <c r="E325" s="244"/>
      <c r="F325" s="244"/>
      <c r="G325" s="244"/>
      <c r="H325" s="244"/>
      <c r="I325" s="244"/>
      <c r="J325" s="244"/>
      <c r="K325" s="244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</row>
    <row r="326" ht="14.25" customHeight="1">
      <c r="A326" s="244"/>
      <c r="B326" s="244"/>
      <c r="C326" s="244"/>
      <c r="D326" s="244"/>
      <c r="E326" s="244"/>
      <c r="F326" s="244"/>
      <c r="G326" s="244"/>
      <c r="H326" s="244"/>
      <c r="I326" s="244"/>
      <c r="J326" s="244"/>
      <c r="K326" s="244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</row>
    <row r="327" ht="14.25" customHeight="1">
      <c r="A327" s="244"/>
      <c r="B327" s="244"/>
      <c r="C327" s="244"/>
      <c r="D327" s="244"/>
      <c r="E327" s="244"/>
      <c r="F327" s="244"/>
      <c r="G327" s="244"/>
      <c r="H327" s="244"/>
      <c r="I327" s="244"/>
      <c r="J327" s="244"/>
      <c r="K327" s="244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</row>
    <row r="328" ht="14.25" customHeight="1">
      <c r="A328" s="244"/>
      <c r="B328" s="244"/>
      <c r="C328" s="244"/>
      <c r="D328" s="244"/>
      <c r="E328" s="244"/>
      <c r="F328" s="244"/>
      <c r="G328" s="244"/>
      <c r="H328" s="244"/>
      <c r="I328" s="244"/>
      <c r="J328" s="244"/>
      <c r="K328" s="244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</row>
    <row r="329" ht="14.25" customHeight="1">
      <c r="A329" s="244"/>
      <c r="B329" s="244"/>
      <c r="C329" s="244"/>
      <c r="D329" s="244"/>
      <c r="E329" s="244"/>
      <c r="F329" s="244"/>
      <c r="G329" s="244"/>
      <c r="H329" s="244"/>
      <c r="I329" s="244"/>
      <c r="J329" s="244"/>
      <c r="K329" s="244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</row>
    <row r="330" ht="14.25" customHeight="1">
      <c r="A330" s="244"/>
      <c r="B330" s="244"/>
      <c r="C330" s="244"/>
      <c r="D330" s="244"/>
      <c r="E330" s="244"/>
      <c r="F330" s="244"/>
      <c r="G330" s="244"/>
      <c r="H330" s="244"/>
      <c r="I330" s="244"/>
      <c r="J330" s="244"/>
      <c r="K330" s="244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</row>
    <row r="331" ht="14.25" customHeight="1">
      <c r="A331" s="244"/>
      <c r="B331" s="244"/>
      <c r="C331" s="244"/>
      <c r="D331" s="244"/>
      <c r="E331" s="244"/>
      <c r="F331" s="244"/>
      <c r="G331" s="244"/>
      <c r="H331" s="244"/>
      <c r="I331" s="244"/>
      <c r="J331" s="244"/>
      <c r="K331" s="244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</row>
    <row r="332" ht="14.25" customHeight="1">
      <c r="A332" s="244"/>
      <c r="B332" s="244"/>
      <c r="C332" s="244"/>
      <c r="D332" s="244"/>
      <c r="E332" s="244"/>
      <c r="F332" s="244"/>
      <c r="G332" s="244"/>
      <c r="H332" s="244"/>
      <c r="I332" s="244"/>
      <c r="J332" s="244"/>
      <c r="K332" s="244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</row>
    <row r="333" ht="14.25" customHeight="1">
      <c r="A333" s="244"/>
      <c r="B333" s="244"/>
      <c r="C333" s="244"/>
      <c r="D333" s="244"/>
      <c r="E333" s="244"/>
      <c r="F333" s="244"/>
      <c r="G333" s="244"/>
      <c r="H333" s="244"/>
      <c r="I333" s="244"/>
      <c r="J333" s="244"/>
      <c r="K333" s="244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</row>
    <row r="334" ht="14.25" customHeight="1">
      <c r="A334" s="244"/>
      <c r="B334" s="244"/>
      <c r="C334" s="244"/>
      <c r="D334" s="244"/>
      <c r="E334" s="244"/>
      <c r="F334" s="244"/>
      <c r="G334" s="244"/>
      <c r="H334" s="244"/>
      <c r="I334" s="244"/>
      <c r="J334" s="244"/>
      <c r="K334" s="244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</row>
    <row r="335" ht="14.25" customHeight="1">
      <c r="A335" s="244"/>
      <c r="B335" s="244"/>
      <c r="C335" s="244"/>
      <c r="D335" s="244"/>
      <c r="E335" s="244"/>
      <c r="F335" s="244"/>
      <c r="G335" s="244"/>
      <c r="H335" s="244"/>
      <c r="I335" s="244"/>
      <c r="J335" s="244"/>
      <c r="K335" s="244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</row>
    <row r="336" ht="14.25" customHeight="1">
      <c r="A336" s="244"/>
      <c r="B336" s="244"/>
      <c r="C336" s="244"/>
      <c r="D336" s="244"/>
      <c r="E336" s="244"/>
      <c r="F336" s="244"/>
      <c r="G336" s="244"/>
      <c r="H336" s="244"/>
      <c r="I336" s="244"/>
      <c r="J336" s="244"/>
      <c r="K336" s="244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</row>
    <row r="337" ht="14.25" customHeight="1">
      <c r="A337" s="244"/>
      <c r="B337" s="244"/>
      <c r="C337" s="244"/>
      <c r="D337" s="244"/>
      <c r="E337" s="244"/>
      <c r="F337" s="244"/>
      <c r="G337" s="244"/>
      <c r="H337" s="244"/>
      <c r="I337" s="244"/>
      <c r="J337" s="244"/>
      <c r="K337" s="244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</row>
    <row r="338" ht="14.25" customHeight="1">
      <c r="A338" s="244"/>
      <c r="B338" s="244"/>
      <c r="C338" s="244"/>
      <c r="D338" s="244"/>
      <c r="E338" s="244"/>
      <c r="F338" s="244"/>
      <c r="G338" s="244"/>
      <c r="H338" s="244"/>
      <c r="I338" s="244"/>
      <c r="J338" s="244"/>
      <c r="K338" s="244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</row>
    <row r="339" ht="14.25" customHeight="1">
      <c r="A339" s="244"/>
      <c r="B339" s="244"/>
      <c r="C339" s="244"/>
      <c r="D339" s="244"/>
      <c r="E339" s="244"/>
      <c r="F339" s="244"/>
      <c r="G339" s="244"/>
      <c r="H339" s="244"/>
      <c r="I339" s="244"/>
      <c r="J339" s="244"/>
      <c r="K339" s="244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</row>
    <row r="340" ht="14.25" customHeight="1">
      <c r="A340" s="244"/>
      <c r="B340" s="244"/>
      <c r="C340" s="244"/>
      <c r="D340" s="244"/>
      <c r="E340" s="244"/>
      <c r="F340" s="244"/>
      <c r="G340" s="244"/>
      <c r="H340" s="244"/>
      <c r="I340" s="244"/>
      <c r="J340" s="244"/>
      <c r="K340" s="244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</row>
    <row r="341" ht="14.25" customHeight="1">
      <c r="A341" s="244"/>
      <c r="B341" s="244"/>
      <c r="C341" s="244"/>
      <c r="D341" s="244"/>
      <c r="E341" s="244"/>
      <c r="F341" s="244"/>
      <c r="G341" s="244"/>
      <c r="H341" s="244"/>
      <c r="I341" s="244"/>
      <c r="J341" s="244"/>
      <c r="K341" s="244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</row>
    <row r="342" ht="14.25" customHeight="1">
      <c r="A342" s="244"/>
      <c r="B342" s="244"/>
      <c r="C342" s="244"/>
      <c r="D342" s="244"/>
      <c r="E342" s="244"/>
      <c r="F342" s="244"/>
      <c r="G342" s="244"/>
      <c r="H342" s="244"/>
      <c r="I342" s="244"/>
      <c r="J342" s="244"/>
      <c r="K342" s="244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</row>
    <row r="343" ht="14.25" customHeight="1">
      <c r="A343" s="244"/>
      <c r="B343" s="244"/>
      <c r="C343" s="244"/>
      <c r="D343" s="244"/>
      <c r="E343" s="244"/>
      <c r="F343" s="244"/>
      <c r="G343" s="244"/>
      <c r="H343" s="244"/>
      <c r="I343" s="244"/>
      <c r="J343" s="244"/>
      <c r="K343" s="244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</row>
    <row r="344" ht="14.25" customHeight="1">
      <c r="A344" s="244"/>
      <c r="B344" s="244"/>
      <c r="C344" s="244"/>
      <c r="D344" s="244"/>
      <c r="E344" s="244"/>
      <c r="F344" s="244"/>
      <c r="G344" s="244"/>
      <c r="H344" s="244"/>
      <c r="I344" s="244"/>
      <c r="J344" s="244"/>
      <c r="K344" s="244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</row>
    <row r="345" ht="14.25" customHeight="1">
      <c r="A345" s="244"/>
      <c r="B345" s="244"/>
      <c r="C345" s="244"/>
      <c r="D345" s="244"/>
      <c r="E345" s="244"/>
      <c r="F345" s="244"/>
      <c r="G345" s="244"/>
      <c r="H345" s="244"/>
      <c r="I345" s="244"/>
      <c r="J345" s="244"/>
      <c r="K345" s="244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</row>
    <row r="346" ht="14.25" customHeight="1">
      <c r="A346" s="244"/>
      <c r="B346" s="244"/>
      <c r="C346" s="244"/>
      <c r="D346" s="244"/>
      <c r="E346" s="244"/>
      <c r="F346" s="244"/>
      <c r="G346" s="244"/>
      <c r="H346" s="244"/>
      <c r="I346" s="244"/>
      <c r="J346" s="244"/>
      <c r="K346" s="244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</row>
    <row r="347" ht="14.25" customHeight="1">
      <c r="A347" s="244"/>
      <c r="B347" s="244"/>
      <c r="C347" s="244"/>
      <c r="D347" s="244"/>
      <c r="E347" s="244"/>
      <c r="F347" s="244"/>
      <c r="G347" s="244"/>
      <c r="H347" s="244"/>
      <c r="I347" s="244"/>
      <c r="J347" s="244"/>
      <c r="K347" s="244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</row>
    <row r="348" ht="14.25" customHeight="1">
      <c r="A348" s="244"/>
      <c r="B348" s="244"/>
      <c r="C348" s="244"/>
      <c r="D348" s="244"/>
      <c r="E348" s="244"/>
      <c r="F348" s="244"/>
      <c r="G348" s="244"/>
      <c r="H348" s="244"/>
      <c r="I348" s="244"/>
      <c r="J348" s="244"/>
      <c r="K348" s="244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</row>
    <row r="349" ht="14.25" customHeight="1">
      <c r="A349" s="244"/>
      <c r="B349" s="244"/>
      <c r="C349" s="244"/>
      <c r="D349" s="244"/>
      <c r="E349" s="244"/>
      <c r="F349" s="244"/>
      <c r="G349" s="244"/>
      <c r="H349" s="244"/>
      <c r="I349" s="244"/>
      <c r="J349" s="244"/>
      <c r="K349" s="244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</row>
    <row r="350" ht="14.25" customHeight="1">
      <c r="A350" s="244"/>
      <c r="B350" s="244"/>
      <c r="C350" s="244"/>
      <c r="D350" s="244"/>
      <c r="E350" s="244"/>
      <c r="F350" s="244"/>
      <c r="G350" s="244"/>
      <c r="H350" s="244"/>
      <c r="I350" s="244"/>
      <c r="J350" s="244"/>
      <c r="K350" s="244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</row>
    <row r="351" ht="14.25" customHeight="1">
      <c r="A351" s="244"/>
      <c r="B351" s="244"/>
      <c r="C351" s="244"/>
      <c r="D351" s="244"/>
      <c r="E351" s="244"/>
      <c r="F351" s="244"/>
      <c r="G351" s="244"/>
      <c r="H351" s="244"/>
      <c r="I351" s="244"/>
      <c r="J351" s="244"/>
      <c r="K351" s="244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</row>
    <row r="352" ht="14.25" customHeight="1">
      <c r="A352" s="244"/>
      <c r="B352" s="244"/>
      <c r="C352" s="244"/>
      <c r="D352" s="244"/>
      <c r="E352" s="244"/>
      <c r="F352" s="244"/>
      <c r="G352" s="244"/>
      <c r="H352" s="244"/>
      <c r="I352" s="244"/>
      <c r="J352" s="244"/>
      <c r="K352" s="244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</row>
    <row r="353" ht="14.25" customHeight="1">
      <c r="A353" s="244"/>
      <c r="B353" s="244"/>
      <c r="C353" s="244"/>
      <c r="D353" s="244"/>
      <c r="E353" s="244"/>
      <c r="F353" s="244"/>
      <c r="G353" s="244"/>
      <c r="H353" s="244"/>
      <c r="I353" s="244"/>
      <c r="J353" s="244"/>
      <c r="K353" s="244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</row>
    <row r="354" ht="14.25" customHeight="1">
      <c r="A354" s="244"/>
      <c r="B354" s="244"/>
      <c r="C354" s="244"/>
      <c r="D354" s="244"/>
      <c r="E354" s="244"/>
      <c r="F354" s="244"/>
      <c r="G354" s="244"/>
      <c r="H354" s="244"/>
      <c r="I354" s="244"/>
      <c r="J354" s="244"/>
      <c r="K354" s="244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</row>
    <row r="355" ht="14.25" customHeight="1">
      <c r="A355" s="244"/>
      <c r="B355" s="244"/>
      <c r="C355" s="244"/>
      <c r="D355" s="244"/>
      <c r="E355" s="244"/>
      <c r="F355" s="244"/>
      <c r="G355" s="244"/>
      <c r="H355" s="244"/>
      <c r="I355" s="244"/>
      <c r="J355" s="244"/>
      <c r="K355" s="244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</row>
    <row r="356" ht="14.25" customHeight="1">
      <c r="A356" s="244"/>
      <c r="B356" s="244"/>
      <c r="C356" s="244"/>
      <c r="D356" s="244"/>
      <c r="E356" s="244"/>
      <c r="F356" s="244"/>
      <c r="G356" s="244"/>
      <c r="H356" s="244"/>
      <c r="I356" s="244"/>
      <c r="J356" s="244"/>
      <c r="K356" s="244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</row>
    <row r="357" ht="14.25" customHeight="1">
      <c r="A357" s="244"/>
      <c r="B357" s="244"/>
      <c r="C357" s="244"/>
      <c r="D357" s="244"/>
      <c r="E357" s="244"/>
      <c r="F357" s="244"/>
      <c r="G357" s="244"/>
      <c r="H357" s="244"/>
      <c r="I357" s="244"/>
      <c r="J357" s="244"/>
      <c r="K357" s="244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</row>
    <row r="358" ht="14.25" customHeight="1">
      <c r="A358" s="244"/>
      <c r="B358" s="244"/>
      <c r="C358" s="244"/>
      <c r="D358" s="244"/>
      <c r="E358" s="244"/>
      <c r="F358" s="244"/>
      <c r="G358" s="244"/>
      <c r="H358" s="244"/>
      <c r="I358" s="244"/>
      <c r="J358" s="244"/>
      <c r="K358" s="244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</row>
    <row r="359" ht="14.25" customHeight="1">
      <c r="A359" s="244"/>
      <c r="B359" s="244"/>
      <c r="C359" s="244"/>
      <c r="D359" s="244"/>
      <c r="E359" s="244"/>
      <c r="F359" s="244"/>
      <c r="G359" s="244"/>
      <c r="H359" s="244"/>
      <c r="I359" s="244"/>
      <c r="J359" s="244"/>
      <c r="K359" s="244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</row>
    <row r="360" ht="14.25" customHeight="1">
      <c r="A360" s="244"/>
      <c r="B360" s="244"/>
      <c r="C360" s="244"/>
      <c r="D360" s="244"/>
      <c r="E360" s="244"/>
      <c r="F360" s="244"/>
      <c r="G360" s="244"/>
      <c r="H360" s="244"/>
      <c r="I360" s="244"/>
      <c r="J360" s="244"/>
      <c r="K360" s="244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</row>
    <row r="361" ht="14.25" customHeight="1">
      <c r="A361" s="244"/>
      <c r="B361" s="244"/>
      <c r="C361" s="244"/>
      <c r="D361" s="244"/>
      <c r="E361" s="244"/>
      <c r="F361" s="244"/>
      <c r="G361" s="244"/>
      <c r="H361" s="244"/>
      <c r="I361" s="244"/>
      <c r="J361" s="244"/>
      <c r="K361" s="244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</row>
    <row r="362" ht="14.25" customHeight="1">
      <c r="A362" s="244"/>
      <c r="B362" s="244"/>
      <c r="C362" s="244"/>
      <c r="D362" s="244"/>
      <c r="E362" s="244"/>
      <c r="F362" s="244"/>
      <c r="G362" s="244"/>
      <c r="H362" s="244"/>
      <c r="I362" s="244"/>
      <c r="J362" s="244"/>
      <c r="K362" s="244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</row>
    <row r="363" ht="14.25" customHeight="1">
      <c r="A363" s="244"/>
      <c r="B363" s="244"/>
      <c r="C363" s="244"/>
      <c r="D363" s="244"/>
      <c r="E363" s="244"/>
      <c r="F363" s="244"/>
      <c r="G363" s="244"/>
      <c r="H363" s="244"/>
      <c r="I363" s="244"/>
      <c r="J363" s="244"/>
      <c r="K363" s="244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</row>
    <row r="364" ht="14.25" customHeight="1">
      <c r="A364" s="244"/>
      <c r="B364" s="244"/>
      <c r="C364" s="244"/>
      <c r="D364" s="244"/>
      <c r="E364" s="244"/>
      <c r="F364" s="244"/>
      <c r="G364" s="244"/>
      <c r="H364" s="244"/>
      <c r="I364" s="244"/>
      <c r="J364" s="244"/>
      <c r="K364" s="244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</row>
    <row r="365" ht="14.25" customHeight="1">
      <c r="A365" s="244"/>
      <c r="B365" s="244"/>
      <c r="C365" s="244"/>
      <c r="D365" s="244"/>
      <c r="E365" s="244"/>
      <c r="F365" s="244"/>
      <c r="G365" s="244"/>
      <c r="H365" s="244"/>
      <c r="I365" s="244"/>
      <c r="J365" s="244"/>
      <c r="K365" s="244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</row>
    <row r="366" ht="14.25" customHeight="1">
      <c r="A366" s="244"/>
      <c r="B366" s="244"/>
      <c r="C366" s="244"/>
      <c r="D366" s="244"/>
      <c r="E366" s="244"/>
      <c r="F366" s="244"/>
      <c r="G366" s="244"/>
      <c r="H366" s="244"/>
      <c r="I366" s="244"/>
      <c r="J366" s="244"/>
      <c r="K366" s="244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</row>
    <row r="367" ht="14.25" customHeight="1">
      <c r="A367" s="244"/>
      <c r="B367" s="244"/>
      <c r="C367" s="244"/>
      <c r="D367" s="244"/>
      <c r="E367" s="244"/>
      <c r="F367" s="244"/>
      <c r="G367" s="244"/>
      <c r="H367" s="244"/>
      <c r="I367" s="244"/>
      <c r="J367" s="244"/>
      <c r="K367" s="244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</row>
    <row r="368" ht="14.25" customHeight="1">
      <c r="A368" s="244"/>
      <c r="B368" s="244"/>
      <c r="C368" s="244"/>
      <c r="D368" s="244"/>
      <c r="E368" s="244"/>
      <c r="F368" s="244"/>
      <c r="G368" s="244"/>
      <c r="H368" s="244"/>
      <c r="I368" s="244"/>
      <c r="J368" s="244"/>
      <c r="K368" s="244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</row>
    <row r="369" ht="14.25" customHeight="1">
      <c r="A369" s="244"/>
      <c r="B369" s="244"/>
      <c r="C369" s="244"/>
      <c r="D369" s="244"/>
      <c r="E369" s="244"/>
      <c r="F369" s="244"/>
      <c r="G369" s="244"/>
      <c r="H369" s="244"/>
      <c r="I369" s="244"/>
      <c r="J369" s="244"/>
      <c r="K369" s="244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</row>
    <row r="370" ht="14.25" customHeight="1">
      <c r="A370" s="244"/>
      <c r="B370" s="244"/>
      <c r="C370" s="244"/>
      <c r="D370" s="244"/>
      <c r="E370" s="244"/>
      <c r="F370" s="244"/>
      <c r="G370" s="244"/>
      <c r="H370" s="244"/>
      <c r="I370" s="244"/>
      <c r="J370" s="244"/>
      <c r="K370" s="244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</row>
    <row r="371" ht="14.25" customHeight="1">
      <c r="A371" s="244"/>
      <c r="B371" s="244"/>
      <c r="C371" s="244"/>
      <c r="D371" s="244"/>
      <c r="E371" s="244"/>
      <c r="F371" s="244"/>
      <c r="G371" s="244"/>
      <c r="H371" s="244"/>
      <c r="I371" s="244"/>
      <c r="J371" s="244"/>
      <c r="K371" s="244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</row>
    <row r="372" ht="14.25" customHeight="1">
      <c r="A372" s="244"/>
      <c r="B372" s="244"/>
      <c r="C372" s="244"/>
      <c r="D372" s="244"/>
      <c r="E372" s="244"/>
      <c r="F372" s="244"/>
      <c r="G372" s="244"/>
      <c r="H372" s="244"/>
      <c r="I372" s="244"/>
      <c r="J372" s="244"/>
      <c r="K372" s="244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</row>
    <row r="373" ht="14.25" customHeight="1">
      <c r="A373" s="244"/>
      <c r="B373" s="244"/>
      <c r="C373" s="244"/>
      <c r="D373" s="244"/>
      <c r="E373" s="244"/>
      <c r="F373" s="244"/>
      <c r="G373" s="244"/>
      <c r="H373" s="244"/>
      <c r="I373" s="244"/>
      <c r="J373" s="244"/>
      <c r="K373" s="244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</row>
    <row r="374" ht="14.25" customHeight="1">
      <c r="A374" s="244"/>
      <c r="B374" s="244"/>
      <c r="C374" s="244"/>
      <c r="D374" s="244"/>
      <c r="E374" s="244"/>
      <c r="F374" s="244"/>
      <c r="G374" s="244"/>
      <c r="H374" s="244"/>
      <c r="I374" s="244"/>
      <c r="J374" s="244"/>
      <c r="K374" s="244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</row>
    <row r="375" ht="14.25" customHeight="1">
      <c r="A375" s="244"/>
      <c r="B375" s="244"/>
      <c r="C375" s="244"/>
      <c r="D375" s="244"/>
      <c r="E375" s="244"/>
      <c r="F375" s="244"/>
      <c r="G375" s="244"/>
      <c r="H375" s="244"/>
      <c r="I375" s="244"/>
      <c r="J375" s="244"/>
      <c r="K375" s="244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</row>
    <row r="376" ht="14.25" customHeight="1">
      <c r="A376" s="244"/>
      <c r="B376" s="244"/>
      <c r="C376" s="244"/>
      <c r="D376" s="244"/>
      <c r="E376" s="244"/>
      <c r="F376" s="244"/>
      <c r="G376" s="244"/>
      <c r="H376" s="244"/>
      <c r="I376" s="244"/>
      <c r="J376" s="244"/>
      <c r="K376" s="244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</row>
    <row r="377" ht="14.25" customHeight="1">
      <c r="A377" s="244"/>
      <c r="B377" s="244"/>
      <c r="C377" s="244"/>
      <c r="D377" s="244"/>
      <c r="E377" s="244"/>
      <c r="F377" s="244"/>
      <c r="G377" s="244"/>
      <c r="H377" s="244"/>
      <c r="I377" s="244"/>
      <c r="J377" s="244"/>
      <c r="K377" s="244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</row>
    <row r="378" ht="14.25" customHeight="1">
      <c r="A378" s="244"/>
      <c r="B378" s="244"/>
      <c r="C378" s="244"/>
      <c r="D378" s="244"/>
      <c r="E378" s="244"/>
      <c r="F378" s="244"/>
      <c r="G378" s="244"/>
      <c r="H378" s="244"/>
      <c r="I378" s="244"/>
      <c r="J378" s="244"/>
      <c r="K378" s="244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</row>
    <row r="379" ht="14.25" customHeight="1">
      <c r="A379" s="244"/>
      <c r="B379" s="244"/>
      <c r="C379" s="244"/>
      <c r="D379" s="244"/>
      <c r="E379" s="244"/>
      <c r="F379" s="244"/>
      <c r="G379" s="244"/>
      <c r="H379" s="244"/>
      <c r="I379" s="244"/>
      <c r="J379" s="244"/>
      <c r="K379" s="244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</row>
    <row r="380" ht="14.25" customHeight="1">
      <c r="A380" s="244"/>
      <c r="B380" s="244"/>
      <c r="C380" s="244"/>
      <c r="D380" s="244"/>
      <c r="E380" s="244"/>
      <c r="F380" s="244"/>
      <c r="G380" s="244"/>
      <c r="H380" s="244"/>
      <c r="I380" s="244"/>
      <c r="J380" s="244"/>
      <c r="K380" s="244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</row>
    <row r="381" ht="14.25" customHeight="1">
      <c r="A381" s="244"/>
      <c r="B381" s="244"/>
      <c r="C381" s="244"/>
      <c r="D381" s="244"/>
      <c r="E381" s="244"/>
      <c r="F381" s="244"/>
      <c r="G381" s="244"/>
      <c r="H381" s="244"/>
      <c r="I381" s="244"/>
      <c r="J381" s="244"/>
      <c r="K381" s="244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</row>
    <row r="382" ht="14.25" customHeight="1">
      <c r="A382" s="244"/>
      <c r="B382" s="244"/>
      <c r="C382" s="244"/>
      <c r="D382" s="244"/>
      <c r="E382" s="244"/>
      <c r="F382" s="244"/>
      <c r="G382" s="244"/>
      <c r="H382" s="244"/>
      <c r="I382" s="244"/>
      <c r="J382" s="244"/>
      <c r="K382" s="244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</row>
    <row r="383" ht="14.25" customHeight="1">
      <c r="A383" s="244"/>
      <c r="B383" s="244"/>
      <c r="C383" s="244"/>
      <c r="D383" s="244"/>
      <c r="E383" s="244"/>
      <c r="F383" s="244"/>
      <c r="G383" s="244"/>
      <c r="H383" s="244"/>
      <c r="I383" s="244"/>
      <c r="J383" s="244"/>
      <c r="K383" s="244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</row>
    <row r="384" ht="14.25" customHeight="1">
      <c r="A384" s="244"/>
      <c r="B384" s="244"/>
      <c r="C384" s="244"/>
      <c r="D384" s="244"/>
      <c r="E384" s="244"/>
      <c r="F384" s="244"/>
      <c r="G384" s="244"/>
      <c r="H384" s="244"/>
      <c r="I384" s="244"/>
      <c r="J384" s="244"/>
      <c r="K384" s="244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</row>
    <row r="385" ht="14.25" customHeight="1">
      <c r="A385" s="244"/>
      <c r="B385" s="244"/>
      <c r="C385" s="244"/>
      <c r="D385" s="244"/>
      <c r="E385" s="244"/>
      <c r="F385" s="244"/>
      <c r="G385" s="244"/>
      <c r="H385" s="244"/>
      <c r="I385" s="244"/>
      <c r="J385" s="244"/>
      <c r="K385" s="244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</row>
    <row r="386" ht="14.25" customHeight="1">
      <c r="A386" s="244"/>
      <c r="B386" s="244"/>
      <c r="C386" s="244"/>
      <c r="D386" s="244"/>
      <c r="E386" s="244"/>
      <c r="F386" s="244"/>
      <c r="G386" s="244"/>
      <c r="H386" s="244"/>
      <c r="I386" s="244"/>
      <c r="J386" s="244"/>
      <c r="K386" s="244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</row>
    <row r="387" ht="14.25" customHeight="1">
      <c r="A387" s="244"/>
      <c r="B387" s="244"/>
      <c r="C387" s="244"/>
      <c r="D387" s="244"/>
      <c r="E387" s="244"/>
      <c r="F387" s="244"/>
      <c r="G387" s="244"/>
      <c r="H387" s="244"/>
      <c r="I387" s="244"/>
      <c r="J387" s="244"/>
      <c r="K387" s="244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</row>
    <row r="388" ht="14.25" customHeight="1">
      <c r="A388" s="244"/>
      <c r="B388" s="244"/>
      <c r="C388" s="244"/>
      <c r="D388" s="244"/>
      <c r="E388" s="244"/>
      <c r="F388" s="244"/>
      <c r="G388" s="244"/>
      <c r="H388" s="244"/>
      <c r="I388" s="244"/>
      <c r="J388" s="244"/>
      <c r="K388" s="244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</row>
    <row r="389" ht="14.25" customHeight="1">
      <c r="A389" s="244"/>
      <c r="B389" s="244"/>
      <c r="C389" s="244"/>
      <c r="D389" s="244"/>
      <c r="E389" s="244"/>
      <c r="F389" s="244"/>
      <c r="G389" s="244"/>
      <c r="H389" s="244"/>
      <c r="I389" s="244"/>
      <c r="J389" s="244"/>
      <c r="K389" s="244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</row>
    <row r="390" ht="14.25" customHeight="1">
      <c r="A390" s="244"/>
      <c r="B390" s="244"/>
      <c r="C390" s="244"/>
      <c r="D390" s="244"/>
      <c r="E390" s="244"/>
      <c r="F390" s="244"/>
      <c r="G390" s="244"/>
      <c r="H390" s="244"/>
      <c r="I390" s="244"/>
      <c r="J390" s="244"/>
      <c r="K390" s="244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</row>
    <row r="391" ht="14.25" customHeight="1">
      <c r="A391" s="244"/>
      <c r="B391" s="244"/>
      <c r="C391" s="244"/>
      <c r="D391" s="244"/>
      <c r="E391" s="244"/>
      <c r="F391" s="244"/>
      <c r="G391" s="244"/>
      <c r="H391" s="244"/>
      <c r="I391" s="244"/>
      <c r="J391" s="244"/>
      <c r="K391" s="244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</row>
    <row r="392" ht="14.25" customHeight="1">
      <c r="A392" s="244"/>
      <c r="B392" s="244"/>
      <c r="C392" s="244"/>
      <c r="D392" s="244"/>
      <c r="E392" s="244"/>
      <c r="F392" s="244"/>
      <c r="G392" s="244"/>
      <c r="H392" s="244"/>
      <c r="I392" s="244"/>
      <c r="J392" s="244"/>
      <c r="K392" s="244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</row>
    <row r="393" ht="14.25" customHeight="1">
      <c r="A393" s="244"/>
      <c r="B393" s="244"/>
      <c r="C393" s="244"/>
      <c r="D393" s="244"/>
      <c r="E393" s="244"/>
      <c r="F393" s="244"/>
      <c r="G393" s="244"/>
      <c r="H393" s="244"/>
      <c r="I393" s="244"/>
      <c r="J393" s="244"/>
      <c r="K393" s="244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</row>
    <row r="394" ht="14.25" customHeight="1">
      <c r="A394" s="244"/>
      <c r="B394" s="244"/>
      <c r="C394" s="244"/>
      <c r="D394" s="244"/>
      <c r="E394" s="244"/>
      <c r="F394" s="244"/>
      <c r="G394" s="244"/>
      <c r="H394" s="244"/>
      <c r="I394" s="244"/>
      <c r="J394" s="244"/>
      <c r="K394" s="244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</row>
    <row r="395" ht="14.25" customHeight="1">
      <c r="A395" s="244"/>
      <c r="B395" s="244"/>
      <c r="C395" s="244"/>
      <c r="D395" s="244"/>
      <c r="E395" s="244"/>
      <c r="F395" s="244"/>
      <c r="G395" s="244"/>
      <c r="H395" s="244"/>
      <c r="I395" s="244"/>
      <c r="J395" s="244"/>
      <c r="K395" s="244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</row>
    <row r="396" ht="14.25" customHeight="1">
      <c r="A396" s="244"/>
      <c r="B396" s="244"/>
      <c r="C396" s="244"/>
      <c r="D396" s="244"/>
      <c r="E396" s="244"/>
      <c r="F396" s="244"/>
      <c r="G396" s="244"/>
      <c r="H396" s="244"/>
      <c r="I396" s="244"/>
      <c r="J396" s="244"/>
      <c r="K396" s="244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</row>
    <row r="397" ht="14.25" customHeight="1">
      <c r="A397" s="244"/>
      <c r="B397" s="244"/>
      <c r="C397" s="244"/>
      <c r="D397" s="244"/>
      <c r="E397" s="244"/>
      <c r="F397" s="244"/>
      <c r="G397" s="244"/>
      <c r="H397" s="244"/>
      <c r="I397" s="244"/>
      <c r="J397" s="244"/>
      <c r="K397" s="244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</row>
    <row r="398" ht="14.25" customHeight="1">
      <c r="A398" s="244"/>
      <c r="B398" s="244"/>
      <c r="C398" s="244"/>
      <c r="D398" s="244"/>
      <c r="E398" s="244"/>
      <c r="F398" s="244"/>
      <c r="G398" s="244"/>
      <c r="H398" s="244"/>
      <c r="I398" s="244"/>
      <c r="J398" s="244"/>
      <c r="K398" s="244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</row>
    <row r="399" ht="14.25" customHeight="1">
      <c r="A399" s="244"/>
      <c r="B399" s="244"/>
      <c r="C399" s="244"/>
      <c r="D399" s="244"/>
      <c r="E399" s="244"/>
      <c r="F399" s="244"/>
      <c r="G399" s="244"/>
      <c r="H399" s="244"/>
      <c r="I399" s="244"/>
      <c r="J399" s="244"/>
      <c r="K399" s="244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</row>
    <row r="400" ht="14.25" customHeight="1">
      <c r="A400" s="244"/>
      <c r="B400" s="244"/>
      <c r="C400" s="244"/>
      <c r="D400" s="244"/>
      <c r="E400" s="244"/>
      <c r="F400" s="244"/>
      <c r="G400" s="244"/>
      <c r="H400" s="244"/>
      <c r="I400" s="244"/>
      <c r="J400" s="244"/>
      <c r="K400" s="244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</row>
    <row r="401" ht="14.25" customHeight="1">
      <c r="A401" s="244"/>
      <c r="B401" s="244"/>
      <c r="C401" s="244"/>
      <c r="D401" s="244"/>
      <c r="E401" s="244"/>
      <c r="F401" s="244"/>
      <c r="G401" s="244"/>
      <c r="H401" s="244"/>
      <c r="I401" s="244"/>
      <c r="J401" s="244"/>
      <c r="K401" s="244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</row>
    <row r="402" ht="14.25" customHeight="1">
      <c r="A402" s="244"/>
      <c r="B402" s="244"/>
      <c r="C402" s="244"/>
      <c r="D402" s="244"/>
      <c r="E402" s="244"/>
      <c r="F402" s="244"/>
      <c r="G402" s="244"/>
      <c r="H402" s="244"/>
      <c r="I402" s="244"/>
      <c r="J402" s="244"/>
      <c r="K402" s="244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</row>
    <row r="403" ht="14.25" customHeight="1">
      <c r="A403" s="244"/>
      <c r="B403" s="244"/>
      <c r="C403" s="244"/>
      <c r="D403" s="244"/>
      <c r="E403" s="244"/>
      <c r="F403" s="244"/>
      <c r="G403" s="244"/>
      <c r="H403" s="244"/>
      <c r="I403" s="244"/>
      <c r="J403" s="244"/>
      <c r="K403" s="244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</row>
    <row r="404" ht="14.25" customHeight="1">
      <c r="A404" s="244"/>
      <c r="B404" s="244"/>
      <c r="C404" s="244"/>
      <c r="D404" s="244"/>
      <c r="E404" s="244"/>
      <c r="F404" s="244"/>
      <c r="G404" s="244"/>
      <c r="H404" s="244"/>
      <c r="I404" s="244"/>
      <c r="J404" s="244"/>
      <c r="K404" s="244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</row>
    <row r="405" ht="14.25" customHeight="1">
      <c r="A405" s="244"/>
      <c r="B405" s="244"/>
      <c r="C405" s="244"/>
      <c r="D405" s="244"/>
      <c r="E405" s="244"/>
      <c r="F405" s="244"/>
      <c r="G405" s="244"/>
      <c r="H405" s="244"/>
      <c r="I405" s="244"/>
      <c r="J405" s="244"/>
      <c r="K405" s="244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</row>
    <row r="406" ht="14.25" customHeight="1">
      <c r="A406" s="244"/>
      <c r="B406" s="244"/>
      <c r="C406" s="244"/>
      <c r="D406" s="244"/>
      <c r="E406" s="244"/>
      <c r="F406" s="244"/>
      <c r="G406" s="244"/>
      <c r="H406" s="244"/>
      <c r="I406" s="244"/>
      <c r="J406" s="244"/>
      <c r="K406" s="244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</row>
    <row r="407" ht="14.25" customHeight="1">
      <c r="A407" s="244"/>
      <c r="B407" s="244"/>
      <c r="C407" s="244"/>
      <c r="D407" s="244"/>
      <c r="E407" s="244"/>
      <c r="F407" s="244"/>
      <c r="G407" s="244"/>
      <c r="H407" s="244"/>
      <c r="I407" s="244"/>
      <c r="J407" s="244"/>
      <c r="K407" s="244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</row>
    <row r="408" ht="14.25" customHeight="1">
      <c r="A408" s="244"/>
      <c r="B408" s="244"/>
      <c r="C408" s="244"/>
      <c r="D408" s="244"/>
      <c r="E408" s="244"/>
      <c r="F408" s="244"/>
      <c r="G408" s="244"/>
      <c r="H408" s="244"/>
      <c r="I408" s="244"/>
      <c r="J408" s="244"/>
      <c r="K408" s="244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</row>
    <row r="409" ht="14.25" customHeight="1">
      <c r="A409" s="244"/>
      <c r="B409" s="244"/>
      <c r="C409" s="244"/>
      <c r="D409" s="244"/>
      <c r="E409" s="244"/>
      <c r="F409" s="244"/>
      <c r="G409" s="244"/>
      <c r="H409" s="244"/>
      <c r="I409" s="244"/>
      <c r="J409" s="244"/>
      <c r="K409" s="244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</row>
    <row r="410" ht="14.25" customHeight="1">
      <c r="A410" s="244"/>
      <c r="B410" s="244"/>
      <c r="C410" s="244"/>
      <c r="D410" s="244"/>
      <c r="E410" s="244"/>
      <c r="F410" s="244"/>
      <c r="G410" s="244"/>
      <c r="H410" s="244"/>
      <c r="I410" s="244"/>
      <c r="J410" s="244"/>
      <c r="K410" s="244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</row>
    <row r="411" ht="14.25" customHeight="1">
      <c r="A411" s="244"/>
      <c r="B411" s="244"/>
      <c r="C411" s="244"/>
      <c r="D411" s="244"/>
      <c r="E411" s="244"/>
      <c r="F411" s="244"/>
      <c r="G411" s="244"/>
      <c r="H411" s="244"/>
      <c r="I411" s="244"/>
      <c r="J411" s="244"/>
      <c r="K411" s="244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</row>
    <row r="412" ht="14.25" customHeight="1">
      <c r="A412" s="244"/>
      <c r="B412" s="244"/>
      <c r="C412" s="244"/>
      <c r="D412" s="244"/>
      <c r="E412" s="244"/>
      <c r="F412" s="244"/>
      <c r="G412" s="244"/>
      <c r="H412" s="244"/>
      <c r="I412" s="244"/>
      <c r="J412" s="244"/>
      <c r="K412" s="244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</row>
    <row r="413" ht="14.25" customHeight="1">
      <c r="A413" s="244"/>
      <c r="B413" s="244"/>
      <c r="C413" s="244"/>
      <c r="D413" s="244"/>
      <c r="E413" s="244"/>
      <c r="F413" s="244"/>
      <c r="G413" s="244"/>
      <c r="H413" s="244"/>
      <c r="I413" s="244"/>
      <c r="J413" s="244"/>
      <c r="K413" s="244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</row>
    <row r="414" ht="14.25" customHeight="1">
      <c r="A414" s="244"/>
      <c r="B414" s="244"/>
      <c r="C414" s="244"/>
      <c r="D414" s="244"/>
      <c r="E414" s="244"/>
      <c r="F414" s="244"/>
      <c r="G414" s="244"/>
      <c r="H414" s="244"/>
      <c r="I414" s="244"/>
      <c r="J414" s="244"/>
      <c r="K414" s="244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</row>
    <row r="415" ht="14.25" customHeight="1">
      <c r="A415" s="244"/>
      <c r="B415" s="244"/>
      <c r="C415" s="244"/>
      <c r="D415" s="244"/>
      <c r="E415" s="244"/>
      <c r="F415" s="244"/>
      <c r="G415" s="244"/>
      <c r="H415" s="244"/>
      <c r="I415" s="244"/>
      <c r="J415" s="244"/>
      <c r="K415" s="244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</row>
    <row r="416" ht="14.25" customHeight="1">
      <c r="A416" s="244"/>
      <c r="B416" s="244"/>
      <c r="C416" s="244"/>
      <c r="D416" s="244"/>
      <c r="E416" s="244"/>
      <c r="F416" s="244"/>
      <c r="G416" s="244"/>
      <c r="H416" s="244"/>
      <c r="I416" s="244"/>
      <c r="J416" s="244"/>
      <c r="K416" s="244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</row>
    <row r="417" ht="14.25" customHeight="1">
      <c r="A417" s="244"/>
      <c r="B417" s="244"/>
      <c r="C417" s="244"/>
      <c r="D417" s="244"/>
      <c r="E417" s="244"/>
      <c r="F417" s="244"/>
      <c r="G417" s="244"/>
      <c r="H417" s="244"/>
      <c r="I417" s="244"/>
      <c r="J417" s="244"/>
      <c r="K417" s="244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</row>
    <row r="418" ht="14.25" customHeight="1">
      <c r="A418" s="244"/>
      <c r="B418" s="244"/>
      <c r="C418" s="244"/>
      <c r="D418" s="244"/>
      <c r="E418" s="244"/>
      <c r="F418" s="244"/>
      <c r="G418" s="244"/>
      <c r="H418" s="244"/>
      <c r="I418" s="244"/>
      <c r="J418" s="244"/>
      <c r="K418" s="244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</row>
    <row r="419" ht="14.25" customHeight="1">
      <c r="A419" s="244"/>
      <c r="B419" s="244"/>
      <c r="C419" s="244"/>
      <c r="D419" s="244"/>
      <c r="E419" s="244"/>
      <c r="F419" s="244"/>
      <c r="G419" s="244"/>
      <c r="H419" s="244"/>
      <c r="I419" s="244"/>
      <c r="J419" s="244"/>
      <c r="K419" s="244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</row>
    <row r="420" ht="14.25" customHeight="1">
      <c r="A420" s="244"/>
      <c r="B420" s="244"/>
      <c r="C420" s="244"/>
      <c r="D420" s="244"/>
      <c r="E420" s="244"/>
      <c r="F420" s="244"/>
      <c r="G420" s="244"/>
      <c r="H420" s="244"/>
      <c r="I420" s="244"/>
      <c r="J420" s="244"/>
      <c r="K420" s="244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</row>
    <row r="421" ht="14.25" customHeight="1">
      <c r="A421" s="244"/>
      <c r="B421" s="244"/>
      <c r="C421" s="244"/>
      <c r="D421" s="244"/>
      <c r="E421" s="244"/>
      <c r="F421" s="244"/>
      <c r="G421" s="244"/>
      <c r="H421" s="244"/>
      <c r="I421" s="244"/>
      <c r="J421" s="244"/>
      <c r="K421" s="244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</row>
    <row r="422" ht="14.25" customHeight="1">
      <c r="A422" s="244"/>
      <c r="B422" s="244"/>
      <c r="C422" s="244"/>
      <c r="D422" s="244"/>
      <c r="E422" s="244"/>
      <c r="F422" s="244"/>
      <c r="G422" s="244"/>
      <c r="H422" s="244"/>
      <c r="I422" s="244"/>
      <c r="J422" s="244"/>
      <c r="K422" s="244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</row>
    <row r="423" ht="14.25" customHeight="1">
      <c r="A423" s="244"/>
      <c r="B423" s="244"/>
      <c r="C423" s="244"/>
      <c r="D423" s="244"/>
      <c r="E423" s="244"/>
      <c r="F423" s="244"/>
      <c r="G423" s="244"/>
      <c r="H423" s="244"/>
      <c r="I423" s="244"/>
      <c r="J423" s="244"/>
      <c r="K423" s="244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</row>
    <row r="424" ht="14.25" customHeight="1">
      <c r="A424" s="244"/>
      <c r="B424" s="244"/>
      <c r="C424" s="244"/>
      <c r="D424" s="244"/>
      <c r="E424" s="244"/>
      <c r="F424" s="244"/>
      <c r="G424" s="244"/>
      <c r="H424" s="244"/>
      <c r="I424" s="244"/>
      <c r="J424" s="244"/>
      <c r="K424" s="244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</row>
    <row r="425" ht="14.25" customHeight="1">
      <c r="A425" s="244"/>
      <c r="B425" s="244"/>
      <c r="C425" s="244"/>
      <c r="D425" s="244"/>
      <c r="E425" s="244"/>
      <c r="F425" s="244"/>
      <c r="G425" s="244"/>
      <c r="H425" s="244"/>
      <c r="I425" s="244"/>
      <c r="J425" s="244"/>
      <c r="K425" s="244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</row>
    <row r="426" ht="14.25" customHeight="1">
      <c r="A426" s="244"/>
      <c r="B426" s="244"/>
      <c r="C426" s="244"/>
      <c r="D426" s="244"/>
      <c r="E426" s="244"/>
      <c r="F426" s="244"/>
      <c r="G426" s="244"/>
      <c r="H426" s="244"/>
      <c r="I426" s="244"/>
      <c r="J426" s="244"/>
      <c r="K426" s="244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</row>
    <row r="427" ht="14.25" customHeight="1">
      <c r="A427" s="244"/>
      <c r="B427" s="244"/>
      <c r="C427" s="244"/>
      <c r="D427" s="244"/>
      <c r="E427" s="244"/>
      <c r="F427" s="244"/>
      <c r="G427" s="244"/>
      <c r="H427" s="244"/>
      <c r="I427" s="244"/>
      <c r="J427" s="244"/>
      <c r="K427" s="244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</row>
    <row r="428" ht="14.25" customHeight="1">
      <c r="A428" s="244"/>
      <c r="B428" s="244"/>
      <c r="C428" s="244"/>
      <c r="D428" s="244"/>
      <c r="E428" s="244"/>
      <c r="F428" s="244"/>
      <c r="G428" s="244"/>
      <c r="H428" s="244"/>
      <c r="I428" s="244"/>
      <c r="J428" s="244"/>
      <c r="K428" s="244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</row>
    <row r="429" ht="14.25" customHeight="1">
      <c r="A429" s="244"/>
      <c r="B429" s="244"/>
      <c r="C429" s="244"/>
      <c r="D429" s="244"/>
      <c r="E429" s="244"/>
      <c r="F429" s="244"/>
      <c r="G429" s="244"/>
      <c r="H429" s="244"/>
      <c r="I429" s="244"/>
      <c r="J429" s="244"/>
      <c r="K429" s="244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</row>
    <row r="430" ht="14.25" customHeight="1">
      <c r="A430" s="244"/>
      <c r="B430" s="244"/>
      <c r="C430" s="244"/>
      <c r="D430" s="244"/>
      <c r="E430" s="244"/>
      <c r="F430" s="244"/>
      <c r="G430" s="244"/>
      <c r="H430" s="244"/>
      <c r="I430" s="244"/>
      <c r="J430" s="244"/>
      <c r="K430" s="244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</row>
    <row r="431" ht="14.25" customHeight="1">
      <c r="A431" s="244"/>
      <c r="B431" s="244"/>
      <c r="C431" s="244"/>
      <c r="D431" s="244"/>
      <c r="E431" s="244"/>
      <c r="F431" s="244"/>
      <c r="G431" s="244"/>
      <c r="H431" s="244"/>
      <c r="I431" s="244"/>
      <c r="J431" s="244"/>
      <c r="K431" s="244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</row>
    <row r="432" ht="14.25" customHeight="1">
      <c r="A432" s="244"/>
      <c r="B432" s="244"/>
      <c r="C432" s="244"/>
      <c r="D432" s="244"/>
      <c r="E432" s="244"/>
      <c r="F432" s="244"/>
      <c r="G432" s="244"/>
      <c r="H432" s="244"/>
      <c r="I432" s="244"/>
      <c r="J432" s="244"/>
      <c r="K432" s="244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</row>
    <row r="433" ht="14.25" customHeight="1">
      <c r="A433" s="244"/>
      <c r="B433" s="244"/>
      <c r="C433" s="244"/>
      <c r="D433" s="244"/>
      <c r="E433" s="244"/>
      <c r="F433" s="244"/>
      <c r="G433" s="244"/>
      <c r="H433" s="244"/>
      <c r="I433" s="244"/>
      <c r="J433" s="244"/>
      <c r="K433" s="244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</row>
    <row r="434" ht="14.25" customHeight="1">
      <c r="A434" s="244"/>
      <c r="B434" s="244"/>
      <c r="C434" s="244"/>
      <c r="D434" s="244"/>
      <c r="E434" s="244"/>
      <c r="F434" s="244"/>
      <c r="G434" s="244"/>
      <c r="H434" s="244"/>
      <c r="I434" s="244"/>
      <c r="J434" s="244"/>
      <c r="K434" s="244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</row>
    <row r="435" ht="14.25" customHeight="1">
      <c r="A435" s="244"/>
      <c r="B435" s="244"/>
      <c r="C435" s="244"/>
      <c r="D435" s="244"/>
      <c r="E435" s="244"/>
      <c r="F435" s="244"/>
      <c r="G435" s="244"/>
      <c r="H435" s="244"/>
      <c r="I435" s="244"/>
      <c r="J435" s="244"/>
      <c r="K435" s="244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</row>
    <row r="436" ht="14.25" customHeight="1">
      <c r="A436" s="244"/>
      <c r="B436" s="244"/>
      <c r="C436" s="244"/>
      <c r="D436" s="244"/>
      <c r="E436" s="244"/>
      <c r="F436" s="244"/>
      <c r="G436" s="244"/>
      <c r="H436" s="244"/>
      <c r="I436" s="244"/>
      <c r="J436" s="244"/>
      <c r="K436" s="244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</row>
    <row r="437" ht="14.25" customHeight="1">
      <c r="A437" s="244"/>
      <c r="B437" s="244"/>
      <c r="C437" s="244"/>
      <c r="D437" s="244"/>
      <c r="E437" s="244"/>
      <c r="F437" s="244"/>
      <c r="G437" s="244"/>
      <c r="H437" s="244"/>
      <c r="I437" s="244"/>
      <c r="J437" s="244"/>
      <c r="K437" s="244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</row>
    <row r="438" ht="14.25" customHeight="1">
      <c r="A438" s="244"/>
      <c r="B438" s="244"/>
      <c r="C438" s="244"/>
      <c r="D438" s="244"/>
      <c r="E438" s="244"/>
      <c r="F438" s="244"/>
      <c r="G438" s="244"/>
      <c r="H438" s="244"/>
      <c r="I438" s="244"/>
      <c r="J438" s="244"/>
      <c r="K438" s="244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</row>
    <row r="439" ht="14.25" customHeight="1">
      <c r="A439" s="244"/>
      <c r="B439" s="244"/>
      <c r="C439" s="244"/>
      <c r="D439" s="244"/>
      <c r="E439" s="244"/>
      <c r="F439" s="244"/>
      <c r="G439" s="244"/>
      <c r="H439" s="244"/>
      <c r="I439" s="244"/>
      <c r="J439" s="244"/>
      <c r="K439" s="244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</row>
    <row r="440" ht="14.25" customHeight="1">
      <c r="A440" s="244"/>
      <c r="B440" s="244"/>
      <c r="C440" s="244"/>
      <c r="D440" s="244"/>
      <c r="E440" s="244"/>
      <c r="F440" s="244"/>
      <c r="G440" s="244"/>
      <c r="H440" s="244"/>
      <c r="I440" s="244"/>
      <c r="J440" s="244"/>
      <c r="K440" s="244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</row>
    <row r="441" ht="14.25" customHeight="1">
      <c r="A441" s="244"/>
      <c r="B441" s="244"/>
      <c r="C441" s="244"/>
      <c r="D441" s="244"/>
      <c r="E441" s="244"/>
      <c r="F441" s="244"/>
      <c r="G441" s="244"/>
      <c r="H441" s="244"/>
      <c r="I441" s="244"/>
      <c r="J441" s="244"/>
      <c r="K441" s="244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</row>
    <row r="442" ht="14.25" customHeight="1">
      <c r="A442" s="244"/>
      <c r="B442" s="244"/>
      <c r="C442" s="244"/>
      <c r="D442" s="244"/>
      <c r="E442" s="244"/>
      <c r="F442" s="244"/>
      <c r="G442" s="244"/>
      <c r="H442" s="244"/>
      <c r="I442" s="244"/>
      <c r="J442" s="244"/>
      <c r="K442" s="244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</row>
    <row r="443" ht="14.25" customHeight="1">
      <c r="A443" s="244"/>
      <c r="B443" s="244"/>
      <c r="C443" s="244"/>
      <c r="D443" s="244"/>
      <c r="E443" s="244"/>
      <c r="F443" s="244"/>
      <c r="G443" s="244"/>
      <c r="H443" s="244"/>
      <c r="I443" s="244"/>
      <c r="J443" s="244"/>
      <c r="K443" s="244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</row>
    <row r="444" ht="14.25" customHeight="1">
      <c r="A444" s="244"/>
      <c r="B444" s="244"/>
      <c r="C444" s="244"/>
      <c r="D444" s="244"/>
      <c r="E444" s="244"/>
      <c r="F444" s="244"/>
      <c r="G444" s="244"/>
      <c r="H444" s="244"/>
      <c r="I444" s="244"/>
      <c r="J444" s="244"/>
      <c r="K444" s="244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</row>
    <row r="445" ht="14.25" customHeight="1">
      <c r="A445" s="244"/>
      <c r="B445" s="244"/>
      <c r="C445" s="244"/>
      <c r="D445" s="244"/>
      <c r="E445" s="244"/>
      <c r="F445" s="244"/>
      <c r="G445" s="244"/>
      <c r="H445" s="244"/>
      <c r="I445" s="244"/>
      <c r="J445" s="244"/>
      <c r="K445" s="244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</row>
    <row r="446" ht="14.25" customHeight="1">
      <c r="A446" s="244"/>
      <c r="B446" s="244"/>
      <c r="C446" s="244"/>
      <c r="D446" s="244"/>
      <c r="E446" s="244"/>
      <c r="F446" s="244"/>
      <c r="G446" s="244"/>
      <c r="H446" s="244"/>
      <c r="I446" s="244"/>
      <c r="J446" s="244"/>
      <c r="K446" s="244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</row>
    <row r="447" ht="14.25" customHeight="1">
      <c r="A447" s="244"/>
      <c r="B447" s="244"/>
      <c r="C447" s="244"/>
      <c r="D447" s="244"/>
      <c r="E447" s="244"/>
      <c r="F447" s="244"/>
      <c r="G447" s="244"/>
      <c r="H447" s="244"/>
      <c r="I447" s="244"/>
      <c r="J447" s="244"/>
      <c r="K447" s="244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</row>
    <row r="448" ht="14.25" customHeight="1">
      <c r="A448" s="244"/>
      <c r="B448" s="244"/>
      <c r="C448" s="244"/>
      <c r="D448" s="244"/>
      <c r="E448" s="244"/>
      <c r="F448" s="244"/>
      <c r="G448" s="244"/>
      <c r="H448" s="244"/>
      <c r="I448" s="244"/>
      <c r="J448" s="244"/>
      <c r="K448" s="244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</row>
    <row r="449" ht="14.25" customHeight="1">
      <c r="A449" s="244"/>
      <c r="B449" s="244"/>
      <c r="C449" s="244"/>
      <c r="D449" s="244"/>
      <c r="E449" s="244"/>
      <c r="F449" s="244"/>
      <c r="G449" s="244"/>
      <c r="H449" s="244"/>
      <c r="I449" s="244"/>
      <c r="J449" s="244"/>
      <c r="K449" s="244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</row>
    <row r="450" ht="14.25" customHeight="1">
      <c r="A450" s="244"/>
      <c r="B450" s="244"/>
      <c r="C450" s="244"/>
      <c r="D450" s="244"/>
      <c r="E450" s="244"/>
      <c r="F450" s="244"/>
      <c r="G450" s="244"/>
      <c r="H450" s="244"/>
      <c r="I450" s="244"/>
      <c r="J450" s="244"/>
      <c r="K450" s="244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</row>
    <row r="451" ht="14.25" customHeight="1">
      <c r="A451" s="244"/>
      <c r="B451" s="244"/>
      <c r="C451" s="244"/>
      <c r="D451" s="244"/>
      <c r="E451" s="244"/>
      <c r="F451" s="244"/>
      <c r="G451" s="244"/>
      <c r="H451" s="244"/>
      <c r="I451" s="244"/>
      <c r="J451" s="244"/>
      <c r="K451" s="244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</row>
    <row r="452" ht="14.25" customHeight="1">
      <c r="A452" s="244"/>
      <c r="B452" s="244"/>
      <c r="C452" s="244"/>
      <c r="D452" s="244"/>
      <c r="E452" s="244"/>
      <c r="F452" s="244"/>
      <c r="G452" s="244"/>
      <c r="H452" s="244"/>
      <c r="I452" s="244"/>
      <c r="J452" s="244"/>
      <c r="K452" s="244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</row>
    <row r="453" ht="14.25" customHeight="1">
      <c r="A453" s="244"/>
      <c r="B453" s="244"/>
      <c r="C453" s="244"/>
      <c r="D453" s="244"/>
      <c r="E453" s="244"/>
      <c r="F453" s="244"/>
      <c r="G453" s="244"/>
      <c r="H453" s="244"/>
      <c r="I453" s="244"/>
      <c r="J453" s="244"/>
      <c r="K453" s="244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</row>
    <row r="454" ht="14.25" customHeight="1">
      <c r="A454" s="244"/>
      <c r="B454" s="244"/>
      <c r="C454" s="244"/>
      <c r="D454" s="244"/>
      <c r="E454" s="244"/>
      <c r="F454" s="244"/>
      <c r="G454" s="244"/>
      <c r="H454" s="244"/>
      <c r="I454" s="244"/>
      <c r="J454" s="244"/>
      <c r="K454" s="244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</row>
    <row r="455" ht="14.25" customHeight="1">
      <c r="A455" s="244"/>
      <c r="B455" s="244"/>
      <c r="C455" s="244"/>
      <c r="D455" s="244"/>
      <c r="E455" s="244"/>
      <c r="F455" s="244"/>
      <c r="G455" s="244"/>
      <c r="H455" s="244"/>
      <c r="I455" s="244"/>
      <c r="J455" s="244"/>
      <c r="K455" s="244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</row>
    <row r="456" ht="14.25" customHeight="1">
      <c r="A456" s="244"/>
      <c r="B456" s="244"/>
      <c r="C456" s="244"/>
      <c r="D456" s="244"/>
      <c r="E456" s="244"/>
      <c r="F456" s="244"/>
      <c r="G456" s="244"/>
      <c r="H456" s="244"/>
      <c r="I456" s="244"/>
      <c r="J456" s="244"/>
      <c r="K456" s="244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</row>
    <row r="457" ht="14.25" customHeight="1">
      <c r="A457" s="244"/>
      <c r="B457" s="244"/>
      <c r="C457" s="244"/>
      <c r="D457" s="244"/>
      <c r="E457" s="244"/>
      <c r="F457" s="244"/>
      <c r="G457" s="244"/>
      <c r="H457" s="244"/>
      <c r="I457" s="244"/>
      <c r="J457" s="244"/>
      <c r="K457" s="244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</row>
    <row r="458" ht="14.25" customHeight="1">
      <c r="A458" s="244"/>
      <c r="B458" s="244"/>
      <c r="C458" s="244"/>
      <c r="D458" s="244"/>
      <c r="E458" s="244"/>
      <c r="F458" s="244"/>
      <c r="G458" s="244"/>
      <c r="H458" s="244"/>
      <c r="I458" s="244"/>
      <c r="J458" s="244"/>
      <c r="K458" s="244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</row>
    <row r="459" ht="14.25" customHeight="1">
      <c r="A459" s="244"/>
      <c r="B459" s="244"/>
      <c r="C459" s="244"/>
      <c r="D459" s="244"/>
      <c r="E459" s="244"/>
      <c r="F459" s="244"/>
      <c r="G459" s="244"/>
      <c r="H459" s="244"/>
      <c r="I459" s="244"/>
      <c r="J459" s="244"/>
      <c r="K459" s="244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</row>
    <row r="460" ht="14.25" customHeight="1">
      <c r="A460" s="244"/>
      <c r="B460" s="244"/>
      <c r="C460" s="244"/>
      <c r="D460" s="244"/>
      <c r="E460" s="244"/>
      <c r="F460" s="244"/>
      <c r="G460" s="244"/>
      <c r="H460" s="244"/>
      <c r="I460" s="244"/>
      <c r="J460" s="244"/>
      <c r="K460" s="244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</row>
    <row r="461" ht="14.25" customHeight="1">
      <c r="A461" s="244"/>
      <c r="B461" s="244"/>
      <c r="C461" s="244"/>
      <c r="D461" s="244"/>
      <c r="E461" s="244"/>
      <c r="F461" s="244"/>
      <c r="G461" s="244"/>
      <c r="H461" s="244"/>
      <c r="I461" s="244"/>
      <c r="J461" s="244"/>
      <c r="K461" s="244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</row>
    <row r="462" ht="14.25" customHeight="1">
      <c r="A462" s="244"/>
      <c r="B462" s="244"/>
      <c r="C462" s="244"/>
      <c r="D462" s="244"/>
      <c r="E462" s="244"/>
      <c r="F462" s="244"/>
      <c r="G462" s="244"/>
      <c r="H462" s="244"/>
      <c r="I462" s="244"/>
      <c r="J462" s="244"/>
      <c r="K462" s="244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</row>
    <row r="463" ht="14.25" customHeight="1">
      <c r="A463" s="244"/>
      <c r="B463" s="244"/>
      <c r="C463" s="244"/>
      <c r="D463" s="244"/>
      <c r="E463" s="244"/>
      <c r="F463" s="244"/>
      <c r="G463" s="244"/>
      <c r="H463" s="244"/>
      <c r="I463" s="244"/>
      <c r="J463" s="244"/>
      <c r="K463" s="244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</row>
    <row r="464" ht="14.25" customHeight="1">
      <c r="A464" s="244"/>
      <c r="B464" s="244"/>
      <c r="C464" s="244"/>
      <c r="D464" s="244"/>
      <c r="E464" s="244"/>
      <c r="F464" s="244"/>
      <c r="G464" s="244"/>
      <c r="H464" s="244"/>
      <c r="I464" s="244"/>
      <c r="J464" s="244"/>
      <c r="K464" s="244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</row>
    <row r="465" ht="14.25" customHeight="1">
      <c r="A465" s="244"/>
      <c r="B465" s="244"/>
      <c r="C465" s="244"/>
      <c r="D465" s="244"/>
      <c r="E465" s="244"/>
      <c r="F465" s="244"/>
      <c r="G465" s="244"/>
      <c r="H465" s="244"/>
      <c r="I465" s="244"/>
      <c r="J465" s="244"/>
      <c r="K465" s="244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</row>
    <row r="466" ht="14.25" customHeight="1">
      <c r="A466" s="244"/>
      <c r="B466" s="244"/>
      <c r="C466" s="244"/>
      <c r="D466" s="244"/>
      <c r="E466" s="244"/>
      <c r="F466" s="244"/>
      <c r="G466" s="244"/>
      <c r="H466" s="244"/>
      <c r="I466" s="244"/>
      <c r="J466" s="244"/>
      <c r="K466" s="244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</row>
    <row r="467" ht="14.25" customHeight="1">
      <c r="A467" s="244"/>
      <c r="B467" s="244"/>
      <c r="C467" s="244"/>
      <c r="D467" s="244"/>
      <c r="E467" s="244"/>
      <c r="F467" s="244"/>
      <c r="G467" s="244"/>
      <c r="H467" s="244"/>
      <c r="I467" s="244"/>
      <c r="J467" s="244"/>
      <c r="K467" s="244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</row>
    <row r="468" ht="14.25" customHeight="1">
      <c r="A468" s="244"/>
      <c r="B468" s="244"/>
      <c r="C468" s="244"/>
      <c r="D468" s="244"/>
      <c r="E468" s="244"/>
      <c r="F468" s="244"/>
      <c r="G468" s="244"/>
      <c r="H468" s="244"/>
      <c r="I468" s="244"/>
      <c r="J468" s="244"/>
      <c r="K468" s="244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</row>
    <row r="469" ht="14.25" customHeight="1">
      <c r="A469" s="244"/>
      <c r="B469" s="244"/>
      <c r="C469" s="244"/>
      <c r="D469" s="244"/>
      <c r="E469" s="244"/>
      <c r="F469" s="244"/>
      <c r="G469" s="244"/>
      <c r="H469" s="244"/>
      <c r="I469" s="244"/>
      <c r="J469" s="244"/>
      <c r="K469" s="244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</row>
    <row r="470" ht="14.25" customHeight="1">
      <c r="A470" s="244"/>
      <c r="B470" s="244"/>
      <c r="C470" s="244"/>
      <c r="D470" s="244"/>
      <c r="E470" s="244"/>
      <c r="F470" s="244"/>
      <c r="G470" s="244"/>
      <c r="H470" s="244"/>
      <c r="I470" s="244"/>
      <c r="J470" s="244"/>
      <c r="K470" s="244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</row>
    <row r="471" ht="14.25" customHeight="1">
      <c r="A471" s="244"/>
      <c r="B471" s="244"/>
      <c r="C471" s="244"/>
      <c r="D471" s="244"/>
      <c r="E471" s="244"/>
      <c r="F471" s="244"/>
      <c r="G471" s="244"/>
      <c r="H471" s="244"/>
      <c r="I471" s="244"/>
      <c r="J471" s="244"/>
      <c r="K471" s="244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</row>
    <row r="472" ht="14.25" customHeight="1">
      <c r="A472" s="244"/>
      <c r="B472" s="244"/>
      <c r="C472" s="244"/>
      <c r="D472" s="244"/>
      <c r="E472" s="244"/>
      <c r="F472" s="244"/>
      <c r="G472" s="244"/>
      <c r="H472" s="244"/>
      <c r="I472" s="244"/>
      <c r="J472" s="244"/>
      <c r="K472" s="244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</row>
    <row r="473" ht="14.25" customHeight="1">
      <c r="A473" s="244"/>
      <c r="B473" s="244"/>
      <c r="C473" s="244"/>
      <c r="D473" s="244"/>
      <c r="E473" s="244"/>
      <c r="F473" s="244"/>
      <c r="G473" s="244"/>
      <c r="H473" s="244"/>
      <c r="I473" s="244"/>
      <c r="J473" s="244"/>
      <c r="K473" s="244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</row>
    <row r="474" ht="14.25" customHeight="1">
      <c r="A474" s="244"/>
      <c r="B474" s="244"/>
      <c r="C474" s="244"/>
      <c r="D474" s="244"/>
      <c r="E474" s="244"/>
      <c r="F474" s="244"/>
      <c r="G474" s="244"/>
      <c r="H474" s="244"/>
      <c r="I474" s="244"/>
      <c r="J474" s="244"/>
      <c r="K474" s="244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</row>
    <row r="475" ht="14.25" customHeight="1">
      <c r="A475" s="244"/>
      <c r="B475" s="244"/>
      <c r="C475" s="244"/>
      <c r="D475" s="244"/>
      <c r="E475" s="244"/>
      <c r="F475" s="244"/>
      <c r="G475" s="244"/>
      <c r="H475" s="244"/>
      <c r="I475" s="244"/>
      <c r="J475" s="244"/>
      <c r="K475" s="244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</row>
    <row r="476" ht="14.25" customHeight="1">
      <c r="A476" s="244"/>
      <c r="B476" s="244"/>
      <c r="C476" s="244"/>
      <c r="D476" s="244"/>
      <c r="E476" s="244"/>
      <c r="F476" s="244"/>
      <c r="G476" s="244"/>
      <c r="H476" s="244"/>
      <c r="I476" s="244"/>
      <c r="J476" s="244"/>
      <c r="K476" s="244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</row>
    <row r="477" ht="14.25" customHeight="1">
      <c r="A477" s="244"/>
      <c r="B477" s="244"/>
      <c r="C477" s="244"/>
      <c r="D477" s="244"/>
      <c r="E477" s="244"/>
      <c r="F477" s="244"/>
      <c r="G477" s="244"/>
      <c r="H477" s="244"/>
      <c r="I477" s="244"/>
      <c r="J477" s="244"/>
      <c r="K477" s="244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</row>
    <row r="478" ht="14.25" customHeight="1">
      <c r="A478" s="244"/>
      <c r="B478" s="244"/>
      <c r="C478" s="244"/>
      <c r="D478" s="244"/>
      <c r="E478" s="244"/>
      <c r="F478" s="244"/>
      <c r="G478" s="244"/>
      <c r="H478" s="244"/>
      <c r="I478" s="244"/>
      <c r="J478" s="244"/>
      <c r="K478" s="244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</row>
    <row r="479" ht="14.25" customHeight="1">
      <c r="A479" s="244"/>
      <c r="B479" s="244"/>
      <c r="C479" s="244"/>
      <c r="D479" s="244"/>
      <c r="E479" s="244"/>
      <c r="F479" s="244"/>
      <c r="G479" s="244"/>
      <c r="H479" s="244"/>
      <c r="I479" s="244"/>
      <c r="J479" s="244"/>
      <c r="K479" s="244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</row>
    <row r="480" ht="14.25" customHeight="1">
      <c r="A480" s="244"/>
      <c r="B480" s="244"/>
      <c r="C480" s="244"/>
      <c r="D480" s="244"/>
      <c r="E480" s="244"/>
      <c r="F480" s="244"/>
      <c r="G480" s="244"/>
      <c r="H480" s="244"/>
      <c r="I480" s="244"/>
      <c r="J480" s="244"/>
      <c r="K480" s="244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</row>
    <row r="481" ht="14.25" customHeight="1">
      <c r="A481" s="244"/>
      <c r="B481" s="244"/>
      <c r="C481" s="244"/>
      <c r="D481" s="244"/>
      <c r="E481" s="244"/>
      <c r="F481" s="244"/>
      <c r="G481" s="244"/>
      <c r="H481" s="244"/>
      <c r="I481" s="244"/>
      <c r="J481" s="244"/>
      <c r="K481" s="244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</row>
    <row r="482" ht="14.25" customHeight="1">
      <c r="A482" s="244"/>
      <c r="B482" s="244"/>
      <c r="C482" s="244"/>
      <c r="D482" s="244"/>
      <c r="E482" s="244"/>
      <c r="F482" s="244"/>
      <c r="G482" s="244"/>
      <c r="H482" s="244"/>
      <c r="I482" s="244"/>
      <c r="J482" s="244"/>
      <c r="K482" s="244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</row>
    <row r="483" ht="14.25" customHeight="1">
      <c r="A483" s="244"/>
      <c r="B483" s="244"/>
      <c r="C483" s="244"/>
      <c r="D483" s="244"/>
      <c r="E483" s="244"/>
      <c r="F483" s="244"/>
      <c r="G483" s="244"/>
      <c r="H483" s="244"/>
      <c r="I483" s="244"/>
      <c r="J483" s="244"/>
      <c r="K483" s="244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</row>
    <row r="484" ht="14.25" customHeight="1">
      <c r="A484" s="244"/>
      <c r="B484" s="244"/>
      <c r="C484" s="244"/>
      <c r="D484" s="244"/>
      <c r="E484" s="244"/>
      <c r="F484" s="244"/>
      <c r="G484" s="244"/>
      <c r="H484" s="244"/>
      <c r="I484" s="244"/>
      <c r="J484" s="244"/>
      <c r="K484" s="244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</row>
    <row r="485" ht="14.25" customHeight="1">
      <c r="A485" s="244"/>
      <c r="B485" s="244"/>
      <c r="C485" s="244"/>
      <c r="D485" s="244"/>
      <c r="E485" s="244"/>
      <c r="F485" s="244"/>
      <c r="G485" s="244"/>
      <c r="H485" s="244"/>
      <c r="I485" s="244"/>
      <c r="J485" s="244"/>
      <c r="K485" s="244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</row>
    <row r="486" ht="14.25" customHeight="1">
      <c r="A486" s="244"/>
      <c r="B486" s="244"/>
      <c r="C486" s="244"/>
      <c r="D486" s="244"/>
      <c r="E486" s="244"/>
      <c r="F486" s="244"/>
      <c r="G486" s="244"/>
      <c r="H486" s="244"/>
      <c r="I486" s="244"/>
      <c r="J486" s="244"/>
      <c r="K486" s="244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</row>
    <row r="487" ht="14.25" customHeight="1">
      <c r="A487" s="244"/>
      <c r="B487" s="244"/>
      <c r="C487" s="244"/>
      <c r="D487" s="244"/>
      <c r="E487" s="244"/>
      <c r="F487" s="244"/>
      <c r="G487" s="244"/>
      <c r="H487" s="244"/>
      <c r="I487" s="244"/>
      <c r="J487" s="244"/>
      <c r="K487" s="244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</row>
    <row r="488" ht="14.25" customHeight="1">
      <c r="A488" s="244"/>
      <c r="B488" s="244"/>
      <c r="C488" s="244"/>
      <c r="D488" s="244"/>
      <c r="E488" s="244"/>
      <c r="F488" s="244"/>
      <c r="G488" s="244"/>
      <c r="H488" s="244"/>
      <c r="I488" s="244"/>
      <c r="J488" s="244"/>
      <c r="K488" s="244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</row>
    <row r="489" ht="14.25" customHeight="1">
      <c r="A489" s="244"/>
      <c r="B489" s="244"/>
      <c r="C489" s="244"/>
      <c r="D489" s="244"/>
      <c r="E489" s="244"/>
      <c r="F489" s="244"/>
      <c r="G489" s="244"/>
      <c r="H489" s="244"/>
      <c r="I489" s="244"/>
      <c r="J489" s="244"/>
      <c r="K489" s="244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</row>
    <row r="490" ht="14.25" customHeight="1">
      <c r="A490" s="244"/>
      <c r="B490" s="244"/>
      <c r="C490" s="244"/>
      <c r="D490" s="244"/>
      <c r="E490" s="244"/>
      <c r="F490" s="244"/>
      <c r="G490" s="244"/>
      <c r="H490" s="244"/>
      <c r="I490" s="244"/>
      <c r="J490" s="244"/>
      <c r="K490" s="244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</row>
    <row r="491" ht="14.25" customHeight="1">
      <c r="A491" s="244"/>
      <c r="B491" s="244"/>
      <c r="C491" s="244"/>
      <c r="D491" s="244"/>
      <c r="E491" s="244"/>
      <c r="F491" s="244"/>
      <c r="G491" s="244"/>
      <c r="H491" s="244"/>
      <c r="I491" s="244"/>
      <c r="J491" s="244"/>
      <c r="K491" s="244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</row>
    <row r="492" ht="14.25" customHeight="1">
      <c r="A492" s="244"/>
      <c r="B492" s="244"/>
      <c r="C492" s="244"/>
      <c r="D492" s="244"/>
      <c r="E492" s="244"/>
      <c r="F492" s="244"/>
      <c r="G492" s="244"/>
      <c r="H492" s="244"/>
      <c r="I492" s="244"/>
      <c r="J492" s="244"/>
      <c r="K492" s="244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</row>
    <row r="493" ht="14.25" customHeight="1">
      <c r="A493" s="244"/>
      <c r="B493" s="244"/>
      <c r="C493" s="244"/>
      <c r="D493" s="244"/>
      <c r="E493" s="244"/>
      <c r="F493" s="244"/>
      <c r="G493" s="244"/>
      <c r="H493" s="244"/>
      <c r="I493" s="244"/>
      <c r="J493" s="244"/>
      <c r="K493" s="244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</row>
    <row r="494" ht="14.25" customHeight="1">
      <c r="A494" s="244"/>
      <c r="B494" s="244"/>
      <c r="C494" s="244"/>
      <c r="D494" s="244"/>
      <c r="E494" s="244"/>
      <c r="F494" s="244"/>
      <c r="G494" s="244"/>
      <c r="H494" s="244"/>
      <c r="I494" s="244"/>
      <c r="J494" s="244"/>
      <c r="K494" s="244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</row>
    <row r="495" ht="14.25" customHeight="1">
      <c r="A495" s="244"/>
      <c r="B495" s="244"/>
      <c r="C495" s="244"/>
      <c r="D495" s="244"/>
      <c r="E495" s="244"/>
      <c r="F495" s="244"/>
      <c r="G495" s="244"/>
      <c r="H495" s="244"/>
      <c r="I495" s="244"/>
      <c r="J495" s="244"/>
      <c r="K495" s="244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</row>
    <row r="496" ht="14.25" customHeight="1">
      <c r="A496" s="244"/>
      <c r="B496" s="244"/>
      <c r="C496" s="244"/>
      <c r="D496" s="244"/>
      <c r="E496" s="244"/>
      <c r="F496" s="244"/>
      <c r="G496" s="244"/>
      <c r="H496" s="244"/>
      <c r="I496" s="244"/>
      <c r="J496" s="244"/>
      <c r="K496" s="244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</row>
    <row r="497" ht="14.25" customHeight="1">
      <c r="A497" s="244"/>
      <c r="B497" s="244"/>
      <c r="C497" s="244"/>
      <c r="D497" s="244"/>
      <c r="E497" s="244"/>
      <c r="F497" s="244"/>
      <c r="G497" s="244"/>
      <c r="H497" s="244"/>
      <c r="I497" s="244"/>
      <c r="J497" s="244"/>
      <c r="K497" s="244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</row>
    <row r="498" ht="14.25" customHeight="1">
      <c r="A498" s="244"/>
      <c r="B498" s="244"/>
      <c r="C498" s="244"/>
      <c r="D498" s="244"/>
      <c r="E498" s="244"/>
      <c r="F498" s="244"/>
      <c r="G498" s="244"/>
      <c r="H498" s="244"/>
      <c r="I498" s="244"/>
      <c r="J498" s="244"/>
      <c r="K498" s="244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</row>
    <row r="499" ht="14.25" customHeight="1">
      <c r="A499" s="244"/>
      <c r="B499" s="244"/>
      <c r="C499" s="244"/>
      <c r="D499" s="244"/>
      <c r="E499" s="244"/>
      <c r="F499" s="244"/>
      <c r="G499" s="244"/>
      <c r="H499" s="244"/>
      <c r="I499" s="244"/>
      <c r="J499" s="244"/>
      <c r="K499" s="244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</row>
    <row r="500" ht="14.25" customHeight="1">
      <c r="A500" s="244"/>
      <c r="B500" s="244"/>
      <c r="C500" s="244"/>
      <c r="D500" s="244"/>
      <c r="E500" s="244"/>
      <c r="F500" s="244"/>
      <c r="G500" s="244"/>
      <c r="H500" s="244"/>
      <c r="I500" s="244"/>
      <c r="J500" s="244"/>
      <c r="K500" s="244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</row>
    <row r="501" ht="14.25" customHeight="1">
      <c r="A501" s="244"/>
      <c r="B501" s="244"/>
      <c r="C501" s="244"/>
      <c r="D501" s="244"/>
      <c r="E501" s="244"/>
      <c r="F501" s="244"/>
      <c r="G501" s="244"/>
      <c r="H501" s="244"/>
      <c r="I501" s="244"/>
      <c r="J501" s="244"/>
      <c r="K501" s="244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</row>
    <row r="502" ht="14.25" customHeight="1">
      <c r="A502" s="244"/>
      <c r="B502" s="244"/>
      <c r="C502" s="244"/>
      <c r="D502" s="244"/>
      <c r="E502" s="244"/>
      <c r="F502" s="244"/>
      <c r="G502" s="244"/>
      <c r="H502" s="244"/>
      <c r="I502" s="244"/>
      <c r="J502" s="244"/>
      <c r="K502" s="244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</row>
    <row r="503" ht="14.25" customHeight="1">
      <c r="A503" s="244"/>
      <c r="B503" s="244"/>
      <c r="C503" s="244"/>
      <c r="D503" s="244"/>
      <c r="E503" s="244"/>
      <c r="F503" s="244"/>
      <c r="G503" s="244"/>
      <c r="H503" s="244"/>
      <c r="I503" s="244"/>
      <c r="J503" s="244"/>
      <c r="K503" s="244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</row>
    <row r="504" ht="14.25" customHeight="1">
      <c r="A504" s="244"/>
      <c r="B504" s="244"/>
      <c r="C504" s="244"/>
      <c r="D504" s="244"/>
      <c r="E504" s="244"/>
      <c r="F504" s="244"/>
      <c r="G504" s="244"/>
      <c r="H504" s="244"/>
      <c r="I504" s="244"/>
      <c r="J504" s="244"/>
      <c r="K504" s="244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</row>
    <row r="505" ht="14.25" customHeight="1">
      <c r="A505" s="244"/>
      <c r="B505" s="244"/>
      <c r="C505" s="244"/>
      <c r="D505" s="244"/>
      <c r="E505" s="244"/>
      <c r="F505" s="244"/>
      <c r="G505" s="244"/>
      <c r="H505" s="244"/>
      <c r="I505" s="244"/>
      <c r="J505" s="244"/>
      <c r="K505" s="244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</row>
    <row r="506" ht="14.25" customHeight="1">
      <c r="A506" s="244"/>
      <c r="B506" s="244"/>
      <c r="C506" s="244"/>
      <c r="D506" s="244"/>
      <c r="E506" s="244"/>
      <c r="F506" s="244"/>
      <c r="G506" s="244"/>
      <c r="H506" s="244"/>
      <c r="I506" s="244"/>
      <c r="J506" s="244"/>
      <c r="K506" s="244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</row>
    <row r="507" ht="14.25" customHeight="1">
      <c r="A507" s="244"/>
      <c r="B507" s="244"/>
      <c r="C507" s="244"/>
      <c r="D507" s="244"/>
      <c r="E507" s="244"/>
      <c r="F507" s="244"/>
      <c r="G507" s="244"/>
      <c r="H507" s="244"/>
      <c r="I507" s="244"/>
      <c r="J507" s="244"/>
      <c r="K507" s="244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</row>
    <row r="508" ht="14.25" customHeight="1">
      <c r="A508" s="244"/>
      <c r="B508" s="244"/>
      <c r="C508" s="244"/>
      <c r="D508" s="244"/>
      <c r="E508" s="244"/>
      <c r="F508" s="244"/>
      <c r="G508" s="244"/>
      <c r="H508" s="244"/>
      <c r="I508" s="244"/>
      <c r="J508" s="244"/>
      <c r="K508" s="244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</row>
    <row r="509" ht="14.25" customHeight="1">
      <c r="A509" s="244"/>
      <c r="B509" s="244"/>
      <c r="C509" s="244"/>
      <c r="D509" s="244"/>
      <c r="E509" s="244"/>
      <c r="F509" s="244"/>
      <c r="G509" s="244"/>
      <c r="H509" s="244"/>
      <c r="I509" s="244"/>
      <c r="J509" s="244"/>
      <c r="K509" s="244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</row>
    <row r="510" ht="14.25" customHeight="1">
      <c r="A510" s="244"/>
      <c r="B510" s="244"/>
      <c r="C510" s="244"/>
      <c r="D510" s="244"/>
      <c r="E510" s="244"/>
      <c r="F510" s="244"/>
      <c r="G510" s="244"/>
      <c r="H510" s="244"/>
      <c r="I510" s="244"/>
      <c r="J510" s="244"/>
      <c r="K510" s="244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</row>
    <row r="511" ht="14.25" customHeight="1">
      <c r="A511" s="244"/>
      <c r="B511" s="244"/>
      <c r="C511" s="244"/>
      <c r="D511" s="244"/>
      <c r="E511" s="244"/>
      <c r="F511" s="244"/>
      <c r="G511" s="244"/>
      <c r="H511" s="244"/>
      <c r="I511" s="244"/>
      <c r="J511" s="244"/>
      <c r="K511" s="244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</row>
    <row r="512" ht="14.25" customHeight="1">
      <c r="A512" s="244"/>
      <c r="B512" s="244"/>
      <c r="C512" s="244"/>
      <c r="D512" s="244"/>
      <c r="E512" s="244"/>
      <c r="F512" s="244"/>
      <c r="G512" s="244"/>
      <c r="H512" s="244"/>
      <c r="I512" s="244"/>
      <c r="J512" s="244"/>
      <c r="K512" s="244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</row>
    <row r="513" ht="14.25" customHeight="1">
      <c r="A513" s="244"/>
      <c r="B513" s="244"/>
      <c r="C513" s="244"/>
      <c r="D513" s="244"/>
      <c r="E513" s="244"/>
      <c r="F513" s="244"/>
      <c r="G513" s="244"/>
      <c r="H513" s="244"/>
      <c r="I513" s="244"/>
      <c r="J513" s="244"/>
      <c r="K513" s="244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</row>
    <row r="514" ht="14.25" customHeight="1">
      <c r="A514" s="244"/>
      <c r="B514" s="244"/>
      <c r="C514" s="244"/>
      <c r="D514" s="244"/>
      <c r="E514" s="244"/>
      <c r="F514" s="244"/>
      <c r="G514" s="244"/>
      <c r="H514" s="244"/>
      <c r="I514" s="244"/>
      <c r="J514" s="244"/>
      <c r="K514" s="244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</row>
    <row r="515" ht="14.25" customHeight="1">
      <c r="A515" s="244"/>
      <c r="B515" s="244"/>
      <c r="C515" s="244"/>
      <c r="D515" s="244"/>
      <c r="E515" s="244"/>
      <c r="F515" s="244"/>
      <c r="G515" s="244"/>
      <c r="H515" s="244"/>
      <c r="I515" s="244"/>
      <c r="J515" s="244"/>
      <c r="K515" s="244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</row>
    <row r="516" ht="14.25" customHeight="1">
      <c r="A516" s="244"/>
      <c r="B516" s="244"/>
      <c r="C516" s="244"/>
      <c r="D516" s="244"/>
      <c r="E516" s="244"/>
      <c r="F516" s="244"/>
      <c r="G516" s="244"/>
      <c r="H516" s="244"/>
      <c r="I516" s="244"/>
      <c r="J516" s="244"/>
      <c r="K516" s="244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</row>
    <row r="517" ht="14.25" customHeight="1">
      <c r="A517" s="244"/>
      <c r="B517" s="244"/>
      <c r="C517" s="244"/>
      <c r="D517" s="244"/>
      <c r="E517" s="244"/>
      <c r="F517" s="244"/>
      <c r="G517" s="244"/>
      <c r="H517" s="244"/>
      <c r="I517" s="244"/>
      <c r="J517" s="244"/>
      <c r="K517" s="244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</row>
    <row r="518" ht="14.25" customHeight="1">
      <c r="A518" s="244"/>
      <c r="B518" s="244"/>
      <c r="C518" s="244"/>
      <c r="D518" s="244"/>
      <c r="E518" s="244"/>
      <c r="F518" s="244"/>
      <c r="G518" s="244"/>
      <c r="H518" s="244"/>
      <c r="I518" s="244"/>
      <c r="J518" s="244"/>
      <c r="K518" s="244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</row>
    <row r="519" ht="14.25" customHeight="1">
      <c r="A519" s="244"/>
      <c r="B519" s="244"/>
      <c r="C519" s="244"/>
      <c r="D519" s="244"/>
      <c r="E519" s="244"/>
      <c r="F519" s="244"/>
      <c r="G519" s="244"/>
      <c r="H519" s="244"/>
      <c r="I519" s="244"/>
      <c r="J519" s="244"/>
      <c r="K519" s="244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</row>
    <row r="520" ht="14.25" customHeight="1">
      <c r="A520" s="244"/>
      <c r="B520" s="244"/>
      <c r="C520" s="244"/>
      <c r="D520" s="244"/>
      <c r="E520" s="244"/>
      <c r="F520" s="244"/>
      <c r="G520" s="244"/>
      <c r="H520" s="244"/>
      <c r="I520" s="244"/>
      <c r="J520" s="244"/>
      <c r="K520" s="244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</row>
    <row r="521" ht="14.25" customHeight="1">
      <c r="A521" s="244"/>
      <c r="B521" s="244"/>
      <c r="C521" s="244"/>
      <c r="D521" s="244"/>
      <c r="E521" s="244"/>
      <c r="F521" s="244"/>
      <c r="G521" s="244"/>
      <c r="H521" s="244"/>
      <c r="I521" s="244"/>
      <c r="J521" s="244"/>
      <c r="K521" s="244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</row>
    <row r="522" ht="14.25" customHeight="1">
      <c r="A522" s="244"/>
      <c r="B522" s="244"/>
      <c r="C522" s="244"/>
      <c r="D522" s="244"/>
      <c r="E522" s="244"/>
      <c r="F522" s="244"/>
      <c r="G522" s="244"/>
      <c r="H522" s="244"/>
      <c r="I522" s="244"/>
      <c r="J522" s="244"/>
      <c r="K522" s="244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</row>
    <row r="523" ht="14.25" customHeight="1">
      <c r="A523" s="244"/>
      <c r="B523" s="244"/>
      <c r="C523" s="244"/>
      <c r="D523" s="244"/>
      <c r="E523" s="244"/>
      <c r="F523" s="244"/>
      <c r="G523" s="244"/>
      <c r="H523" s="244"/>
      <c r="I523" s="244"/>
      <c r="J523" s="244"/>
      <c r="K523" s="244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</row>
    <row r="524" ht="14.25" customHeight="1">
      <c r="A524" s="244"/>
      <c r="B524" s="244"/>
      <c r="C524" s="244"/>
      <c r="D524" s="244"/>
      <c r="E524" s="244"/>
      <c r="F524" s="244"/>
      <c r="G524" s="244"/>
      <c r="H524" s="244"/>
      <c r="I524" s="244"/>
      <c r="J524" s="244"/>
      <c r="K524" s="244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</row>
    <row r="525" ht="14.25" customHeight="1">
      <c r="A525" s="244"/>
      <c r="B525" s="244"/>
      <c r="C525" s="244"/>
      <c r="D525" s="244"/>
      <c r="E525" s="244"/>
      <c r="F525" s="244"/>
      <c r="G525" s="244"/>
      <c r="H525" s="244"/>
      <c r="I525" s="244"/>
      <c r="J525" s="244"/>
      <c r="K525" s="244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</row>
    <row r="526" ht="14.25" customHeight="1">
      <c r="A526" s="244"/>
      <c r="B526" s="244"/>
      <c r="C526" s="244"/>
      <c r="D526" s="244"/>
      <c r="E526" s="244"/>
      <c r="F526" s="244"/>
      <c r="G526" s="244"/>
      <c r="H526" s="244"/>
      <c r="I526" s="244"/>
      <c r="J526" s="244"/>
      <c r="K526" s="244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</row>
    <row r="527" ht="14.25" customHeight="1">
      <c r="A527" s="244"/>
      <c r="B527" s="244"/>
      <c r="C527" s="244"/>
      <c r="D527" s="244"/>
      <c r="E527" s="244"/>
      <c r="F527" s="244"/>
      <c r="G527" s="244"/>
      <c r="H527" s="244"/>
      <c r="I527" s="244"/>
      <c r="J527" s="244"/>
      <c r="K527" s="244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</row>
    <row r="528" ht="14.25" customHeight="1">
      <c r="A528" s="244"/>
      <c r="B528" s="244"/>
      <c r="C528" s="244"/>
      <c r="D528" s="244"/>
      <c r="E528" s="244"/>
      <c r="F528" s="244"/>
      <c r="G528" s="244"/>
      <c r="H528" s="244"/>
      <c r="I528" s="244"/>
      <c r="J528" s="244"/>
      <c r="K528" s="244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</row>
    <row r="529" ht="14.25" customHeight="1">
      <c r="A529" s="244"/>
      <c r="B529" s="244"/>
      <c r="C529" s="244"/>
      <c r="D529" s="244"/>
      <c r="E529" s="244"/>
      <c r="F529" s="244"/>
      <c r="G529" s="244"/>
      <c r="H529" s="244"/>
      <c r="I529" s="244"/>
      <c r="J529" s="244"/>
      <c r="K529" s="244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</row>
    <row r="530" ht="14.25" customHeight="1">
      <c r="A530" s="244"/>
      <c r="B530" s="244"/>
      <c r="C530" s="244"/>
      <c r="D530" s="244"/>
      <c r="E530" s="244"/>
      <c r="F530" s="244"/>
      <c r="G530" s="244"/>
      <c r="H530" s="244"/>
      <c r="I530" s="244"/>
      <c r="J530" s="244"/>
      <c r="K530" s="244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</row>
    <row r="531" ht="14.25" customHeight="1">
      <c r="A531" s="244"/>
      <c r="B531" s="244"/>
      <c r="C531" s="244"/>
      <c r="D531" s="244"/>
      <c r="E531" s="244"/>
      <c r="F531" s="244"/>
      <c r="G531" s="244"/>
      <c r="H531" s="244"/>
      <c r="I531" s="244"/>
      <c r="J531" s="244"/>
      <c r="K531" s="244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</row>
    <row r="532" ht="14.25" customHeight="1">
      <c r="A532" s="244"/>
      <c r="B532" s="244"/>
      <c r="C532" s="244"/>
      <c r="D532" s="244"/>
      <c r="E532" s="244"/>
      <c r="F532" s="244"/>
      <c r="G532" s="244"/>
      <c r="H532" s="244"/>
      <c r="I532" s="244"/>
      <c r="J532" s="244"/>
      <c r="K532" s="244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</row>
    <row r="533" ht="14.25" customHeight="1">
      <c r="A533" s="244"/>
      <c r="B533" s="244"/>
      <c r="C533" s="244"/>
      <c r="D533" s="244"/>
      <c r="E533" s="244"/>
      <c r="F533" s="244"/>
      <c r="G533" s="244"/>
      <c r="H533" s="244"/>
      <c r="I533" s="244"/>
      <c r="J533" s="244"/>
      <c r="K533" s="244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</row>
    <row r="534" ht="14.25" customHeight="1">
      <c r="A534" s="244"/>
      <c r="B534" s="244"/>
      <c r="C534" s="244"/>
      <c r="D534" s="244"/>
      <c r="E534" s="244"/>
      <c r="F534" s="244"/>
      <c r="G534" s="244"/>
      <c r="H534" s="244"/>
      <c r="I534" s="244"/>
      <c r="J534" s="244"/>
      <c r="K534" s="244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</row>
    <row r="535" ht="14.25" customHeight="1">
      <c r="A535" s="244"/>
      <c r="B535" s="244"/>
      <c r="C535" s="244"/>
      <c r="D535" s="244"/>
      <c r="E535" s="244"/>
      <c r="F535" s="244"/>
      <c r="G535" s="244"/>
      <c r="H535" s="244"/>
      <c r="I535" s="244"/>
      <c r="J535" s="244"/>
      <c r="K535" s="244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</row>
    <row r="536" ht="14.25" customHeight="1">
      <c r="A536" s="244"/>
      <c r="B536" s="244"/>
      <c r="C536" s="244"/>
      <c r="D536" s="244"/>
      <c r="E536" s="244"/>
      <c r="F536" s="244"/>
      <c r="G536" s="244"/>
      <c r="H536" s="244"/>
      <c r="I536" s="244"/>
      <c r="J536" s="244"/>
      <c r="K536" s="244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</row>
    <row r="537" ht="14.25" customHeight="1">
      <c r="A537" s="244"/>
      <c r="B537" s="244"/>
      <c r="C537" s="244"/>
      <c r="D537" s="244"/>
      <c r="E537" s="244"/>
      <c r="F537" s="244"/>
      <c r="G537" s="244"/>
      <c r="H537" s="244"/>
      <c r="I537" s="244"/>
      <c r="J537" s="244"/>
      <c r="K537" s="244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</row>
    <row r="538" ht="14.25" customHeight="1">
      <c r="A538" s="244"/>
      <c r="B538" s="244"/>
      <c r="C538" s="244"/>
      <c r="D538" s="244"/>
      <c r="E538" s="244"/>
      <c r="F538" s="244"/>
      <c r="G538" s="244"/>
      <c r="H538" s="244"/>
      <c r="I538" s="244"/>
      <c r="J538" s="244"/>
      <c r="K538" s="244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</row>
    <row r="539" ht="14.25" customHeight="1">
      <c r="A539" s="244"/>
      <c r="B539" s="244"/>
      <c r="C539" s="244"/>
      <c r="D539" s="244"/>
      <c r="E539" s="244"/>
      <c r="F539" s="244"/>
      <c r="G539" s="244"/>
      <c r="H539" s="244"/>
      <c r="I539" s="244"/>
      <c r="J539" s="244"/>
      <c r="K539" s="244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</row>
    <row r="540" ht="14.25" customHeight="1">
      <c r="A540" s="244"/>
      <c r="B540" s="244"/>
      <c r="C540" s="244"/>
      <c r="D540" s="244"/>
      <c r="E540" s="244"/>
      <c r="F540" s="244"/>
      <c r="G540" s="244"/>
      <c r="H540" s="244"/>
      <c r="I540" s="244"/>
      <c r="J540" s="244"/>
      <c r="K540" s="244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</row>
    <row r="541" ht="14.25" customHeight="1">
      <c r="A541" s="244"/>
      <c r="B541" s="244"/>
      <c r="C541" s="244"/>
      <c r="D541" s="244"/>
      <c r="E541" s="244"/>
      <c r="F541" s="244"/>
      <c r="G541" s="244"/>
      <c r="H541" s="244"/>
      <c r="I541" s="244"/>
      <c r="J541" s="244"/>
      <c r="K541" s="244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</row>
    <row r="542" ht="14.25" customHeight="1">
      <c r="A542" s="244"/>
      <c r="B542" s="244"/>
      <c r="C542" s="244"/>
      <c r="D542" s="244"/>
      <c r="E542" s="244"/>
      <c r="F542" s="244"/>
      <c r="G542" s="244"/>
      <c r="H542" s="244"/>
      <c r="I542" s="244"/>
      <c r="J542" s="244"/>
      <c r="K542" s="244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</row>
    <row r="543" ht="14.25" customHeight="1">
      <c r="A543" s="244"/>
      <c r="B543" s="244"/>
      <c r="C543" s="244"/>
      <c r="D543" s="244"/>
      <c r="E543" s="244"/>
      <c r="F543" s="244"/>
      <c r="G543" s="244"/>
      <c r="H543" s="244"/>
      <c r="I543" s="244"/>
      <c r="J543" s="244"/>
      <c r="K543" s="244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</row>
    <row r="544" ht="14.25" customHeight="1">
      <c r="A544" s="244"/>
      <c r="B544" s="244"/>
      <c r="C544" s="244"/>
      <c r="D544" s="244"/>
      <c r="E544" s="244"/>
      <c r="F544" s="244"/>
      <c r="G544" s="244"/>
      <c r="H544" s="244"/>
      <c r="I544" s="244"/>
      <c r="J544" s="244"/>
      <c r="K544" s="244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</row>
    <row r="545" ht="14.25" customHeight="1">
      <c r="A545" s="244"/>
      <c r="B545" s="244"/>
      <c r="C545" s="244"/>
      <c r="D545" s="244"/>
      <c r="E545" s="244"/>
      <c r="F545" s="244"/>
      <c r="G545" s="244"/>
      <c r="H545" s="244"/>
      <c r="I545" s="244"/>
      <c r="J545" s="244"/>
      <c r="K545" s="244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</row>
    <row r="546" ht="14.25" customHeight="1">
      <c r="A546" s="244"/>
      <c r="B546" s="244"/>
      <c r="C546" s="244"/>
      <c r="D546" s="244"/>
      <c r="E546" s="244"/>
      <c r="F546" s="244"/>
      <c r="G546" s="244"/>
      <c r="H546" s="244"/>
      <c r="I546" s="244"/>
      <c r="J546" s="244"/>
      <c r="K546" s="244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</row>
    <row r="547" ht="14.25" customHeight="1">
      <c r="A547" s="244"/>
      <c r="B547" s="244"/>
      <c r="C547" s="244"/>
      <c r="D547" s="244"/>
      <c r="E547" s="244"/>
      <c r="F547" s="244"/>
      <c r="G547" s="244"/>
      <c r="H547" s="244"/>
      <c r="I547" s="244"/>
      <c r="J547" s="244"/>
      <c r="K547" s="244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</row>
    <row r="548" ht="14.25" customHeight="1">
      <c r="A548" s="244"/>
      <c r="B548" s="244"/>
      <c r="C548" s="244"/>
      <c r="D548" s="244"/>
      <c r="E548" s="244"/>
      <c r="F548" s="244"/>
      <c r="G548" s="244"/>
      <c r="H548" s="244"/>
      <c r="I548" s="244"/>
      <c r="J548" s="244"/>
      <c r="K548" s="244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</row>
    <row r="549" ht="14.25" customHeight="1">
      <c r="A549" s="244"/>
      <c r="B549" s="244"/>
      <c r="C549" s="244"/>
      <c r="D549" s="244"/>
      <c r="E549" s="244"/>
      <c r="F549" s="244"/>
      <c r="G549" s="244"/>
      <c r="H549" s="244"/>
      <c r="I549" s="244"/>
      <c r="J549" s="244"/>
      <c r="K549" s="244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</row>
    <row r="550" ht="14.25" customHeight="1">
      <c r="A550" s="244"/>
      <c r="B550" s="244"/>
      <c r="C550" s="244"/>
      <c r="D550" s="244"/>
      <c r="E550" s="244"/>
      <c r="F550" s="244"/>
      <c r="G550" s="244"/>
      <c r="H550" s="244"/>
      <c r="I550" s="244"/>
      <c r="J550" s="244"/>
      <c r="K550" s="244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</row>
    <row r="551" ht="14.25" customHeight="1">
      <c r="A551" s="244"/>
      <c r="B551" s="244"/>
      <c r="C551" s="244"/>
      <c r="D551" s="244"/>
      <c r="E551" s="244"/>
      <c r="F551" s="244"/>
      <c r="G551" s="244"/>
      <c r="H551" s="244"/>
      <c r="I551" s="244"/>
      <c r="J551" s="244"/>
      <c r="K551" s="244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</row>
    <row r="552" ht="14.25" customHeight="1">
      <c r="A552" s="244"/>
      <c r="B552" s="244"/>
      <c r="C552" s="244"/>
      <c r="D552" s="244"/>
      <c r="E552" s="244"/>
      <c r="F552" s="244"/>
      <c r="G552" s="244"/>
      <c r="H552" s="244"/>
      <c r="I552" s="244"/>
      <c r="J552" s="244"/>
      <c r="K552" s="244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</row>
    <row r="553" ht="14.25" customHeight="1">
      <c r="A553" s="244"/>
      <c r="B553" s="244"/>
      <c r="C553" s="244"/>
      <c r="D553" s="244"/>
      <c r="E553" s="244"/>
      <c r="F553" s="244"/>
      <c r="G553" s="244"/>
      <c r="H553" s="244"/>
      <c r="I553" s="244"/>
      <c r="J553" s="244"/>
      <c r="K553" s="244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</row>
    <row r="554" ht="14.25" customHeight="1">
      <c r="A554" s="244"/>
      <c r="B554" s="244"/>
      <c r="C554" s="244"/>
      <c r="D554" s="244"/>
      <c r="E554" s="244"/>
      <c r="F554" s="244"/>
      <c r="G554" s="244"/>
      <c r="H554" s="244"/>
      <c r="I554" s="244"/>
      <c r="J554" s="244"/>
      <c r="K554" s="244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</row>
    <row r="555" ht="14.25" customHeight="1">
      <c r="A555" s="244"/>
      <c r="B555" s="244"/>
      <c r="C555" s="244"/>
      <c r="D555" s="244"/>
      <c r="E555" s="244"/>
      <c r="F555" s="244"/>
      <c r="G555" s="244"/>
      <c r="H555" s="244"/>
      <c r="I555" s="244"/>
      <c r="J555" s="244"/>
      <c r="K555" s="244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</row>
    <row r="556" ht="14.25" customHeight="1">
      <c r="A556" s="244"/>
      <c r="B556" s="244"/>
      <c r="C556" s="244"/>
      <c r="D556" s="244"/>
      <c r="E556" s="244"/>
      <c r="F556" s="244"/>
      <c r="G556" s="244"/>
      <c r="H556" s="244"/>
      <c r="I556" s="244"/>
      <c r="J556" s="244"/>
      <c r="K556" s="244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</row>
    <row r="557" ht="14.25" customHeight="1">
      <c r="A557" s="244"/>
      <c r="B557" s="244"/>
      <c r="C557" s="244"/>
      <c r="D557" s="244"/>
      <c r="E557" s="244"/>
      <c r="F557" s="244"/>
      <c r="G557" s="244"/>
      <c r="H557" s="244"/>
      <c r="I557" s="244"/>
      <c r="J557" s="244"/>
      <c r="K557" s="244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</row>
    <row r="558" ht="14.25" customHeight="1">
      <c r="A558" s="244"/>
      <c r="B558" s="244"/>
      <c r="C558" s="244"/>
      <c r="D558" s="244"/>
      <c r="E558" s="244"/>
      <c r="F558" s="244"/>
      <c r="G558" s="244"/>
      <c r="H558" s="244"/>
      <c r="I558" s="244"/>
      <c r="J558" s="244"/>
      <c r="K558" s="244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</row>
    <row r="559" ht="14.25" customHeight="1">
      <c r="A559" s="244"/>
      <c r="B559" s="244"/>
      <c r="C559" s="244"/>
      <c r="D559" s="244"/>
      <c r="E559" s="244"/>
      <c r="F559" s="244"/>
      <c r="G559" s="244"/>
      <c r="H559" s="244"/>
      <c r="I559" s="244"/>
      <c r="J559" s="244"/>
      <c r="K559" s="244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</row>
    <row r="560" ht="14.25" customHeight="1">
      <c r="A560" s="244"/>
      <c r="B560" s="244"/>
      <c r="C560" s="244"/>
      <c r="D560" s="244"/>
      <c r="E560" s="244"/>
      <c r="F560" s="244"/>
      <c r="G560" s="244"/>
      <c r="H560" s="244"/>
      <c r="I560" s="244"/>
      <c r="J560" s="244"/>
      <c r="K560" s="244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</row>
    <row r="561" ht="14.25" customHeight="1">
      <c r="A561" s="244"/>
      <c r="B561" s="244"/>
      <c r="C561" s="244"/>
      <c r="D561" s="244"/>
      <c r="E561" s="244"/>
      <c r="F561" s="244"/>
      <c r="G561" s="244"/>
      <c r="H561" s="244"/>
      <c r="I561" s="244"/>
      <c r="J561" s="244"/>
      <c r="K561" s="244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</row>
    <row r="562" ht="14.25" customHeight="1">
      <c r="A562" s="244"/>
      <c r="B562" s="244"/>
      <c r="C562" s="244"/>
      <c r="D562" s="244"/>
      <c r="E562" s="244"/>
      <c r="F562" s="244"/>
      <c r="G562" s="244"/>
      <c r="H562" s="244"/>
      <c r="I562" s="244"/>
      <c r="J562" s="244"/>
      <c r="K562" s="244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</row>
    <row r="563" ht="14.25" customHeight="1">
      <c r="A563" s="244"/>
      <c r="B563" s="244"/>
      <c r="C563" s="244"/>
      <c r="D563" s="244"/>
      <c r="E563" s="244"/>
      <c r="F563" s="244"/>
      <c r="G563" s="244"/>
      <c r="H563" s="244"/>
      <c r="I563" s="244"/>
      <c r="J563" s="244"/>
      <c r="K563" s="244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</row>
    <row r="564" ht="14.25" customHeight="1">
      <c r="A564" s="244"/>
      <c r="B564" s="244"/>
      <c r="C564" s="244"/>
      <c r="D564" s="244"/>
      <c r="E564" s="244"/>
      <c r="F564" s="244"/>
      <c r="G564" s="244"/>
      <c r="H564" s="244"/>
      <c r="I564" s="244"/>
      <c r="J564" s="244"/>
      <c r="K564" s="244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</row>
    <row r="565" ht="14.25" customHeight="1">
      <c r="A565" s="244"/>
      <c r="B565" s="244"/>
      <c r="C565" s="244"/>
      <c r="D565" s="244"/>
      <c r="E565" s="244"/>
      <c r="F565" s="244"/>
      <c r="G565" s="244"/>
      <c r="H565" s="244"/>
      <c r="I565" s="244"/>
      <c r="J565" s="244"/>
      <c r="K565" s="244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</row>
    <row r="566" ht="14.25" customHeight="1">
      <c r="A566" s="244"/>
      <c r="B566" s="244"/>
      <c r="C566" s="244"/>
      <c r="D566" s="244"/>
      <c r="E566" s="244"/>
      <c r="F566" s="244"/>
      <c r="G566" s="244"/>
      <c r="H566" s="244"/>
      <c r="I566" s="244"/>
      <c r="J566" s="244"/>
      <c r="K566" s="244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</row>
    <row r="567" ht="14.25" customHeight="1">
      <c r="A567" s="244"/>
      <c r="B567" s="244"/>
      <c r="C567" s="244"/>
      <c r="D567" s="244"/>
      <c r="E567" s="244"/>
      <c r="F567" s="244"/>
      <c r="G567" s="244"/>
      <c r="H567" s="244"/>
      <c r="I567" s="244"/>
      <c r="J567" s="244"/>
      <c r="K567" s="244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</row>
    <row r="568" ht="14.25" customHeight="1">
      <c r="A568" s="244"/>
      <c r="B568" s="244"/>
      <c r="C568" s="244"/>
      <c r="D568" s="244"/>
      <c r="E568" s="244"/>
      <c r="F568" s="244"/>
      <c r="G568" s="244"/>
      <c r="H568" s="244"/>
      <c r="I568" s="244"/>
      <c r="J568" s="244"/>
      <c r="K568" s="244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</row>
    <row r="569" ht="14.25" customHeight="1">
      <c r="A569" s="244"/>
      <c r="B569" s="244"/>
      <c r="C569" s="244"/>
      <c r="D569" s="244"/>
      <c r="E569" s="244"/>
      <c r="F569" s="244"/>
      <c r="G569" s="244"/>
      <c r="H569" s="244"/>
      <c r="I569" s="244"/>
      <c r="J569" s="244"/>
      <c r="K569" s="244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</row>
    <row r="570" ht="14.25" customHeight="1">
      <c r="A570" s="244"/>
      <c r="B570" s="244"/>
      <c r="C570" s="244"/>
      <c r="D570" s="244"/>
      <c r="E570" s="244"/>
      <c r="F570" s="244"/>
      <c r="G570" s="244"/>
      <c r="H570" s="244"/>
      <c r="I570" s="244"/>
      <c r="J570" s="244"/>
      <c r="K570" s="244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</row>
    <row r="571" ht="14.25" customHeight="1">
      <c r="A571" s="244"/>
      <c r="B571" s="244"/>
      <c r="C571" s="244"/>
      <c r="D571" s="244"/>
      <c r="E571" s="244"/>
      <c r="F571" s="244"/>
      <c r="G571" s="244"/>
      <c r="H571" s="244"/>
      <c r="I571" s="244"/>
      <c r="J571" s="244"/>
      <c r="K571" s="244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</row>
    <row r="572" ht="14.25" customHeight="1">
      <c r="A572" s="244"/>
      <c r="B572" s="244"/>
      <c r="C572" s="244"/>
      <c r="D572" s="244"/>
      <c r="E572" s="244"/>
      <c r="F572" s="244"/>
      <c r="G572" s="244"/>
      <c r="H572" s="244"/>
      <c r="I572" s="244"/>
      <c r="J572" s="244"/>
      <c r="K572" s="244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</row>
    <row r="573" ht="14.25" customHeight="1">
      <c r="A573" s="244"/>
      <c r="B573" s="244"/>
      <c r="C573" s="244"/>
      <c r="D573" s="244"/>
      <c r="E573" s="244"/>
      <c r="F573" s="244"/>
      <c r="G573" s="244"/>
      <c r="H573" s="244"/>
      <c r="I573" s="244"/>
      <c r="J573" s="244"/>
      <c r="K573" s="244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</row>
    <row r="574" ht="14.25" customHeight="1">
      <c r="A574" s="244"/>
      <c r="B574" s="244"/>
      <c r="C574" s="244"/>
      <c r="D574" s="244"/>
      <c r="E574" s="244"/>
      <c r="F574" s="244"/>
      <c r="G574" s="244"/>
      <c r="H574" s="244"/>
      <c r="I574" s="244"/>
      <c r="J574" s="244"/>
      <c r="K574" s="244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</row>
    <row r="575" ht="14.25" customHeight="1">
      <c r="A575" s="244"/>
      <c r="B575" s="244"/>
      <c r="C575" s="244"/>
      <c r="D575" s="244"/>
      <c r="E575" s="244"/>
      <c r="F575" s="244"/>
      <c r="G575" s="244"/>
      <c r="H575" s="244"/>
      <c r="I575" s="244"/>
      <c r="J575" s="244"/>
      <c r="K575" s="244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</row>
    <row r="576" ht="14.25" customHeight="1">
      <c r="A576" s="244"/>
      <c r="B576" s="244"/>
      <c r="C576" s="244"/>
      <c r="D576" s="244"/>
      <c r="E576" s="244"/>
      <c r="F576" s="244"/>
      <c r="G576" s="244"/>
      <c r="H576" s="244"/>
      <c r="I576" s="244"/>
      <c r="J576" s="244"/>
      <c r="K576" s="244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</row>
    <row r="577" ht="14.25" customHeight="1">
      <c r="A577" s="244"/>
      <c r="B577" s="244"/>
      <c r="C577" s="244"/>
      <c r="D577" s="244"/>
      <c r="E577" s="244"/>
      <c r="F577" s="244"/>
      <c r="G577" s="244"/>
      <c r="H577" s="244"/>
      <c r="I577" s="244"/>
      <c r="J577" s="244"/>
      <c r="K577" s="244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</row>
    <row r="578" ht="14.25" customHeight="1">
      <c r="A578" s="244"/>
      <c r="B578" s="244"/>
      <c r="C578" s="244"/>
      <c r="D578" s="244"/>
      <c r="E578" s="244"/>
      <c r="F578" s="244"/>
      <c r="G578" s="244"/>
      <c r="H578" s="244"/>
      <c r="I578" s="244"/>
      <c r="J578" s="244"/>
      <c r="K578" s="244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</row>
    <row r="579" ht="14.25" customHeight="1">
      <c r="A579" s="244"/>
      <c r="B579" s="244"/>
      <c r="C579" s="244"/>
      <c r="D579" s="244"/>
      <c r="E579" s="244"/>
      <c r="F579" s="244"/>
      <c r="G579" s="244"/>
      <c r="H579" s="244"/>
      <c r="I579" s="244"/>
      <c r="J579" s="244"/>
      <c r="K579" s="244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</row>
    <row r="580" ht="14.25" customHeight="1">
      <c r="A580" s="244"/>
      <c r="B580" s="244"/>
      <c r="C580" s="244"/>
      <c r="D580" s="244"/>
      <c r="E580" s="244"/>
      <c r="F580" s="244"/>
      <c r="G580" s="244"/>
      <c r="H580" s="244"/>
      <c r="I580" s="244"/>
      <c r="J580" s="244"/>
      <c r="K580" s="244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</row>
    <row r="581" ht="14.25" customHeight="1">
      <c r="A581" s="244"/>
      <c r="B581" s="244"/>
      <c r="C581" s="244"/>
      <c r="D581" s="244"/>
      <c r="E581" s="244"/>
      <c r="F581" s="244"/>
      <c r="G581" s="244"/>
      <c r="H581" s="244"/>
      <c r="I581" s="244"/>
      <c r="J581" s="244"/>
      <c r="K581" s="244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</row>
    <row r="582" ht="14.25" customHeight="1">
      <c r="A582" s="244"/>
      <c r="B582" s="244"/>
      <c r="C582" s="244"/>
      <c r="D582" s="244"/>
      <c r="E582" s="244"/>
      <c r="F582" s="244"/>
      <c r="G582" s="244"/>
      <c r="H582" s="244"/>
      <c r="I582" s="244"/>
      <c r="J582" s="244"/>
      <c r="K582" s="244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</row>
    <row r="583" ht="14.25" customHeight="1">
      <c r="A583" s="244"/>
      <c r="B583" s="244"/>
      <c r="C583" s="244"/>
      <c r="D583" s="244"/>
      <c r="E583" s="244"/>
      <c r="F583" s="244"/>
      <c r="G583" s="244"/>
      <c r="H583" s="244"/>
      <c r="I583" s="244"/>
      <c r="J583" s="244"/>
      <c r="K583" s="244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</row>
    <row r="584" ht="14.25" customHeight="1">
      <c r="A584" s="244"/>
      <c r="B584" s="244"/>
      <c r="C584" s="244"/>
      <c r="D584" s="244"/>
      <c r="E584" s="244"/>
      <c r="F584" s="244"/>
      <c r="G584" s="244"/>
      <c r="H584" s="244"/>
      <c r="I584" s="244"/>
      <c r="J584" s="244"/>
      <c r="K584" s="244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</row>
    <row r="585" ht="14.25" customHeight="1">
      <c r="A585" s="244"/>
      <c r="B585" s="244"/>
      <c r="C585" s="244"/>
      <c r="D585" s="244"/>
      <c r="E585" s="244"/>
      <c r="F585" s="244"/>
      <c r="G585" s="244"/>
      <c r="H585" s="244"/>
      <c r="I585" s="244"/>
      <c r="J585" s="244"/>
      <c r="K585" s="244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</row>
    <row r="586" ht="14.25" customHeight="1">
      <c r="A586" s="244"/>
      <c r="B586" s="244"/>
      <c r="C586" s="244"/>
      <c r="D586" s="244"/>
      <c r="E586" s="244"/>
      <c r="F586" s="244"/>
      <c r="G586" s="244"/>
      <c r="H586" s="244"/>
      <c r="I586" s="244"/>
      <c r="J586" s="244"/>
      <c r="K586" s="244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</row>
    <row r="587" ht="14.25" customHeight="1">
      <c r="A587" s="244"/>
      <c r="B587" s="244"/>
      <c r="C587" s="244"/>
      <c r="D587" s="244"/>
      <c r="E587" s="244"/>
      <c r="F587" s="244"/>
      <c r="G587" s="244"/>
      <c r="H587" s="244"/>
      <c r="I587" s="244"/>
      <c r="J587" s="244"/>
      <c r="K587" s="244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</row>
    <row r="588" ht="14.25" customHeight="1">
      <c r="A588" s="244"/>
      <c r="B588" s="244"/>
      <c r="C588" s="244"/>
      <c r="D588" s="244"/>
      <c r="E588" s="244"/>
      <c r="F588" s="244"/>
      <c r="G588" s="244"/>
      <c r="H588" s="244"/>
      <c r="I588" s="244"/>
      <c r="J588" s="244"/>
      <c r="K588" s="244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</row>
    <row r="589" ht="14.25" customHeight="1">
      <c r="A589" s="244"/>
      <c r="B589" s="244"/>
      <c r="C589" s="244"/>
      <c r="D589" s="244"/>
      <c r="E589" s="244"/>
      <c r="F589" s="244"/>
      <c r="G589" s="244"/>
      <c r="H589" s="244"/>
      <c r="I589" s="244"/>
      <c r="J589" s="244"/>
      <c r="K589" s="244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</row>
    <row r="590" ht="14.25" customHeight="1">
      <c r="A590" s="244"/>
      <c r="B590" s="244"/>
      <c r="C590" s="244"/>
      <c r="D590" s="244"/>
      <c r="E590" s="244"/>
      <c r="F590" s="244"/>
      <c r="G590" s="244"/>
      <c r="H590" s="244"/>
      <c r="I590" s="244"/>
      <c r="J590" s="244"/>
      <c r="K590" s="244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</row>
    <row r="591" ht="14.25" customHeight="1">
      <c r="A591" s="244"/>
      <c r="B591" s="244"/>
      <c r="C591" s="244"/>
      <c r="D591" s="244"/>
      <c r="E591" s="244"/>
      <c r="F591" s="244"/>
      <c r="G591" s="244"/>
      <c r="H591" s="244"/>
      <c r="I591" s="244"/>
      <c r="J591" s="244"/>
      <c r="K591" s="244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</row>
    <row r="592" ht="14.25" customHeight="1">
      <c r="A592" s="244"/>
      <c r="B592" s="244"/>
      <c r="C592" s="244"/>
      <c r="D592" s="244"/>
      <c r="E592" s="244"/>
      <c r="F592" s="244"/>
      <c r="G592" s="244"/>
      <c r="H592" s="244"/>
      <c r="I592" s="244"/>
      <c r="J592" s="244"/>
      <c r="K592" s="244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</row>
    <row r="593" ht="14.25" customHeight="1">
      <c r="A593" s="244"/>
      <c r="B593" s="244"/>
      <c r="C593" s="244"/>
      <c r="D593" s="244"/>
      <c r="E593" s="244"/>
      <c r="F593" s="244"/>
      <c r="G593" s="244"/>
      <c r="H593" s="244"/>
      <c r="I593" s="244"/>
      <c r="J593" s="244"/>
      <c r="K593" s="244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</row>
    <row r="594" ht="14.25" customHeight="1">
      <c r="A594" s="244"/>
      <c r="B594" s="244"/>
      <c r="C594" s="244"/>
      <c r="D594" s="244"/>
      <c r="E594" s="244"/>
      <c r="F594" s="244"/>
      <c r="G594" s="244"/>
      <c r="H594" s="244"/>
      <c r="I594" s="244"/>
      <c r="J594" s="244"/>
      <c r="K594" s="244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</row>
    <row r="595" ht="14.25" customHeight="1">
      <c r="A595" s="244"/>
      <c r="B595" s="244"/>
      <c r="C595" s="244"/>
      <c r="D595" s="244"/>
      <c r="E595" s="244"/>
      <c r="F595" s="244"/>
      <c r="G595" s="244"/>
      <c r="H595" s="244"/>
      <c r="I595" s="244"/>
      <c r="J595" s="244"/>
      <c r="K595" s="244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</row>
    <row r="596" ht="14.25" customHeight="1">
      <c r="A596" s="244"/>
      <c r="B596" s="244"/>
      <c r="C596" s="244"/>
      <c r="D596" s="244"/>
      <c r="E596" s="244"/>
      <c r="F596" s="244"/>
      <c r="G596" s="244"/>
      <c r="H596" s="244"/>
      <c r="I596" s="244"/>
      <c r="J596" s="244"/>
      <c r="K596" s="244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</row>
    <row r="597" ht="14.25" customHeight="1">
      <c r="A597" s="244"/>
      <c r="B597" s="244"/>
      <c r="C597" s="244"/>
      <c r="D597" s="244"/>
      <c r="E597" s="244"/>
      <c r="F597" s="244"/>
      <c r="G597" s="244"/>
      <c r="H597" s="244"/>
      <c r="I597" s="244"/>
      <c r="J597" s="244"/>
      <c r="K597" s="244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</row>
    <row r="598" ht="14.25" customHeight="1">
      <c r="A598" s="244"/>
      <c r="B598" s="244"/>
      <c r="C598" s="244"/>
      <c r="D598" s="244"/>
      <c r="E598" s="244"/>
      <c r="F598" s="244"/>
      <c r="G598" s="244"/>
      <c r="H598" s="244"/>
      <c r="I598" s="244"/>
      <c r="J598" s="244"/>
      <c r="K598" s="244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</row>
    <row r="599" ht="14.25" customHeight="1">
      <c r="A599" s="244"/>
      <c r="B599" s="244"/>
      <c r="C599" s="244"/>
      <c r="D599" s="244"/>
      <c r="E599" s="244"/>
      <c r="F599" s="244"/>
      <c r="G599" s="244"/>
      <c r="H599" s="244"/>
      <c r="I599" s="244"/>
      <c r="J599" s="244"/>
      <c r="K599" s="244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</row>
    <row r="600" ht="14.25" customHeight="1">
      <c r="A600" s="244"/>
      <c r="B600" s="244"/>
      <c r="C600" s="244"/>
      <c r="D600" s="244"/>
      <c r="E600" s="244"/>
      <c r="F600" s="244"/>
      <c r="G600" s="244"/>
      <c r="H600" s="244"/>
      <c r="I600" s="244"/>
      <c r="J600" s="244"/>
      <c r="K600" s="244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</row>
    <row r="601" ht="14.25" customHeight="1">
      <c r="A601" s="244"/>
      <c r="B601" s="244"/>
      <c r="C601" s="244"/>
      <c r="D601" s="244"/>
      <c r="E601" s="244"/>
      <c r="F601" s="244"/>
      <c r="G601" s="244"/>
      <c r="H601" s="244"/>
      <c r="I601" s="244"/>
      <c r="J601" s="244"/>
      <c r="K601" s="244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</row>
    <row r="602" ht="14.25" customHeight="1">
      <c r="A602" s="244"/>
      <c r="B602" s="244"/>
      <c r="C602" s="244"/>
      <c r="D602" s="244"/>
      <c r="E602" s="244"/>
      <c r="F602" s="244"/>
      <c r="G602" s="244"/>
      <c r="H602" s="244"/>
      <c r="I602" s="244"/>
      <c r="J602" s="244"/>
      <c r="K602" s="244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</row>
    <row r="603" ht="14.25" customHeight="1">
      <c r="A603" s="244"/>
      <c r="B603" s="244"/>
      <c r="C603" s="244"/>
      <c r="D603" s="244"/>
      <c r="E603" s="244"/>
      <c r="F603" s="244"/>
      <c r="G603" s="244"/>
      <c r="H603" s="244"/>
      <c r="I603" s="244"/>
      <c r="J603" s="244"/>
      <c r="K603" s="244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</row>
    <row r="604" ht="14.25" customHeight="1">
      <c r="A604" s="244"/>
      <c r="B604" s="244"/>
      <c r="C604" s="244"/>
      <c r="D604" s="244"/>
      <c r="E604" s="244"/>
      <c r="F604" s="244"/>
      <c r="G604" s="244"/>
      <c r="H604" s="244"/>
      <c r="I604" s="244"/>
      <c r="J604" s="244"/>
      <c r="K604" s="244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</row>
    <row r="605" ht="14.25" customHeight="1">
      <c r="A605" s="244"/>
      <c r="B605" s="244"/>
      <c r="C605" s="244"/>
      <c r="D605" s="244"/>
      <c r="E605" s="244"/>
      <c r="F605" s="244"/>
      <c r="G605" s="244"/>
      <c r="H605" s="244"/>
      <c r="I605" s="244"/>
      <c r="J605" s="244"/>
      <c r="K605" s="244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</row>
    <row r="606" ht="14.25" customHeight="1">
      <c r="A606" s="244"/>
      <c r="B606" s="244"/>
      <c r="C606" s="244"/>
      <c r="D606" s="244"/>
      <c r="E606" s="244"/>
      <c r="F606" s="244"/>
      <c r="G606" s="244"/>
      <c r="H606" s="244"/>
      <c r="I606" s="244"/>
      <c r="J606" s="244"/>
      <c r="K606" s="244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</row>
    <row r="607" ht="14.25" customHeight="1">
      <c r="A607" s="244"/>
      <c r="B607" s="244"/>
      <c r="C607" s="244"/>
      <c r="D607" s="244"/>
      <c r="E607" s="244"/>
      <c r="F607" s="244"/>
      <c r="G607" s="244"/>
      <c r="H607" s="244"/>
      <c r="I607" s="244"/>
      <c r="J607" s="244"/>
      <c r="K607" s="244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</row>
    <row r="608" ht="14.25" customHeight="1">
      <c r="A608" s="244"/>
      <c r="B608" s="244"/>
      <c r="C608" s="244"/>
      <c r="D608" s="244"/>
      <c r="E608" s="244"/>
      <c r="F608" s="244"/>
      <c r="G608" s="244"/>
      <c r="H608" s="244"/>
      <c r="I608" s="244"/>
      <c r="J608" s="244"/>
      <c r="K608" s="244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</row>
    <row r="609" ht="14.25" customHeight="1">
      <c r="A609" s="244"/>
      <c r="B609" s="244"/>
      <c r="C609" s="244"/>
      <c r="D609" s="244"/>
      <c r="E609" s="244"/>
      <c r="F609" s="244"/>
      <c r="G609" s="244"/>
      <c r="H609" s="244"/>
      <c r="I609" s="244"/>
      <c r="J609" s="244"/>
      <c r="K609" s="244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</row>
    <row r="610" ht="14.25" customHeight="1">
      <c r="A610" s="244"/>
      <c r="B610" s="244"/>
      <c r="C610" s="244"/>
      <c r="D610" s="244"/>
      <c r="E610" s="244"/>
      <c r="F610" s="244"/>
      <c r="G610" s="244"/>
      <c r="H610" s="244"/>
      <c r="I610" s="244"/>
      <c r="J610" s="244"/>
      <c r="K610" s="244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</row>
    <row r="611" ht="14.25" customHeight="1">
      <c r="A611" s="244"/>
      <c r="B611" s="244"/>
      <c r="C611" s="244"/>
      <c r="D611" s="244"/>
      <c r="E611" s="244"/>
      <c r="F611" s="244"/>
      <c r="G611" s="244"/>
      <c r="H611" s="244"/>
      <c r="I611" s="244"/>
      <c r="J611" s="244"/>
      <c r="K611" s="244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</row>
    <row r="612" ht="14.25" customHeight="1">
      <c r="A612" s="244"/>
      <c r="B612" s="244"/>
      <c r="C612" s="244"/>
      <c r="D612" s="244"/>
      <c r="E612" s="244"/>
      <c r="F612" s="244"/>
      <c r="G612" s="244"/>
      <c r="H612" s="244"/>
      <c r="I612" s="244"/>
      <c r="J612" s="244"/>
      <c r="K612" s="244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</row>
    <row r="613" ht="14.25" customHeight="1">
      <c r="A613" s="244"/>
      <c r="B613" s="244"/>
      <c r="C613" s="244"/>
      <c r="D613" s="244"/>
      <c r="E613" s="244"/>
      <c r="F613" s="244"/>
      <c r="G613" s="244"/>
      <c r="H613" s="244"/>
      <c r="I613" s="244"/>
      <c r="J613" s="244"/>
      <c r="K613" s="244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</row>
    <row r="614" ht="14.25" customHeight="1">
      <c r="A614" s="244"/>
      <c r="B614" s="244"/>
      <c r="C614" s="244"/>
      <c r="D614" s="244"/>
      <c r="E614" s="244"/>
      <c r="F614" s="244"/>
      <c r="G614" s="244"/>
      <c r="H614" s="244"/>
      <c r="I614" s="244"/>
      <c r="J614" s="244"/>
      <c r="K614" s="244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</row>
    <row r="615" ht="14.25" customHeight="1">
      <c r="A615" s="244"/>
      <c r="B615" s="244"/>
      <c r="C615" s="244"/>
      <c r="D615" s="244"/>
      <c r="E615" s="244"/>
      <c r="F615" s="244"/>
      <c r="G615" s="244"/>
      <c r="H615" s="244"/>
      <c r="I615" s="244"/>
      <c r="J615" s="244"/>
      <c r="K615" s="244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</row>
    <row r="616" ht="14.25" customHeight="1">
      <c r="A616" s="244"/>
      <c r="B616" s="244"/>
      <c r="C616" s="244"/>
      <c r="D616" s="244"/>
      <c r="E616" s="244"/>
      <c r="F616" s="244"/>
      <c r="G616" s="244"/>
      <c r="H616" s="244"/>
      <c r="I616" s="244"/>
      <c r="J616" s="244"/>
      <c r="K616" s="244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</row>
    <row r="617" ht="14.25" customHeight="1">
      <c r="A617" s="244"/>
      <c r="B617" s="244"/>
      <c r="C617" s="244"/>
      <c r="D617" s="244"/>
      <c r="E617" s="244"/>
      <c r="F617" s="244"/>
      <c r="G617" s="244"/>
      <c r="H617" s="244"/>
      <c r="I617" s="244"/>
      <c r="J617" s="244"/>
      <c r="K617" s="244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</row>
    <row r="618" ht="14.25" customHeight="1">
      <c r="A618" s="244"/>
      <c r="B618" s="244"/>
      <c r="C618" s="244"/>
      <c r="D618" s="244"/>
      <c r="E618" s="244"/>
      <c r="F618" s="244"/>
      <c r="G618" s="244"/>
      <c r="H618" s="244"/>
      <c r="I618" s="244"/>
      <c r="J618" s="244"/>
      <c r="K618" s="244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</row>
    <row r="619" ht="14.25" customHeight="1">
      <c r="A619" s="244"/>
      <c r="B619" s="244"/>
      <c r="C619" s="244"/>
      <c r="D619" s="244"/>
      <c r="E619" s="244"/>
      <c r="F619" s="244"/>
      <c r="G619" s="244"/>
      <c r="H619" s="244"/>
      <c r="I619" s="244"/>
      <c r="J619" s="244"/>
      <c r="K619" s="244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</row>
    <row r="620" ht="14.25" customHeight="1">
      <c r="A620" s="244"/>
      <c r="B620" s="244"/>
      <c r="C620" s="244"/>
      <c r="D620" s="244"/>
      <c r="E620" s="244"/>
      <c r="F620" s="244"/>
      <c r="G620" s="244"/>
      <c r="H620" s="244"/>
      <c r="I620" s="244"/>
      <c r="J620" s="244"/>
      <c r="K620" s="244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</row>
    <row r="621" ht="14.25" customHeight="1">
      <c r="A621" s="244"/>
      <c r="B621" s="244"/>
      <c r="C621" s="244"/>
      <c r="D621" s="244"/>
      <c r="E621" s="244"/>
      <c r="F621" s="244"/>
      <c r="G621" s="244"/>
      <c r="H621" s="244"/>
      <c r="I621" s="244"/>
      <c r="J621" s="244"/>
      <c r="K621" s="244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</row>
    <row r="622" ht="14.25" customHeight="1">
      <c r="A622" s="244"/>
      <c r="B622" s="244"/>
      <c r="C622" s="244"/>
      <c r="D622" s="244"/>
      <c r="E622" s="244"/>
      <c r="F622" s="244"/>
      <c r="G622" s="244"/>
      <c r="H622" s="244"/>
      <c r="I622" s="244"/>
      <c r="J622" s="244"/>
      <c r="K622" s="244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</row>
    <row r="623" ht="14.25" customHeight="1">
      <c r="A623" s="244"/>
      <c r="B623" s="244"/>
      <c r="C623" s="244"/>
      <c r="D623" s="244"/>
      <c r="E623" s="244"/>
      <c r="F623" s="244"/>
      <c r="G623" s="244"/>
      <c r="H623" s="244"/>
      <c r="I623" s="244"/>
      <c r="J623" s="244"/>
      <c r="K623" s="244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</row>
    <row r="624" ht="14.25" customHeight="1">
      <c r="A624" s="244"/>
      <c r="B624" s="244"/>
      <c r="C624" s="244"/>
      <c r="D624" s="244"/>
      <c r="E624" s="244"/>
      <c r="F624" s="244"/>
      <c r="G624" s="244"/>
      <c r="H624" s="244"/>
      <c r="I624" s="244"/>
      <c r="J624" s="244"/>
      <c r="K624" s="244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</row>
    <row r="625" ht="14.25" customHeight="1">
      <c r="A625" s="244"/>
      <c r="B625" s="244"/>
      <c r="C625" s="244"/>
      <c r="D625" s="244"/>
      <c r="E625" s="244"/>
      <c r="F625" s="244"/>
      <c r="G625" s="244"/>
      <c r="H625" s="244"/>
      <c r="I625" s="244"/>
      <c r="J625" s="244"/>
      <c r="K625" s="244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</row>
    <row r="626" ht="14.25" customHeight="1">
      <c r="A626" s="244"/>
      <c r="B626" s="244"/>
      <c r="C626" s="244"/>
      <c r="D626" s="244"/>
      <c r="E626" s="244"/>
      <c r="F626" s="244"/>
      <c r="G626" s="244"/>
      <c r="H626" s="244"/>
      <c r="I626" s="244"/>
      <c r="J626" s="244"/>
      <c r="K626" s="244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</row>
    <row r="627" ht="14.25" customHeight="1">
      <c r="A627" s="244"/>
      <c r="B627" s="244"/>
      <c r="C627" s="244"/>
      <c r="D627" s="244"/>
      <c r="E627" s="244"/>
      <c r="F627" s="244"/>
      <c r="G627" s="244"/>
      <c r="H627" s="244"/>
      <c r="I627" s="244"/>
      <c r="J627" s="244"/>
      <c r="K627" s="244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</row>
    <row r="628" ht="14.25" customHeight="1">
      <c r="A628" s="244"/>
      <c r="B628" s="244"/>
      <c r="C628" s="244"/>
      <c r="D628" s="244"/>
      <c r="E628" s="244"/>
      <c r="F628" s="244"/>
      <c r="G628" s="244"/>
      <c r="H628" s="244"/>
      <c r="I628" s="244"/>
      <c r="J628" s="244"/>
      <c r="K628" s="244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</row>
    <row r="629" ht="14.25" customHeight="1">
      <c r="A629" s="244"/>
      <c r="B629" s="244"/>
      <c r="C629" s="244"/>
      <c r="D629" s="244"/>
      <c r="E629" s="244"/>
      <c r="F629" s="244"/>
      <c r="G629" s="244"/>
      <c r="H629" s="244"/>
      <c r="I629" s="244"/>
      <c r="J629" s="244"/>
      <c r="K629" s="244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</row>
    <row r="630" ht="14.25" customHeight="1">
      <c r="A630" s="244"/>
      <c r="B630" s="244"/>
      <c r="C630" s="244"/>
      <c r="D630" s="244"/>
      <c r="E630" s="244"/>
      <c r="F630" s="244"/>
      <c r="G630" s="244"/>
      <c r="H630" s="244"/>
      <c r="I630" s="244"/>
      <c r="J630" s="244"/>
      <c r="K630" s="244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</row>
    <row r="631" ht="14.25" customHeight="1">
      <c r="A631" s="244"/>
      <c r="B631" s="244"/>
      <c r="C631" s="244"/>
      <c r="D631" s="244"/>
      <c r="E631" s="244"/>
      <c r="F631" s="244"/>
      <c r="G631" s="244"/>
      <c r="H631" s="244"/>
      <c r="I631" s="244"/>
      <c r="J631" s="244"/>
      <c r="K631" s="244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</row>
    <row r="632" ht="14.25" customHeight="1">
      <c r="A632" s="244"/>
      <c r="B632" s="244"/>
      <c r="C632" s="244"/>
      <c r="D632" s="244"/>
      <c r="E632" s="244"/>
      <c r="F632" s="244"/>
      <c r="G632" s="244"/>
      <c r="H632" s="244"/>
      <c r="I632" s="244"/>
      <c r="J632" s="244"/>
      <c r="K632" s="244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</row>
    <row r="633" ht="14.25" customHeight="1">
      <c r="A633" s="244"/>
      <c r="B633" s="244"/>
      <c r="C633" s="244"/>
      <c r="D633" s="244"/>
      <c r="E633" s="244"/>
      <c r="F633" s="244"/>
      <c r="G633" s="244"/>
      <c r="H633" s="244"/>
      <c r="I633" s="244"/>
      <c r="J633" s="244"/>
      <c r="K633" s="244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</row>
    <row r="634" ht="14.25" customHeight="1">
      <c r="A634" s="244"/>
      <c r="B634" s="244"/>
      <c r="C634" s="244"/>
      <c r="D634" s="244"/>
      <c r="E634" s="244"/>
      <c r="F634" s="244"/>
      <c r="G634" s="244"/>
      <c r="H634" s="244"/>
      <c r="I634" s="244"/>
      <c r="J634" s="244"/>
      <c r="K634" s="244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</row>
    <row r="635" ht="14.25" customHeight="1">
      <c r="A635" s="244"/>
      <c r="B635" s="244"/>
      <c r="C635" s="244"/>
      <c r="D635" s="244"/>
      <c r="E635" s="244"/>
      <c r="F635" s="244"/>
      <c r="G635" s="244"/>
      <c r="H635" s="244"/>
      <c r="I635" s="244"/>
      <c r="J635" s="244"/>
      <c r="K635" s="244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</row>
    <row r="636" ht="14.25" customHeight="1">
      <c r="A636" s="244"/>
      <c r="B636" s="244"/>
      <c r="C636" s="244"/>
      <c r="D636" s="244"/>
      <c r="E636" s="244"/>
      <c r="F636" s="244"/>
      <c r="G636" s="244"/>
      <c r="H636" s="244"/>
      <c r="I636" s="244"/>
      <c r="J636" s="244"/>
      <c r="K636" s="244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</row>
    <row r="637" ht="14.25" customHeight="1">
      <c r="A637" s="244"/>
      <c r="B637" s="244"/>
      <c r="C637" s="244"/>
      <c r="D637" s="244"/>
      <c r="E637" s="244"/>
      <c r="F637" s="244"/>
      <c r="G637" s="244"/>
      <c r="H637" s="244"/>
      <c r="I637" s="244"/>
      <c r="J637" s="244"/>
      <c r="K637" s="244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</row>
    <row r="638" ht="14.25" customHeight="1">
      <c r="A638" s="244"/>
      <c r="B638" s="244"/>
      <c r="C638" s="244"/>
      <c r="D638" s="244"/>
      <c r="E638" s="244"/>
      <c r="F638" s="244"/>
      <c r="G638" s="244"/>
      <c r="H638" s="244"/>
      <c r="I638" s="244"/>
      <c r="J638" s="244"/>
      <c r="K638" s="244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</row>
    <row r="639" ht="14.25" customHeight="1">
      <c r="A639" s="244"/>
      <c r="B639" s="244"/>
      <c r="C639" s="244"/>
      <c r="D639" s="244"/>
      <c r="E639" s="244"/>
      <c r="F639" s="244"/>
      <c r="G639" s="244"/>
      <c r="H639" s="244"/>
      <c r="I639" s="244"/>
      <c r="J639" s="244"/>
      <c r="K639" s="244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</row>
    <row r="640" ht="14.25" customHeight="1">
      <c r="A640" s="244"/>
      <c r="B640" s="244"/>
      <c r="C640" s="244"/>
      <c r="D640" s="244"/>
      <c r="E640" s="244"/>
      <c r="F640" s="244"/>
      <c r="G640" s="244"/>
      <c r="H640" s="244"/>
      <c r="I640" s="244"/>
      <c r="J640" s="244"/>
      <c r="K640" s="244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</row>
    <row r="641" ht="14.25" customHeight="1">
      <c r="A641" s="244"/>
      <c r="B641" s="244"/>
      <c r="C641" s="244"/>
      <c r="D641" s="244"/>
      <c r="E641" s="244"/>
      <c r="F641" s="244"/>
      <c r="G641" s="244"/>
      <c r="H641" s="244"/>
      <c r="I641" s="244"/>
      <c r="J641" s="244"/>
      <c r="K641" s="244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</row>
    <row r="642" ht="14.25" customHeight="1">
      <c r="A642" s="244"/>
      <c r="B642" s="244"/>
      <c r="C642" s="244"/>
      <c r="D642" s="244"/>
      <c r="E642" s="244"/>
      <c r="F642" s="244"/>
      <c r="G642" s="244"/>
      <c r="H642" s="244"/>
      <c r="I642" s="244"/>
      <c r="J642" s="244"/>
      <c r="K642" s="244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</row>
    <row r="643" ht="14.25" customHeight="1">
      <c r="A643" s="244"/>
      <c r="B643" s="244"/>
      <c r="C643" s="244"/>
      <c r="D643" s="244"/>
      <c r="E643" s="244"/>
      <c r="F643" s="244"/>
      <c r="G643" s="244"/>
      <c r="H643" s="244"/>
      <c r="I643" s="244"/>
      <c r="J643" s="244"/>
      <c r="K643" s="244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</row>
    <row r="644" ht="14.25" customHeight="1">
      <c r="A644" s="244"/>
      <c r="B644" s="244"/>
      <c r="C644" s="244"/>
      <c r="D644" s="244"/>
      <c r="E644" s="244"/>
      <c r="F644" s="244"/>
      <c r="G644" s="244"/>
      <c r="H644" s="244"/>
      <c r="I644" s="244"/>
      <c r="J644" s="244"/>
      <c r="K644" s="244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</row>
    <row r="645" ht="14.25" customHeight="1">
      <c r="A645" s="244"/>
      <c r="B645" s="244"/>
      <c r="C645" s="244"/>
      <c r="D645" s="244"/>
      <c r="E645" s="244"/>
      <c r="F645" s="244"/>
      <c r="G645" s="244"/>
      <c r="H645" s="244"/>
      <c r="I645" s="244"/>
      <c r="J645" s="244"/>
      <c r="K645" s="244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</row>
    <row r="646" ht="14.25" customHeight="1">
      <c r="A646" s="244"/>
      <c r="B646" s="244"/>
      <c r="C646" s="244"/>
      <c r="D646" s="244"/>
      <c r="E646" s="244"/>
      <c r="F646" s="244"/>
      <c r="G646" s="244"/>
      <c r="H646" s="244"/>
      <c r="I646" s="244"/>
      <c r="J646" s="244"/>
      <c r="K646" s="244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</row>
    <row r="647" ht="14.25" customHeight="1">
      <c r="A647" s="244"/>
      <c r="B647" s="244"/>
      <c r="C647" s="244"/>
      <c r="D647" s="244"/>
      <c r="E647" s="244"/>
      <c r="F647" s="244"/>
      <c r="G647" s="244"/>
      <c r="H647" s="244"/>
      <c r="I647" s="244"/>
      <c r="J647" s="244"/>
      <c r="K647" s="244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</row>
    <row r="648" ht="14.25" customHeight="1">
      <c r="A648" s="244"/>
      <c r="B648" s="244"/>
      <c r="C648" s="244"/>
      <c r="D648" s="244"/>
      <c r="E648" s="244"/>
      <c r="F648" s="244"/>
      <c r="G648" s="244"/>
      <c r="H648" s="244"/>
      <c r="I648" s="244"/>
      <c r="J648" s="244"/>
      <c r="K648" s="244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</row>
    <row r="649" ht="14.25" customHeight="1">
      <c r="A649" s="244"/>
      <c r="B649" s="244"/>
      <c r="C649" s="244"/>
      <c r="D649" s="244"/>
      <c r="E649" s="244"/>
      <c r="F649" s="244"/>
      <c r="G649" s="244"/>
      <c r="H649" s="244"/>
      <c r="I649" s="244"/>
      <c r="J649" s="244"/>
      <c r="K649" s="244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</row>
    <row r="650" ht="14.25" customHeight="1">
      <c r="A650" s="244"/>
      <c r="B650" s="244"/>
      <c r="C650" s="244"/>
      <c r="D650" s="244"/>
      <c r="E650" s="244"/>
      <c r="F650" s="244"/>
      <c r="G650" s="244"/>
      <c r="H650" s="244"/>
      <c r="I650" s="244"/>
      <c r="J650" s="244"/>
      <c r="K650" s="244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</row>
    <row r="651" ht="14.25" customHeight="1">
      <c r="A651" s="244"/>
      <c r="B651" s="244"/>
      <c r="C651" s="244"/>
      <c r="D651" s="244"/>
      <c r="E651" s="244"/>
      <c r="F651" s="244"/>
      <c r="G651" s="244"/>
      <c r="H651" s="244"/>
      <c r="I651" s="244"/>
      <c r="J651" s="244"/>
      <c r="K651" s="244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</row>
    <row r="652" ht="14.25" customHeight="1">
      <c r="A652" s="244"/>
      <c r="B652" s="244"/>
      <c r="C652" s="244"/>
      <c r="D652" s="244"/>
      <c r="E652" s="244"/>
      <c r="F652" s="244"/>
      <c r="G652" s="244"/>
      <c r="H652" s="244"/>
      <c r="I652" s="244"/>
      <c r="J652" s="244"/>
      <c r="K652" s="244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</row>
    <row r="653" ht="14.25" customHeight="1">
      <c r="A653" s="244"/>
      <c r="B653" s="244"/>
      <c r="C653" s="244"/>
      <c r="D653" s="244"/>
      <c r="E653" s="244"/>
      <c r="F653" s="244"/>
      <c r="G653" s="244"/>
      <c r="H653" s="244"/>
      <c r="I653" s="244"/>
      <c r="J653" s="244"/>
      <c r="K653" s="244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</row>
    <row r="654" ht="14.25" customHeight="1">
      <c r="A654" s="244"/>
      <c r="B654" s="244"/>
      <c r="C654" s="244"/>
      <c r="D654" s="244"/>
      <c r="E654" s="244"/>
      <c r="F654" s="244"/>
      <c r="G654" s="244"/>
      <c r="H654" s="244"/>
      <c r="I654" s="244"/>
      <c r="J654" s="244"/>
      <c r="K654" s="244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</row>
    <row r="655" ht="14.25" customHeight="1">
      <c r="A655" s="244"/>
      <c r="B655" s="244"/>
      <c r="C655" s="244"/>
      <c r="D655" s="244"/>
      <c r="E655" s="244"/>
      <c r="F655" s="244"/>
      <c r="G655" s="244"/>
      <c r="H655" s="244"/>
      <c r="I655" s="244"/>
      <c r="J655" s="244"/>
      <c r="K655" s="244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</row>
    <row r="656" ht="14.25" customHeight="1">
      <c r="A656" s="244"/>
      <c r="B656" s="244"/>
      <c r="C656" s="244"/>
      <c r="D656" s="244"/>
      <c r="E656" s="244"/>
      <c r="F656" s="244"/>
      <c r="G656" s="244"/>
      <c r="H656" s="244"/>
      <c r="I656" s="244"/>
      <c r="J656" s="244"/>
      <c r="K656" s="244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</row>
    <row r="657" ht="14.25" customHeight="1">
      <c r="A657" s="244"/>
      <c r="B657" s="244"/>
      <c r="C657" s="244"/>
      <c r="D657" s="244"/>
      <c r="E657" s="244"/>
      <c r="F657" s="244"/>
      <c r="G657" s="244"/>
      <c r="H657" s="244"/>
      <c r="I657" s="244"/>
      <c r="J657" s="244"/>
      <c r="K657" s="244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</row>
    <row r="658" ht="14.25" customHeight="1">
      <c r="A658" s="244"/>
      <c r="B658" s="244"/>
      <c r="C658" s="244"/>
      <c r="D658" s="244"/>
      <c r="E658" s="244"/>
      <c r="F658" s="244"/>
      <c r="G658" s="244"/>
      <c r="H658" s="244"/>
      <c r="I658" s="244"/>
      <c r="J658" s="244"/>
      <c r="K658" s="244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</row>
    <row r="659" ht="14.25" customHeight="1">
      <c r="A659" s="244"/>
      <c r="B659" s="244"/>
      <c r="C659" s="244"/>
      <c r="D659" s="244"/>
      <c r="E659" s="244"/>
      <c r="F659" s="244"/>
      <c r="G659" s="244"/>
      <c r="H659" s="244"/>
      <c r="I659" s="244"/>
      <c r="J659" s="244"/>
      <c r="K659" s="244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</row>
    <row r="660" ht="14.25" customHeight="1">
      <c r="A660" s="244"/>
      <c r="B660" s="244"/>
      <c r="C660" s="244"/>
      <c r="D660" s="244"/>
      <c r="E660" s="244"/>
      <c r="F660" s="244"/>
      <c r="G660" s="244"/>
      <c r="H660" s="244"/>
      <c r="I660" s="244"/>
      <c r="J660" s="244"/>
      <c r="K660" s="244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</row>
    <row r="661" ht="14.25" customHeight="1">
      <c r="A661" s="244"/>
      <c r="B661" s="244"/>
      <c r="C661" s="244"/>
      <c r="D661" s="244"/>
      <c r="E661" s="244"/>
      <c r="F661" s="244"/>
      <c r="G661" s="244"/>
      <c r="H661" s="244"/>
      <c r="I661" s="244"/>
      <c r="J661" s="244"/>
      <c r="K661" s="244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</row>
    <row r="662" ht="14.25" customHeight="1">
      <c r="A662" s="244"/>
      <c r="B662" s="244"/>
      <c r="C662" s="244"/>
      <c r="D662" s="244"/>
      <c r="E662" s="244"/>
      <c r="F662" s="244"/>
      <c r="G662" s="244"/>
      <c r="H662" s="244"/>
      <c r="I662" s="244"/>
      <c r="J662" s="244"/>
      <c r="K662" s="244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</row>
    <row r="663" ht="14.25" customHeight="1">
      <c r="A663" s="244"/>
      <c r="B663" s="244"/>
      <c r="C663" s="244"/>
      <c r="D663" s="244"/>
      <c r="E663" s="244"/>
      <c r="F663" s="244"/>
      <c r="G663" s="244"/>
      <c r="H663" s="244"/>
      <c r="I663" s="244"/>
      <c r="J663" s="244"/>
      <c r="K663" s="244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</row>
    <row r="664" ht="14.25" customHeight="1">
      <c r="A664" s="244"/>
      <c r="B664" s="244"/>
      <c r="C664" s="244"/>
      <c r="D664" s="244"/>
      <c r="E664" s="244"/>
      <c r="F664" s="244"/>
      <c r="G664" s="244"/>
      <c r="H664" s="244"/>
      <c r="I664" s="244"/>
      <c r="J664" s="244"/>
      <c r="K664" s="244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</row>
    <row r="665" ht="14.25" customHeight="1">
      <c r="A665" s="244"/>
      <c r="B665" s="244"/>
      <c r="C665" s="244"/>
      <c r="D665" s="244"/>
      <c r="E665" s="244"/>
      <c r="F665" s="244"/>
      <c r="G665" s="244"/>
      <c r="H665" s="244"/>
      <c r="I665" s="244"/>
      <c r="J665" s="244"/>
      <c r="K665" s="244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</row>
    <row r="666" ht="14.25" customHeight="1">
      <c r="A666" s="244"/>
      <c r="B666" s="244"/>
      <c r="C666" s="244"/>
      <c r="D666" s="244"/>
      <c r="E666" s="244"/>
      <c r="F666" s="244"/>
      <c r="G666" s="244"/>
      <c r="H666" s="244"/>
      <c r="I666" s="244"/>
      <c r="J666" s="244"/>
      <c r="K666" s="244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</row>
    <row r="667" ht="14.25" customHeight="1">
      <c r="A667" s="244"/>
      <c r="B667" s="244"/>
      <c r="C667" s="244"/>
      <c r="D667" s="244"/>
      <c r="E667" s="244"/>
      <c r="F667" s="244"/>
      <c r="G667" s="244"/>
      <c r="H667" s="244"/>
      <c r="I667" s="244"/>
      <c r="J667" s="244"/>
      <c r="K667" s="244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</row>
    <row r="668" ht="14.25" customHeight="1">
      <c r="A668" s="244"/>
      <c r="B668" s="244"/>
      <c r="C668" s="244"/>
      <c r="D668" s="244"/>
      <c r="E668" s="244"/>
      <c r="F668" s="244"/>
      <c r="G668" s="244"/>
      <c r="H668" s="244"/>
      <c r="I668" s="244"/>
      <c r="J668" s="244"/>
      <c r="K668" s="244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</row>
    <row r="669" ht="14.25" customHeight="1">
      <c r="A669" s="244"/>
      <c r="B669" s="244"/>
      <c r="C669" s="244"/>
      <c r="D669" s="244"/>
      <c r="E669" s="244"/>
      <c r="F669" s="244"/>
      <c r="G669" s="244"/>
      <c r="H669" s="244"/>
      <c r="I669" s="244"/>
      <c r="J669" s="244"/>
      <c r="K669" s="244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</row>
    <row r="670" ht="14.25" customHeight="1">
      <c r="A670" s="244"/>
      <c r="B670" s="244"/>
      <c r="C670" s="244"/>
      <c r="D670" s="244"/>
      <c r="E670" s="244"/>
      <c r="F670" s="244"/>
      <c r="G670" s="244"/>
      <c r="H670" s="244"/>
      <c r="I670" s="244"/>
      <c r="J670" s="244"/>
      <c r="K670" s="244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</row>
    <row r="671" ht="14.25" customHeight="1">
      <c r="A671" s="244"/>
      <c r="B671" s="244"/>
      <c r="C671" s="244"/>
      <c r="D671" s="244"/>
      <c r="E671" s="244"/>
      <c r="F671" s="244"/>
      <c r="G671" s="244"/>
      <c r="H671" s="244"/>
      <c r="I671" s="244"/>
      <c r="J671" s="244"/>
      <c r="K671" s="244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</row>
    <row r="672" ht="14.25" customHeight="1">
      <c r="A672" s="244"/>
      <c r="B672" s="244"/>
      <c r="C672" s="244"/>
      <c r="D672" s="244"/>
      <c r="E672" s="244"/>
      <c r="F672" s="244"/>
      <c r="G672" s="244"/>
      <c r="H672" s="244"/>
      <c r="I672" s="244"/>
      <c r="J672" s="244"/>
      <c r="K672" s="244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</row>
    <row r="673" ht="14.25" customHeight="1">
      <c r="A673" s="244"/>
      <c r="B673" s="244"/>
      <c r="C673" s="244"/>
      <c r="D673" s="244"/>
      <c r="E673" s="244"/>
      <c r="F673" s="244"/>
      <c r="G673" s="244"/>
      <c r="H673" s="244"/>
      <c r="I673" s="244"/>
      <c r="J673" s="244"/>
      <c r="K673" s="244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</row>
    <row r="674" ht="14.25" customHeight="1">
      <c r="A674" s="244"/>
      <c r="B674" s="244"/>
      <c r="C674" s="244"/>
      <c r="D674" s="244"/>
      <c r="E674" s="244"/>
      <c r="F674" s="244"/>
      <c r="G674" s="244"/>
      <c r="H674" s="244"/>
      <c r="I674" s="244"/>
      <c r="J674" s="244"/>
      <c r="K674" s="244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</row>
    <row r="675" ht="14.25" customHeight="1">
      <c r="A675" s="244"/>
      <c r="B675" s="244"/>
      <c r="C675" s="244"/>
      <c r="D675" s="244"/>
      <c r="E675" s="244"/>
      <c r="F675" s="244"/>
      <c r="G675" s="244"/>
      <c r="H675" s="244"/>
      <c r="I675" s="244"/>
      <c r="J675" s="244"/>
      <c r="K675" s="244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</row>
    <row r="676" ht="14.25" customHeight="1">
      <c r="A676" s="244"/>
      <c r="B676" s="244"/>
      <c r="C676" s="244"/>
      <c r="D676" s="244"/>
      <c r="E676" s="244"/>
      <c r="F676" s="244"/>
      <c r="G676" s="244"/>
      <c r="H676" s="244"/>
      <c r="I676" s="244"/>
      <c r="J676" s="244"/>
      <c r="K676" s="244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</row>
    <row r="677" ht="14.25" customHeight="1">
      <c r="A677" s="244"/>
      <c r="B677" s="244"/>
      <c r="C677" s="244"/>
      <c r="D677" s="244"/>
      <c r="E677" s="244"/>
      <c r="F677" s="244"/>
      <c r="G677" s="244"/>
      <c r="H677" s="244"/>
      <c r="I677" s="244"/>
      <c r="J677" s="244"/>
      <c r="K677" s="244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</row>
    <row r="678" ht="14.25" customHeight="1">
      <c r="A678" s="244"/>
      <c r="B678" s="244"/>
      <c r="C678" s="244"/>
      <c r="D678" s="244"/>
      <c r="E678" s="244"/>
      <c r="F678" s="244"/>
      <c r="G678" s="244"/>
      <c r="H678" s="244"/>
      <c r="I678" s="244"/>
      <c r="J678" s="244"/>
      <c r="K678" s="244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</row>
    <row r="679" ht="14.25" customHeight="1">
      <c r="A679" s="244"/>
      <c r="B679" s="244"/>
      <c r="C679" s="244"/>
      <c r="D679" s="244"/>
      <c r="E679" s="244"/>
      <c r="F679" s="244"/>
      <c r="G679" s="244"/>
      <c r="H679" s="244"/>
      <c r="I679" s="244"/>
      <c r="J679" s="244"/>
      <c r="K679" s="244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</row>
    <row r="680" ht="14.25" customHeight="1">
      <c r="A680" s="244"/>
      <c r="B680" s="244"/>
      <c r="C680" s="244"/>
      <c r="D680" s="244"/>
      <c r="E680" s="244"/>
      <c r="F680" s="244"/>
      <c r="G680" s="244"/>
      <c r="H680" s="244"/>
      <c r="I680" s="244"/>
      <c r="J680" s="244"/>
      <c r="K680" s="244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</row>
    <row r="681" ht="14.25" customHeight="1">
      <c r="A681" s="244"/>
      <c r="B681" s="244"/>
      <c r="C681" s="244"/>
      <c r="D681" s="244"/>
      <c r="E681" s="244"/>
      <c r="F681" s="244"/>
      <c r="G681" s="244"/>
      <c r="H681" s="244"/>
      <c r="I681" s="244"/>
      <c r="J681" s="244"/>
      <c r="K681" s="244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</row>
    <row r="682" ht="14.25" customHeight="1">
      <c r="A682" s="244"/>
      <c r="B682" s="244"/>
      <c r="C682" s="244"/>
      <c r="D682" s="244"/>
      <c r="E682" s="244"/>
      <c r="F682" s="244"/>
      <c r="G682" s="244"/>
      <c r="H682" s="244"/>
      <c r="I682" s="244"/>
      <c r="J682" s="244"/>
      <c r="K682" s="244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</row>
    <row r="683" ht="14.25" customHeight="1">
      <c r="A683" s="244"/>
      <c r="B683" s="244"/>
      <c r="C683" s="244"/>
      <c r="D683" s="244"/>
      <c r="E683" s="244"/>
      <c r="F683" s="244"/>
      <c r="G683" s="244"/>
      <c r="H683" s="244"/>
      <c r="I683" s="244"/>
      <c r="J683" s="244"/>
      <c r="K683" s="244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</row>
    <row r="684" ht="14.25" customHeight="1">
      <c r="A684" s="244"/>
      <c r="B684" s="244"/>
      <c r="C684" s="244"/>
      <c r="D684" s="244"/>
      <c r="E684" s="244"/>
      <c r="F684" s="244"/>
      <c r="G684" s="244"/>
      <c r="H684" s="244"/>
      <c r="I684" s="244"/>
      <c r="J684" s="244"/>
      <c r="K684" s="244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</row>
    <row r="685" ht="14.25" customHeight="1">
      <c r="A685" s="244"/>
      <c r="B685" s="244"/>
      <c r="C685" s="244"/>
      <c r="D685" s="244"/>
      <c r="E685" s="244"/>
      <c r="F685" s="244"/>
      <c r="G685" s="244"/>
      <c r="H685" s="244"/>
      <c r="I685" s="244"/>
      <c r="J685" s="244"/>
      <c r="K685" s="244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</row>
    <row r="686" ht="14.25" customHeight="1">
      <c r="A686" s="244"/>
      <c r="B686" s="244"/>
      <c r="C686" s="244"/>
      <c r="D686" s="244"/>
      <c r="E686" s="244"/>
      <c r="F686" s="244"/>
      <c r="G686" s="244"/>
      <c r="H686" s="244"/>
      <c r="I686" s="244"/>
      <c r="J686" s="244"/>
      <c r="K686" s="244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</row>
    <row r="687" ht="14.25" customHeight="1">
      <c r="A687" s="244"/>
      <c r="B687" s="244"/>
      <c r="C687" s="244"/>
      <c r="D687" s="244"/>
      <c r="E687" s="244"/>
      <c r="F687" s="244"/>
      <c r="G687" s="244"/>
      <c r="H687" s="244"/>
      <c r="I687" s="244"/>
      <c r="J687" s="244"/>
      <c r="K687" s="244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</row>
    <row r="688" ht="14.25" customHeight="1">
      <c r="A688" s="244"/>
      <c r="B688" s="244"/>
      <c r="C688" s="244"/>
      <c r="D688" s="244"/>
      <c r="E688" s="244"/>
      <c r="F688" s="244"/>
      <c r="G688" s="244"/>
      <c r="H688" s="244"/>
      <c r="I688" s="244"/>
      <c r="J688" s="244"/>
      <c r="K688" s="244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</row>
    <row r="689" ht="14.25" customHeight="1">
      <c r="A689" s="244"/>
      <c r="B689" s="244"/>
      <c r="C689" s="244"/>
      <c r="D689" s="244"/>
      <c r="E689" s="244"/>
      <c r="F689" s="244"/>
      <c r="G689" s="244"/>
      <c r="H689" s="244"/>
      <c r="I689" s="244"/>
      <c r="J689" s="244"/>
      <c r="K689" s="244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</row>
    <row r="690" ht="14.25" customHeight="1">
      <c r="A690" s="244"/>
      <c r="B690" s="244"/>
      <c r="C690" s="244"/>
      <c r="D690" s="244"/>
      <c r="E690" s="244"/>
      <c r="F690" s="244"/>
      <c r="G690" s="244"/>
      <c r="H690" s="244"/>
      <c r="I690" s="244"/>
      <c r="J690" s="244"/>
      <c r="K690" s="244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</row>
    <row r="691" ht="14.25" customHeight="1">
      <c r="A691" s="244"/>
      <c r="B691" s="244"/>
      <c r="C691" s="244"/>
      <c r="D691" s="244"/>
      <c r="E691" s="244"/>
      <c r="F691" s="244"/>
      <c r="G691" s="244"/>
      <c r="H691" s="244"/>
      <c r="I691" s="244"/>
      <c r="J691" s="244"/>
      <c r="K691" s="244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</row>
    <row r="692" ht="14.25" customHeight="1">
      <c r="A692" s="244"/>
      <c r="B692" s="244"/>
      <c r="C692" s="244"/>
      <c r="D692" s="244"/>
      <c r="E692" s="244"/>
      <c r="F692" s="244"/>
      <c r="G692" s="244"/>
      <c r="H692" s="244"/>
      <c r="I692" s="244"/>
      <c r="J692" s="244"/>
      <c r="K692" s="244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</row>
    <row r="693" ht="14.25" customHeight="1">
      <c r="A693" s="244"/>
      <c r="B693" s="244"/>
      <c r="C693" s="244"/>
      <c r="D693" s="244"/>
      <c r="E693" s="244"/>
      <c r="F693" s="244"/>
      <c r="G693" s="244"/>
      <c r="H693" s="244"/>
      <c r="I693" s="244"/>
      <c r="J693" s="244"/>
      <c r="K693" s="244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</row>
    <row r="694" ht="14.25" customHeight="1">
      <c r="A694" s="244"/>
      <c r="B694" s="244"/>
      <c r="C694" s="244"/>
      <c r="D694" s="244"/>
      <c r="E694" s="244"/>
      <c r="F694" s="244"/>
      <c r="G694" s="244"/>
      <c r="H694" s="244"/>
      <c r="I694" s="244"/>
      <c r="J694" s="244"/>
      <c r="K694" s="244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</row>
    <row r="695" ht="14.25" customHeight="1">
      <c r="A695" s="244"/>
      <c r="B695" s="244"/>
      <c r="C695" s="244"/>
      <c r="D695" s="244"/>
      <c r="E695" s="244"/>
      <c r="F695" s="244"/>
      <c r="G695" s="244"/>
      <c r="H695" s="244"/>
      <c r="I695" s="244"/>
      <c r="J695" s="244"/>
      <c r="K695" s="244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</row>
    <row r="696" ht="14.25" customHeight="1">
      <c r="A696" s="244"/>
      <c r="B696" s="244"/>
      <c r="C696" s="244"/>
      <c r="D696" s="244"/>
      <c r="E696" s="244"/>
      <c r="F696" s="244"/>
      <c r="G696" s="244"/>
      <c r="H696" s="244"/>
      <c r="I696" s="244"/>
      <c r="J696" s="244"/>
      <c r="K696" s="244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</row>
    <row r="697" ht="14.25" customHeight="1">
      <c r="A697" s="244"/>
      <c r="B697" s="244"/>
      <c r="C697" s="244"/>
      <c r="D697" s="244"/>
      <c r="E697" s="244"/>
      <c r="F697" s="244"/>
      <c r="G697" s="244"/>
      <c r="H697" s="244"/>
      <c r="I697" s="244"/>
      <c r="J697" s="244"/>
      <c r="K697" s="244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</row>
    <row r="698" ht="14.25" customHeight="1">
      <c r="A698" s="244"/>
      <c r="B698" s="244"/>
      <c r="C698" s="244"/>
      <c r="D698" s="244"/>
      <c r="E698" s="244"/>
      <c r="F698" s="244"/>
      <c r="G698" s="244"/>
      <c r="H698" s="244"/>
      <c r="I698" s="244"/>
      <c r="J698" s="244"/>
      <c r="K698" s="244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</row>
    <row r="699" ht="14.25" customHeight="1">
      <c r="A699" s="244"/>
      <c r="B699" s="244"/>
      <c r="C699" s="244"/>
      <c r="D699" s="244"/>
      <c r="E699" s="244"/>
      <c r="F699" s="244"/>
      <c r="G699" s="244"/>
      <c r="H699" s="244"/>
      <c r="I699" s="244"/>
      <c r="J699" s="244"/>
      <c r="K699" s="244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</row>
    <row r="700" ht="14.25" customHeight="1">
      <c r="A700" s="244"/>
      <c r="B700" s="244"/>
      <c r="C700" s="244"/>
      <c r="D700" s="244"/>
      <c r="E700" s="244"/>
      <c r="F700" s="244"/>
      <c r="G700" s="244"/>
      <c r="H700" s="244"/>
      <c r="I700" s="244"/>
      <c r="J700" s="244"/>
      <c r="K700" s="244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</row>
    <row r="701" ht="14.25" customHeight="1">
      <c r="A701" s="244"/>
      <c r="B701" s="244"/>
      <c r="C701" s="244"/>
      <c r="D701" s="244"/>
      <c r="E701" s="244"/>
      <c r="F701" s="244"/>
      <c r="G701" s="244"/>
      <c r="H701" s="244"/>
      <c r="I701" s="244"/>
      <c r="J701" s="244"/>
      <c r="K701" s="244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</row>
    <row r="702" ht="14.25" customHeight="1">
      <c r="A702" s="244"/>
      <c r="B702" s="244"/>
      <c r="C702" s="244"/>
      <c r="D702" s="244"/>
      <c r="E702" s="244"/>
      <c r="F702" s="244"/>
      <c r="G702" s="244"/>
      <c r="H702" s="244"/>
      <c r="I702" s="244"/>
      <c r="J702" s="244"/>
      <c r="K702" s="244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</row>
    <row r="703" ht="14.25" customHeight="1">
      <c r="A703" s="244"/>
      <c r="B703" s="244"/>
      <c r="C703" s="244"/>
      <c r="D703" s="244"/>
      <c r="E703" s="244"/>
      <c r="F703" s="244"/>
      <c r="G703" s="244"/>
      <c r="H703" s="244"/>
      <c r="I703" s="244"/>
      <c r="J703" s="244"/>
      <c r="K703" s="244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</row>
    <row r="704" ht="14.25" customHeight="1">
      <c r="A704" s="244"/>
      <c r="B704" s="244"/>
      <c r="C704" s="244"/>
      <c r="D704" s="244"/>
      <c r="E704" s="244"/>
      <c r="F704" s="244"/>
      <c r="G704" s="244"/>
      <c r="H704" s="244"/>
      <c r="I704" s="244"/>
      <c r="J704" s="244"/>
      <c r="K704" s="244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</row>
    <row r="705" ht="14.25" customHeight="1">
      <c r="A705" s="244"/>
      <c r="B705" s="244"/>
      <c r="C705" s="244"/>
      <c r="D705" s="244"/>
      <c r="E705" s="244"/>
      <c r="F705" s="244"/>
      <c r="G705" s="244"/>
      <c r="H705" s="244"/>
      <c r="I705" s="244"/>
      <c r="J705" s="244"/>
      <c r="K705" s="244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</row>
    <row r="706" ht="14.25" customHeight="1">
      <c r="A706" s="244"/>
      <c r="B706" s="244"/>
      <c r="C706" s="244"/>
      <c r="D706" s="244"/>
      <c r="E706" s="244"/>
      <c r="F706" s="244"/>
      <c r="G706" s="244"/>
      <c r="H706" s="244"/>
      <c r="I706" s="244"/>
      <c r="J706" s="244"/>
      <c r="K706" s="244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</row>
    <row r="707" ht="14.25" customHeight="1">
      <c r="A707" s="244"/>
      <c r="B707" s="244"/>
      <c r="C707" s="244"/>
      <c r="D707" s="244"/>
      <c r="E707" s="244"/>
      <c r="F707" s="244"/>
      <c r="G707" s="244"/>
      <c r="H707" s="244"/>
      <c r="I707" s="244"/>
      <c r="J707" s="244"/>
      <c r="K707" s="244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</row>
    <row r="708" ht="14.25" customHeight="1">
      <c r="A708" s="244"/>
      <c r="B708" s="244"/>
      <c r="C708" s="244"/>
      <c r="D708" s="244"/>
      <c r="E708" s="244"/>
      <c r="F708" s="244"/>
      <c r="G708" s="244"/>
      <c r="H708" s="244"/>
      <c r="I708" s="244"/>
      <c r="J708" s="244"/>
      <c r="K708" s="244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</row>
    <row r="709" ht="14.25" customHeight="1">
      <c r="A709" s="244"/>
      <c r="B709" s="244"/>
      <c r="C709" s="244"/>
      <c r="D709" s="244"/>
      <c r="E709" s="244"/>
      <c r="F709" s="244"/>
      <c r="G709" s="244"/>
      <c r="H709" s="244"/>
      <c r="I709" s="244"/>
      <c r="J709" s="244"/>
      <c r="K709" s="244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</row>
    <row r="710" ht="14.25" customHeight="1">
      <c r="A710" s="244"/>
      <c r="B710" s="244"/>
      <c r="C710" s="244"/>
      <c r="D710" s="244"/>
      <c r="E710" s="244"/>
      <c r="F710" s="244"/>
      <c r="G710" s="244"/>
      <c r="H710" s="244"/>
      <c r="I710" s="244"/>
      <c r="J710" s="244"/>
      <c r="K710" s="244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</row>
    <row r="711" ht="14.25" customHeight="1">
      <c r="A711" s="244"/>
      <c r="B711" s="244"/>
      <c r="C711" s="244"/>
      <c r="D711" s="244"/>
      <c r="E711" s="244"/>
      <c r="F711" s="244"/>
      <c r="G711" s="244"/>
      <c r="H711" s="244"/>
      <c r="I711" s="244"/>
      <c r="J711" s="244"/>
      <c r="K711" s="244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</row>
    <row r="712" ht="14.25" customHeight="1">
      <c r="A712" s="244"/>
      <c r="B712" s="244"/>
      <c r="C712" s="244"/>
      <c r="D712" s="244"/>
      <c r="E712" s="244"/>
      <c r="F712" s="244"/>
      <c r="G712" s="244"/>
      <c r="H712" s="244"/>
      <c r="I712" s="244"/>
      <c r="J712" s="244"/>
      <c r="K712" s="244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</row>
    <row r="713" ht="14.25" customHeight="1">
      <c r="A713" s="244"/>
      <c r="B713" s="244"/>
      <c r="C713" s="244"/>
      <c r="D713" s="244"/>
      <c r="E713" s="244"/>
      <c r="F713" s="244"/>
      <c r="G713" s="244"/>
      <c r="H713" s="244"/>
      <c r="I713" s="244"/>
      <c r="J713" s="244"/>
      <c r="K713" s="244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</row>
    <row r="714" ht="14.25" customHeight="1">
      <c r="A714" s="244"/>
      <c r="B714" s="244"/>
      <c r="C714" s="244"/>
      <c r="D714" s="244"/>
      <c r="E714" s="244"/>
      <c r="F714" s="244"/>
      <c r="G714" s="244"/>
      <c r="H714" s="244"/>
      <c r="I714" s="244"/>
      <c r="J714" s="244"/>
      <c r="K714" s="244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</row>
    <row r="715" ht="14.25" customHeight="1">
      <c r="A715" s="244"/>
      <c r="B715" s="244"/>
      <c r="C715" s="244"/>
      <c r="D715" s="244"/>
      <c r="E715" s="244"/>
      <c r="F715" s="244"/>
      <c r="G715" s="244"/>
      <c r="H715" s="244"/>
      <c r="I715" s="244"/>
      <c r="J715" s="244"/>
      <c r="K715" s="244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</row>
    <row r="716" ht="14.25" customHeight="1">
      <c r="A716" s="244"/>
      <c r="B716" s="244"/>
      <c r="C716" s="244"/>
      <c r="D716" s="244"/>
      <c r="E716" s="244"/>
      <c r="F716" s="244"/>
      <c r="G716" s="244"/>
      <c r="H716" s="244"/>
      <c r="I716" s="244"/>
      <c r="J716" s="244"/>
      <c r="K716" s="244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</row>
    <row r="717" ht="14.25" customHeight="1">
      <c r="A717" s="244"/>
      <c r="B717" s="244"/>
      <c r="C717" s="244"/>
      <c r="D717" s="244"/>
      <c r="E717" s="244"/>
      <c r="F717" s="244"/>
      <c r="G717" s="244"/>
      <c r="H717" s="244"/>
      <c r="I717" s="244"/>
      <c r="J717" s="244"/>
      <c r="K717" s="244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</row>
    <row r="718" ht="14.25" customHeight="1">
      <c r="A718" s="244"/>
      <c r="B718" s="244"/>
      <c r="C718" s="244"/>
      <c r="D718" s="244"/>
      <c r="E718" s="244"/>
      <c r="F718" s="244"/>
      <c r="G718" s="244"/>
      <c r="H718" s="244"/>
      <c r="I718" s="244"/>
      <c r="J718" s="244"/>
      <c r="K718" s="244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</row>
    <row r="719" ht="14.25" customHeight="1">
      <c r="A719" s="244"/>
      <c r="B719" s="244"/>
      <c r="C719" s="244"/>
      <c r="D719" s="244"/>
      <c r="E719" s="244"/>
      <c r="F719" s="244"/>
      <c r="G719" s="244"/>
      <c r="H719" s="244"/>
      <c r="I719" s="244"/>
      <c r="J719" s="244"/>
      <c r="K719" s="244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</row>
    <row r="720" ht="14.25" customHeight="1">
      <c r="A720" s="244"/>
      <c r="B720" s="244"/>
      <c r="C720" s="244"/>
      <c r="D720" s="244"/>
      <c r="E720" s="244"/>
      <c r="F720" s="244"/>
      <c r="G720" s="244"/>
      <c r="H720" s="244"/>
      <c r="I720" s="244"/>
      <c r="J720" s="244"/>
      <c r="K720" s="244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</row>
    <row r="721" ht="14.25" customHeight="1">
      <c r="A721" s="244"/>
      <c r="B721" s="244"/>
      <c r="C721" s="244"/>
      <c r="D721" s="244"/>
      <c r="E721" s="244"/>
      <c r="F721" s="244"/>
      <c r="G721" s="244"/>
      <c r="H721" s="244"/>
      <c r="I721" s="244"/>
      <c r="J721" s="244"/>
      <c r="K721" s="244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</row>
    <row r="722" ht="14.25" customHeight="1">
      <c r="A722" s="244"/>
      <c r="B722" s="244"/>
      <c r="C722" s="244"/>
      <c r="D722" s="244"/>
      <c r="E722" s="244"/>
      <c r="F722" s="244"/>
      <c r="G722" s="244"/>
      <c r="H722" s="244"/>
      <c r="I722" s="244"/>
      <c r="J722" s="244"/>
      <c r="K722" s="244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</row>
    <row r="723" ht="14.25" customHeight="1">
      <c r="A723" s="244"/>
      <c r="B723" s="244"/>
      <c r="C723" s="244"/>
      <c r="D723" s="244"/>
      <c r="E723" s="244"/>
      <c r="F723" s="244"/>
      <c r="G723" s="244"/>
      <c r="H723" s="244"/>
      <c r="I723" s="244"/>
      <c r="J723" s="244"/>
      <c r="K723" s="244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</row>
    <row r="724" ht="14.25" customHeight="1">
      <c r="A724" s="244"/>
      <c r="B724" s="244"/>
      <c r="C724" s="244"/>
      <c r="D724" s="244"/>
      <c r="E724" s="244"/>
      <c r="F724" s="244"/>
      <c r="G724" s="244"/>
      <c r="H724" s="244"/>
      <c r="I724" s="244"/>
      <c r="J724" s="244"/>
      <c r="K724" s="244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</row>
    <row r="725" ht="14.25" customHeight="1">
      <c r="A725" s="244"/>
      <c r="B725" s="244"/>
      <c r="C725" s="244"/>
      <c r="D725" s="244"/>
      <c r="E725" s="244"/>
      <c r="F725" s="244"/>
      <c r="G725" s="244"/>
      <c r="H725" s="244"/>
      <c r="I725" s="244"/>
      <c r="J725" s="244"/>
      <c r="K725" s="244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</row>
    <row r="726" ht="14.25" customHeight="1">
      <c r="A726" s="244"/>
      <c r="B726" s="244"/>
      <c r="C726" s="244"/>
      <c r="D726" s="244"/>
      <c r="E726" s="244"/>
      <c r="F726" s="244"/>
      <c r="G726" s="244"/>
      <c r="H726" s="244"/>
      <c r="I726" s="244"/>
      <c r="J726" s="244"/>
      <c r="K726" s="244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</row>
    <row r="727" ht="14.25" customHeight="1">
      <c r="A727" s="244"/>
      <c r="B727" s="244"/>
      <c r="C727" s="244"/>
      <c r="D727" s="244"/>
      <c r="E727" s="244"/>
      <c r="F727" s="244"/>
      <c r="G727" s="244"/>
      <c r="H727" s="244"/>
      <c r="I727" s="244"/>
      <c r="J727" s="244"/>
      <c r="K727" s="244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</row>
    <row r="728" ht="14.25" customHeight="1">
      <c r="A728" s="244"/>
      <c r="B728" s="244"/>
      <c r="C728" s="244"/>
      <c r="D728" s="244"/>
      <c r="E728" s="244"/>
      <c r="F728" s="244"/>
      <c r="G728" s="244"/>
      <c r="H728" s="244"/>
      <c r="I728" s="244"/>
      <c r="J728" s="244"/>
      <c r="K728" s="244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</row>
    <row r="729" ht="14.25" customHeight="1">
      <c r="A729" s="244"/>
      <c r="B729" s="244"/>
      <c r="C729" s="244"/>
      <c r="D729" s="244"/>
      <c r="E729" s="244"/>
      <c r="F729" s="244"/>
      <c r="G729" s="244"/>
      <c r="H729" s="244"/>
      <c r="I729" s="244"/>
      <c r="J729" s="244"/>
      <c r="K729" s="244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</row>
    <row r="730" ht="14.25" customHeight="1">
      <c r="A730" s="244"/>
      <c r="B730" s="244"/>
      <c r="C730" s="244"/>
      <c r="D730" s="244"/>
      <c r="E730" s="244"/>
      <c r="F730" s="244"/>
      <c r="G730" s="244"/>
      <c r="H730" s="244"/>
      <c r="I730" s="244"/>
      <c r="J730" s="244"/>
      <c r="K730" s="244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</row>
    <row r="731" ht="14.25" customHeight="1">
      <c r="A731" s="244"/>
      <c r="B731" s="244"/>
      <c r="C731" s="244"/>
      <c r="D731" s="244"/>
      <c r="E731" s="244"/>
      <c r="F731" s="244"/>
      <c r="G731" s="244"/>
      <c r="H731" s="244"/>
      <c r="I731" s="244"/>
      <c r="J731" s="244"/>
      <c r="K731" s="244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</row>
    <row r="732" ht="14.25" customHeight="1">
      <c r="A732" s="244"/>
      <c r="B732" s="244"/>
      <c r="C732" s="244"/>
      <c r="D732" s="244"/>
      <c r="E732" s="244"/>
      <c r="F732" s="244"/>
      <c r="G732" s="244"/>
      <c r="H732" s="244"/>
      <c r="I732" s="244"/>
      <c r="J732" s="244"/>
      <c r="K732" s="244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</row>
    <row r="733" ht="14.25" customHeight="1">
      <c r="A733" s="244"/>
      <c r="B733" s="244"/>
      <c r="C733" s="244"/>
      <c r="D733" s="244"/>
      <c r="E733" s="244"/>
      <c r="F733" s="244"/>
      <c r="G733" s="244"/>
      <c r="H733" s="244"/>
      <c r="I733" s="244"/>
      <c r="J733" s="244"/>
      <c r="K733" s="244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</row>
    <row r="734" ht="14.25" customHeight="1">
      <c r="A734" s="244"/>
      <c r="B734" s="244"/>
      <c r="C734" s="244"/>
      <c r="D734" s="244"/>
      <c r="E734" s="244"/>
      <c r="F734" s="244"/>
      <c r="G734" s="244"/>
      <c r="H734" s="244"/>
      <c r="I734" s="244"/>
      <c r="J734" s="244"/>
      <c r="K734" s="244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</row>
    <row r="735" ht="14.25" customHeight="1">
      <c r="A735" s="244"/>
      <c r="B735" s="244"/>
      <c r="C735" s="244"/>
      <c r="D735" s="244"/>
      <c r="E735" s="244"/>
      <c r="F735" s="244"/>
      <c r="G735" s="244"/>
      <c r="H735" s="244"/>
      <c r="I735" s="244"/>
      <c r="J735" s="244"/>
      <c r="K735" s="244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</row>
    <row r="736" ht="14.25" customHeight="1">
      <c r="A736" s="244"/>
      <c r="B736" s="244"/>
      <c r="C736" s="244"/>
      <c r="D736" s="244"/>
      <c r="E736" s="244"/>
      <c r="F736" s="244"/>
      <c r="G736" s="244"/>
      <c r="H736" s="244"/>
      <c r="I736" s="244"/>
      <c r="J736" s="244"/>
      <c r="K736" s="244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</row>
    <row r="737" ht="14.25" customHeight="1">
      <c r="A737" s="244"/>
      <c r="B737" s="244"/>
      <c r="C737" s="244"/>
      <c r="D737" s="244"/>
      <c r="E737" s="244"/>
      <c r="F737" s="244"/>
      <c r="G737" s="244"/>
      <c r="H737" s="244"/>
      <c r="I737" s="244"/>
      <c r="J737" s="244"/>
      <c r="K737" s="244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</row>
    <row r="738" ht="14.25" customHeight="1">
      <c r="A738" s="244"/>
      <c r="B738" s="244"/>
      <c r="C738" s="244"/>
      <c r="D738" s="244"/>
      <c r="E738" s="244"/>
      <c r="F738" s="244"/>
      <c r="G738" s="244"/>
      <c r="H738" s="244"/>
      <c r="I738" s="244"/>
      <c r="J738" s="244"/>
      <c r="K738" s="244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</row>
    <row r="739" ht="14.25" customHeight="1">
      <c r="A739" s="244"/>
      <c r="B739" s="244"/>
      <c r="C739" s="244"/>
      <c r="D739" s="244"/>
      <c r="E739" s="244"/>
      <c r="F739" s="244"/>
      <c r="G739" s="244"/>
      <c r="H739" s="244"/>
      <c r="I739" s="244"/>
      <c r="J739" s="244"/>
      <c r="K739" s="244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</row>
    <row r="740" ht="14.25" customHeight="1">
      <c r="A740" s="244"/>
      <c r="B740" s="244"/>
      <c r="C740" s="244"/>
      <c r="D740" s="244"/>
      <c r="E740" s="244"/>
      <c r="F740" s="244"/>
      <c r="G740" s="244"/>
      <c r="H740" s="244"/>
      <c r="I740" s="244"/>
      <c r="J740" s="244"/>
      <c r="K740" s="244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</row>
    <row r="741" ht="14.25" customHeight="1">
      <c r="A741" s="244"/>
      <c r="B741" s="244"/>
      <c r="C741" s="244"/>
      <c r="D741" s="244"/>
      <c r="E741" s="244"/>
      <c r="F741" s="244"/>
      <c r="G741" s="244"/>
      <c r="H741" s="244"/>
      <c r="I741" s="244"/>
      <c r="J741" s="244"/>
      <c r="K741" s="244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</row>
    <row r="742" ht="14.25" customHeight="1">
      <c r="A742" s="244"/>
      <c r="B742" s="244"/>
      <c r="C742" s="244"/>
      <c r="D742" s="244"/>
      <c r="E742" s="244"/>
      <c r="F742" s="244"/>
      <c r="G742" s="244"/>
      <c r="H742" s="244"/>
      <c r="I742" s="244"/>
      <c r="J742" s="244"/>
      <c r="K742" s="244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</row>
    <row r="743" ht="14.25" customHeight="1">
      <c r="A743" s="244"/>
      <c r="B743" s="244"/>
      <c r="C743" s="244"/>
      <c r="D743" s="244"/>
      <c r="E743" s="244"/>
      <c r="F743" s="244"/>
      <c r="G743" s="244"/>
      <c r="H743" s="244"/>
      <c r="I743" s="244"/>
      <c r="J743" s="244"/>
      <c r="K743" s="244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</row>
    <row r="744" ht="14.25" customHeight="1">
      <c r="A744" s="244"/>
      <c r="B744" s="244"/>
      <c r="C744" s="244"/>
      <c r="D744" s="244"/>
      <c r="E744" s="244"/>
      <c r="F744" s="244"/>
      <c r="G744" s="244"/>
      <c r="H744" s="244"/>
      <c r="I744" s="244"/>
      <c r="J744" s="244"/>
      <c r="K744" s="244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</row>
    <row r="745" ht="14.25" customHeight="1">
      <c r="A745" s="244"/>
      <c r="B745" s="244"/>
      <c r="C745" s="244"/>
      <c r="D745" s="244"/>
      <c r="E745" s="244"/>
      <c r="F745" s="244"/>
      <c r="G745" s="244"/>
      <c r="H745" s="244"/>
      <c r="I745" s="244"/>
      <c r="J745" s="244"/>
      <c r="K745" s="244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</row>
    <row r="746" ht="14.25" customHeight="1">
      <c r="A746" s="244"/>
      <c r="B746" s="244"/>
      <c r="C746" s="244"/>
      <c r="D746" s="244"/>
      <c r="E746" s="244"/>
      <c r="F746" s="244"/>
      <c r="G746" s="244"/>
      <c r="H746" s="244"/>
      <c r="I746" s="244"/>
      <c r="J746" s="244"/>
      <c r="K746" s="244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</row>
    <row r="747" ht="14.25" customHeight="1">
      <c r="A747" s="244"/>
      <c r="B747" s="244"/>
      <c r="C747" s="244"/>
      <c r="D747" s="244"/>
      <c r="E747" s="244"/>
      <c r="F747" s="244"/>
      <c r="G747" s="244"/>
      <c r="H747" s="244"/>
      <c r="I747" s="244"/>
      <c r="J747" s="244"/>
      <c r="K747" s="244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</row>
    <row r="748" ht="14.25" customHeight="1">
      <c r="A748" s="244"/>
      <c r="B748" s="244"/>
      <c r="C748" s="244"/>
      <c r="D748" s="244"/>
      <c r="E748" s="244"/>
      <c r="F748" s="244"/>
      <c r="G748" s="244"/>
      <c r="H748" s="244"/>
      <c r="I748" s="244"/>
      <c r="J748" s="244"/>
      <c r="K748" s="244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</row>
    <row r="749" ht="14.25" customHeight="1">
      <c r="A749" s="244"/>
      <c r="B749" s="244"/>
      <c r="C749" s="244"/>
      <c r="D749" s="244"/>
      <c r="E749" s="244"/>
      <c r="F749" s="244"/>
      <c r="G749" s="244"/>
      <c r="H749" s="244"/>
      <c r="I749" s="244"/>
      <c r="J749" s="244"/>
      <c r="K749" s="244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</row>
    <row r="750" ht="14.25" customHeight="1">
      <c r="A750" s="244"/>
      <c r="B750" s="244"/>
      <c r="C750" s="244"/>
      <c r="D750" s="244"/>
      <c r="E750" s="244"/>
      <c r="F750" s="244"/>
      <c r="G750" s="244"/>
      <c r="H750" s="244"/>
      <c r="I750" s="244"/>
      <c r="J750" s="244"/>
      <c r="K750" s="244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</row>
    <row r="751" ht="14.25" customHeight="1">
      <c r="A751" s="244"/>
      <c r="B751" s="244"/>
      <c r="C751" s="244"/>
      <c r="D751" s="244"/>
      <c r="E751" s="244"/>
      <c r="F751" s="244"/>
      <c r="G751" s="244"/>
      <c r="H751" s="244"/>
      <c r="I751" s="244"/>
      <c r="J751" s="244"/>
      <c r="K751" s="244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</row>
    <row r="752" ht="14.25" customHeight="1">
      <c r="A752" s="244"/>
      <c r="B752" s="244"/>
      <c r="C752" s="244"/>
      <c r="D752" s="244"/>
      <c r="E752" s="244"/>
      <c r="F752" s="244"/>
      <c r="G752" s="244"/>
      <c r="H752" s="244"/>
      <c r="I752" s="244"/>
      <c r="J752" s="244"/>
      <c r="K752" s="244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</row>
    <row r="753" ht="14.25" customHeight="1">
      <c r="A753" s="244"/>
      <c r="B753" s="244"/>
      <c r="C753" s="244"/>
      <c r="D753" s="244"/>
      <c r="E753" s="244"/>
      <c r="F753" s="244"/>
      <c r="G753" s="244"/>
      <c r="H753" s="244"/>
      <c r="I753" s="244"/>
      <c r="J753" s="244"/>
      <c r="K753" s="244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</row>
    <row r="754" ht="14.25" customHeight="1">
      <c r="A754" s="244"/>
      <c r="B754" s="244"/>
      <c r="C754" s="244"/>
      <c r="D754" s="244"/>
      <c r="E754" s="244"/>
      <c r="F754" s="244"/>
      <c r="G754" s="244"/>
      <c r="H754" s="244"/>
      <c r="I754" s="244"/>
      <c r="J754" s="244"/>
      <c r="K754" s="244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</row>
    <row r="755" ht="14.25" customHeight="1">
      <c r="A755" s="244"/>
      <c r="B755" s="244"/>
      <c r="C755" s="244"/>
      <c r="D755" s="244"/>
      <c r="E755" s="244"/>
      <c r="F755" s="244"/>
      <c r="G755" s="244"/>
      <c r="H755" s="244"/>
      <c r="I755" s="244"/>
      <c r="J755" s="244"/>
      <c r="K755" s="244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</row>
    <row r="756" ht="14.25" customHeight="1">
      <c r="A756" s="244"/>
      <c r="B756" s="244"/>
      <c r="C756" s="244"/>
      <c r="D756" s="244"/>
      <c r="E756" s="244"/>
      <c r="F756" s="244"/>
      <c r="G756" s="244"/>
      <c r="H756" s="244"/>
      <c r="I756" s="244"/>
      <c r="J756" s="244"/>
      <c r="K756" s="244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</row>
    <row r="757" ht="14.25" customHeight="1">
      <c r="A757" s="244"/>
      <c r="B757" s="244"/>
      <c r="C757" s="244"/>
      <c r="D757" s="244"/>
      <c r="E757" s="244"/>
      <c r="F757" s="244"/>
      <c r="G757" s="244"/>
      <c r="H757" s="244"/>
      <c r="I757" s="244"/>
      <c r="J757" s="244"/>
      <c r="K757" s="244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</row>
    <row r="758" ht="14.25" customHeight="1">
      <c r="A758" s="244"/>
      <c r="B758" s="244"/>
      <c r="C758" s="244"/>
      <c r="D758" s="244"/>
      <c r="E758" s="244"/>
      <c r="F758" s="244"/>
      <c r="G758" s="244"/>
      <c r="H758" s="244"/>
      <c r="I758" s="244"/>
      <c r="J758" s="244"/>
      <c r="K758" s="244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</row>
    <row r="759" ht="14.25" customHeight="1">
      <c r="A759" s="244"/>
      <c r="B759" s="244"/>
      <c r="C759" s="244"/>
      <c r="D759" s="244"/>
      <c r="E759" s="244"/>
      <c r="F759" s="244"/>
      <c r="G759" s="244"/>
      <c r="H759" s="244"/>
      <c r="I759" s="244"/>
      <c r="J759" s="244"/>
      <c r="K759" s="244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</row>
    <row r="760" ht="14.25" customHeight="1">
      <c r="A760" s="244"/>
      <c r="B760" s="244"/>
      <c r="C760" s="244"/>
      <c r="D760" s="244"/>
      <c r="E760" s="244"/>
      <c r="F760" s="244"/>
      <c r="G760" s="244"/>
      <c r="H760" s="244"/>
      <c r="I760" s="244"/>
      <c r="J760" s="244"/>
      <c r="K760" s="244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</row>
    <row r="761" ht="14.25" customHeight="1">
      <c r="A761" s="244"/>
      <c r="B761" s="244"/>
      <c r="C761" s="244"/>
      <c r="D761" s="244"/>
      <c r="E761" s="244"/>
      <c r="F761" s="244"/>
      <c r="G761" s="244"/>
      <c r="H761" s="244"/>
      <c r="I761" s="244"/>
      <c r="J761" s="244"/>
      <c r="K761" s="244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</row>
    <row r="762" ht="14.25" customHeight="1">
      <c r="A762" s="244"/>
      <c r="B762" s="244"/>
      <c r="C762" s="244"/>
      <c r="D762" s="244"/>
      <c r="E762" s="244"/>
      <c r="F762" s="244"/>
      <c r="G762" s="244"/>
      <c r="H762" s="244"/>
      <c r="I762" s="244"/>
      <c r="J762" s="244"/>
      <c r="K762" s="244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</row>
    <row r="763" ht="14.25" customHeight="1">
      <c r="A763" s="244"/>
      <c r="B763" s="244"/>
      <c r="C763" s="244"/>
      <c r="D763" s="244"/>
      <c r="E763" s="244"/>
      <c r="F763" s="244"/>
      <c r="G763" s="244"/>
      <c r="H763" s="244"/>
      <c r="I763" s="244"/>
      <c r="J763" s="244"/>
      <c r="K763" s="244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</row>
    <row r="764" ht="14.25" customHeight="1">
      <c r="A764" s="244"/>
      <c r="B764" s="244"/>
      <c r="C764" s="244"/>
      <c r="D764" s="244"/>
      <c r="E764" s="244"/>
      <c r="F764" s="244"/>
      <c r="G764" s="244"/>
      <c r="H764" s="244"/>
      <c r="I764" s="244"/>
      <c r="J764" s="244"/>
      <c r="K764" s="244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</row>
    <row r="765" ht="14.25" customHeight="1">
      <c r="A765" s="244"/>
      <c r="B765" s="244"/>
      <c r="C765" s="244"/>
      <c r="D765" s="244"/>
      <c r="E765" s="244"/>
      <c r="F765" s="244"/>
      <c r="G765" s="244"/>
      <c r="H765" s="244"/>
      <c r="I765" s="244"/>
      <c r="J765" s="244"/>
      <c r="K765" s="244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</row>
    <row r="766" ht="14.25" customHeight="1">
      <c r="A766" s="244"/>
      <c r="B766" s="244"/>
      <c r="C766" s="244"/>
      <c r="D766" s="244"/>
      <c r="E766" s="244"/>
      <c r="F766" s="244"/>
      <c r="G766" s="244"/>
      <c r="H766" s="244"/>
      <c r="I766" s="244"/>
      <c r="J766" s="244"/>
      <c r="K766" s="244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</row>
    <row r="767" ht="14.25" customHeight="1">
      <c r="A767" s="244"/>
      <c r="B767" s="244"/>
      <c r="C767" s="244"/>
      <c r="D767" s="244"/>
      <c r="E767" s="244"/>
      <c r="F767" s="244"/>
      <c r="G767" s="244"/>
      <c r="H767" s="244"/>
      <c r="I767" s="244"/>
      <c r="J767" s="244"/>
      <c r="K767" s="244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</row>
    <row r="768" ht="14.25" customHeight="1">
      <c r="A768" s="244"/>
      <c r="B768" s="244"/>
      <c r="C768" s="244"/>
      <c r="D768" s="244"/>
      <c r="E768" s="244"/>
      <c r="F768" s="244"/>
      <c r="G768" s="244"/>
      <c r="H768" s="244"/>
      <c r="I768" s="244"/>
      <c r="J768" s="244"/>
      <c r="K768" s="244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</row>
    <row r="769" ht="14.25" customHeight="1">
      <c r="A769" s="244"/>
      <c r="B769" s="244"/>
      <c r="C769" s="244"/>
      <c r="D769" s="244"/>
      <c r="E769" s="244"/>
      <c r="F769" s="244"/>
      <c r="G769" s="244"/>
      <c r="H769" s="244"/>
      <c r="I769" s="244"/>
      <c r="J769" s="244"/>
      <c r="K769" s="244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</row>
    <row r="770" ht="14.25" customHeight="1">
      <c r="A770" s="244"/>
      <c r="B770" s="244"/>
      <c r="C770" s="244"/>
      <c r="D770" s="244"/>
      <c r="E770" s="244"/>
      <c r="F770" s="244"/>
      <c r="G770" s="244"/>
      <c r="H770" s="244"/>
      <c r="I770" s="244"/>
      <c r="J770" s="244"/>
      <c r="K770" s="244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</row>
    <row r="771" ht="14.25" customHeight="1">
      <c r="A771" s="244"/>
      <c r="B771" s="244"/>
      <c r="C771" s="244"/>
      <c r="D771" s="244"/>
      <c r="E771" s="244"/>
      <c r="F771" s="244"/>
      <c r="G771" s="244"/>
      <c r="H771" s="244"/>
      <c r="I771" s="244"/>
      <c r="J771" s="244"/>
      <c r="K771" s="244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</row>
    <row r="772" ht="14.25" customHeight="1">
      <c r="A772" s="244"/>
      <c r="B772" s="244"/>
      <c r="C772" s="244"/>
      <c r="D772" s="244"/>
      <c r="E772" s="244"/>
      <c r="F772" s="244"/>
      <c r="G772" s="244"/>
      <c r="H772" s="244"/>
      <c r="I772" s="244"/>
      <c r="J772" s="244"/>
      <c r="K772" s="244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</row>
    <row r="773" ht="14.25" customHeight="1">
      <c r="A773" s="244"/>
      <c r="B773" s="244"/>
      <c r="C773" s="244"/>
      <c r="D773" s="244"/>
      <c r="E773" s="244"/>
      <c r="F773" s="244"/>
      <c r="G773" s="244"/>
      <c r="H773" s="244"/>
      <c r="I773" s="244"/>
      <c r="J773" s="244"/>
      <c r="K773" s="244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</row>
    <row r="774" ht="14.25" customHeight="1">
      <c r="A774" s="244"/>
      <c r="B774" s="244"/>
      <c r="C774" s="244"/>
      <c r="D774" s="244"/>
      <c r="E774" s="244"/>
      <c r="F774" s="244"/>
      <c r="G774" s="244"/>
      <c r="H774" s="244"/>
      <c r="I774" s="244"/>
      <c r="J774" s="244"/>
      <c r="K774" s="244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</row>
    <row r="775" ht="14.25" customHeight="1">
      <c r="A775" s="244"/>
      <c r="B775" s="244"/>
      <c r="C775" s="244"/>
      <c r="D775" s="244"/>
      <c r="E775" s="244"/>
      <c r="F775" s="244"/>
      <c r="G775" s="244"/>
      <c r="H775" s="244"/>
      <c r="I775" s="244"/>
      <c r="J775" s="244"/>
      <c r="K775" s="244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</row>
    <row r="776" ht="14.25" customHeight="1">
      <c r="A776" s="244"/>
      <c r="B776" s="244"/>
      <c r="C776" s="244"/>
      <c r="D776" s="244"/>
      <c r="E776" s="244"/>
      <c r="F776" s="244"/>
      <c r="G776" s="244"/>
      <c r="H776" s="244"/>
      <c r="I776" s="244"/>
      <c r="J776" s="244"/>
      <c r="K776" s="244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</row>
    <row r="777" ht="14.25" customHeight="1">
      <c r="A777" s="244"/>
      <c r="B777" s="244"/>
      <c r="C777" s="244"/>
      <c r="D777" s="244"/>
      <c r="E777" s="244"/>
      <c r="F777" s="244"/>
      <c r="G777" s="244"/>
      <c r="H777" s="244"/>
      <c r="I777" s="244"/>
      <c r="J777" s="244"/>
      <c r="K777" s="244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</row>
    <row r="778" ht="14.25" customHeight="1">
      <c r="A778" s="244"/>
      <c r="B778" s="244"/>
      <c r="C778" s="244"/>
      <c r="D778" s="244"/>
      <c r="E778" s="244"/>
      <c r="F778" s="244"/>
      <c r="G778" s="244"/>
      <c r="H778" s="244"/>
      <c r="I778" s="244"/>
      <c r="J778" s="244"/>
      <c r="K778" s="244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</row>
    <row r="779" ht="14.25" customHeight="1">
      <c r="A779" s="244"/>
      <c r="B779" s="244"/>
      <c r="C779" s="244"/>
      <c r="D779" s="244"/>
      <c r="E779" s="244"/>
      <c r="F779" s="244"/>
      <c r="G779" s="244"/>
      <c r="H779" s="244"/>
      <c r="I779" s="244"/>
      <c r="J779" s="244"/>
      <c r="K779" s="244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</row>
    <row r="780" ht="14.25" customHeight="1">
      <c r="A780" s="244"/>
      <c r="B780" s="244"/>
      <c r="C780" s="244"/>
      <c r="D780" s="244"/>
      <c r="E780" s="244"/>
      <c r="F780" s="244"/>
      <c r="G780" s="244"/>
      <c r="H780" s="244"/>
      <c r="I780" s="244"/>
      <c r="J780" s="244"/>
      <c r="K780" s="244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</row>
    <row r="781" ht="14.25" customHeight="1">
      <c r="A781" s="244"/>
      <c r="B781" s="244"/>
      <c r="C781" s="244"/>
      <c r="D781" s="244"/>
      <c r="E781" s="244"/>
      <c r="F781" s="244"/>
      <c r="G781" s="244"/>
      <c r="H781" s="244"/>
      <c r="I781" s="244"/>
      <c r="J781" s="244"/>
      <c r="K781" s="244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</row>
    <row r="782" ht="14.25" customHeight="1">
      <c r="A782" s="244"/>
      <c r="B782" s="244"/>
      <c r="C782" s="244"/>
      <c r="D782" s="244"/>
      <c r="E782" s="244"/>
      <c r="F782" s="244"/>
      <c r="G782" s="244"/>
      <c r="H782" s="244"/>
      <c r="I782" s="244"/>
      <c r="J782" s="244"/>
      <c r="K782" s="244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</row>
    <row r="783" ht="14.25" customHeight="1">
      <c r="A783" s="244"/>
      <c r="B783" s="244"/>
      <c r="C783" s="244"/>
      <c r="D783" s="244"/>
      <c r="E783" s="244"/>
      <c r="F783" s="244"/>
      <c r="G783" s="244"/>
      <c r="H783" s="244"/>
      <c r="I783" s="244"/>
      <c r="J783" s="244"/>
      <c r="K783" s="244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</row>
    <row r="784" ht="14.25" customHeight="1">
      <c r="A784" s="244"/>
      <c r="B784" s="244"/>
      <c r="C784" s="244"/>
      <c r="D784" s="244"/>
      <c r="E784" s="244"/>
      <c r="F784" s="244"/>
      <c r="G784" s="244"/>
      <c r="H784" s="244"/>
      <c r="I784" s="244"/>
      <c r="J784" s="244"/>
      <c r="K784" s="244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</row>
    <row r="785" ht="14.25" customHeight="1">
      <c r="A785" s="244"/>
      <c r="B785" s="244"/>
      <c r="C785" s="244"/>
      <c r="D785" s="244"/>
      <c r="E785" s="244"/>
      <c r="F785" s="244"/>
      <c r="G785" s="244"/>
      <c r="H785" s="244"/>
      <c r="I785" s="244"/>
      <c r="J785" s="244"/>
      <c r="K785" s="244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</row>
    <row r="786" ht="14.25" customHeight="1">
      <c r="A786" s="244"/>
      <c r="B786" s="244"/>
      <c r="C786" s="244"/>
      <c r="D786" s="244"/>
      <c r="E786" s="244"/>
      <c r="F786" s="244"/>
      <c r="G786" s="244"/>
      <c r="H786" s="244"/>
      <c r="I786" s="244"/>
      <c r="J786" s="244"/>
      <c r="K786" s="244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</row>
    <row r="787" ht="14.25" customHeight="1">
      <c r="A787" s="244"/>
      <c r="B787" s="244"/>
      <c r="C787" s="244"/>
      <c r="D787" s="244"/>
      <c r="E787" s="244"/>
      <c r="F787" s="244"/>
      <c r="G787" s="244"/>
      <c r="H787" s="244"/>
      <c r="I787" s="244"/>
      <c r="J787" s="244"/>
      <c r="K787" s="244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</row>
    <row r="788" ht="14.25" customHeight="1">
      <c r="A788" s="244"/>
      <c r="B788" s="244"/>
      <c r="C788" s="244"/>
      <c r="D788" s="244"/>
      <c r="E788" s="244"/>
      <c r="F788" s="244"/>
      <c r="G788" s="244"/>
      <c r="H788" s="244"/>
      <c r="I788" s="244"/>
      <c r="J788" s="244"/>
      <c r="K788" s="244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</row>
    <row r="789" ht="14.25" customHeight="1">
      <c r="A789" s="244"/>
      <c r="B789" s="244"/>
      <c r="C789" s="244"/>
      <c r="D789" s="244"/>
      <c r="E789" s="244"/>
      <c r="F789" s="244"/>
      <c r="G789" s="244"/>
      <c r="H789" s="244"/>
      <c r="I789" s="244"/>
      <c r="J789" s="244"/>
      <c r="K789" s="244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</row>
    <row r="790" ht="14.25" customHeight="1">
      <c r="A790" s="244"/>
      <c r="B790" s="244"/>
      <c r="C790" s="244"/>
      <c r="D790" s="244"/>
      <c r="E790" s="244"/>
      <c r="F790" s="244"/>
      <c r="G790" s="244"/>
      <c r="H790" s="244"/>
      <c r="I790" s="244"/>
      <c r="J790" s="244"/>
      <c r="K790" s="244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</row>
    <row r="791" ht="14.25" customHeight="1">
      <c r="A791" s="244"/>
      <c r="B791" s="244"/>
      <c r="C791" s="244"/>
      <c r="D791" s="244"/>
      <c r="E791" s="244"/>
      <c r="F791" s="244"/>
      <c r="G791" s="244"/>
      <c r="H791" s="244"/>
      <c r="I791" s="244"/>
      <c r="J791" s="244"/>
      <c r="K791" s="244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</row>
    <row r="792" ht="14.25" customHeight="1">
      <c r="A792" s="244"/>
      <c r="B792" s="244"/>
      <c r="C792" s="244"/>
      <c r="D792" s="244"/>
      <c r="E792" s="244"/>
      <c r="F792" s="244"/>
      <c r="G792" s="244"/>
      <c r="H792" s="244"/>
      <c r="I792" s="244"/>
      <c r="J792" s="244"/>
      <c r="K792" s="244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</row>
    <row r="793" ht="14.25" customHeight="1">
      <c r="A793" s="244"/>
      <c r="B793" s="244"/>
      <c r="C793" s="244"/>
      <c r="D793" s="244"/>
      <c r="E793" s="244"/>
      <c r="F793" s="244"/>
      <c r="G793" s="244"/>
      <c r="H793" s="244"/>
      <c r="I793" s="244"/>
      <c r="J793" s="244"/>
      <c r="K793" s="244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</row>
    <row r="794" ht="14.25" customHeight="1">
      <c r="A794" s="244"/>
      <c r="B794" s="244"/>
      <c r="C794" s="244"/>
      <c r="D794" s="244"/>
      <c r="E794" s="244"/>
      <c r="F794" s="244"/>
      <c r="G794" s="244"/>
      <c r="H794" s="244"/>
      <c r="I794" s="244"/>
      <c r="J794" s="244"/>
      <c r="K794" s="244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</row>
    <row r="795" ht="14.25" customHeight="1">
      <c r="A795" s="244"/>
      <c r="B795" s="244"/>
      <c r="C795" s="244"/>
      <c r="D795" s="244"/>
      <c r="E795" s="244"/>
      <c r="F795" s="244"/>
      <c r="G795" s="244"/>
      <c r="H795" s="244"/>
      <c r="I795" s="244"/>
      <c r="J795" s="244"/>
      <c r="K795" s="244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</row>
    <row r="796" ht="14.25" customHeight="1">
      <c r="A796" s="244"/>
      <c r="B796" s="244"/>
      <c r="C796" s="244"/>
      <c r="D796" s="244"/>
      <c r="E796" s="244"/>
      <c r="F796" s="244"/>
      <c r="G796" s="244"/>
      <c r="H796" s="244"/>
      <c r="I796" s="244"/>
      <c r="J796" s="244"/>
      <c r="K796" s="244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</row>
    <row r="797" ht="14.25" customHeight="1">
      <c r="A797" s="244"/>
      <c r="B797" s="244"/>
      <c r="C797" s="244"/>
      <c r="D797" s="244"/>
      <c r="E797" s="244"/>
      <c r="F797" s="244"/>
      <c r="G797" s="244"/>
      <c r="H797" s="244"/>
      <c r="I797" s="244"/>
      <c r="J797" s="244"/>
      <c r="K797" s="244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</row>
    <row r="798" ht="14.25" customHeight="1">
      <c r="A798" s="244"/>
      <c r="B798" s="244"/>
      <c r="C798" s="244"/>
      <c r="D798" s="244"/>
      <c r="E798" s="244"/>
      <c r="F798" s="244"/>
      <c r="G798" s="244"/>
      <c r="H798" s="244"/>
      <c r="I798" s="244"/>
      <c r="J798" s="244"/>
      <c r="K798" s="244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</row>
    <row r="799" ht="14.25" customHeight="1">
      <c r="A799" s="244"/>
      <c r="B799" s="244"/>
      <c r="C799" s="244"/>
      <c r="D799" s="244"/>
      <c r="E799" s="244"/>
      <c r="F799" s="244"/>
      <c r="G799" s="244"/>
      <c r="H799" s="244"/>
      <c r="I799" s="244"/>
      <c r="J799" s="244"/>
      <c r="K799" s="244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</row>
    <row r="800" ht="14.25" customHeight="1">
      <c r="A800" s="244"/>
      <c r="B800" s="244"/>
      <c r="C800" s="244"/>
      <c r="D800" s="244"/>
      <c r="E800" s="244"/>
      <c r="F800" s="244"/>
      <c r="G800" s="244"/>
      <c r="H800" s="244"/>
      <c r="I800" s="244"/>
      <c r="J800" s="244"/>
      <c r="K800" s="244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</row>
    <row r="801" ht="14.25" customHeight="1">
      <c r="A801" s="244"/>
      <c r="B801" s="244"/>
      <c r="C801" s="244"/>
      <c r="D801" s="244"/>
      <c r="E801" s="244"/>
      <c r="F801" s="244"/>
      <c r="G801" s="244"/>
      <c r="H801" s="244"/>
      <c r="I801" s="244"/>
      <c r="J801" s="244"/>
      <c r="K801" s="244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</row>
    <row r="802" ht="14.25" customHeight="1">
      <c r="A802" s="244"/>
      <c r="B802" s="244"/>
      <c r="C802" s="244"/>
      <c r="D802" s="244"/>
      <c r="E802" s="244"/>
      <c r="F802" s="244"/>
      <c r="G802" s="244"/>
      <c r="H802" s="244"/>
      <c r="I802" s="244"/>
      <c r="J802" s="244"/>
      <c r="K802" s="244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</row>
    <row r="803" ht="14.25" customHeight="1">
      <c r="A803" s="244"/>
      <c r="B803" s="244"/>
      <c r="C803" s="244"/>
      <c r="D803" s="244"/>
      <c r="E803" s="244"/>
      <c r="F803" s="244"/>
      <c r="G803" s="244"/>
      <c r="H803" s="244"/>
      <c r="I803" s="244"/>
      <c r="J803" s="244"/>
      <c r="K803" s="244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</row>
    <row r="804" ht="14.25" customHeight="1">
      <c r="A804" s="244"/>
      <c r="B804" s="244"/>
      <c r="C804" s="244"/>
      <c r="D804" s="244"/>
      <c r="E804" s="244"/>
      <c r="F804" s="244"/>
      <c r="G804" s="244"/>
      <c r="H804" s="244"/>
      <c r="I804" s="244"/>
      <c r="J804" s="244"/>
      <c r="K804" s="244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</row>
    <row r="805" ht="14.25" customHeight="1">
      <c r="A805" s="244"/>
      <c r="B805" s="244"/>
      <c r="C805" s="244"/>
      <c r="D805" s="244"/>
      <c r="E805" s="244"/>
      <c r="F805" s="244"/>
      <c r="G805" s="244"/>
      <c r="H805" s="244"/>
      <c r="I805" s="244"/>
      <c r="J805" s="244"/>
      <c r="K805" s="244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</row>
    <row r="806" ht="14.25" customHeight="1">
      <c r="A806" s="244"/>
      <c r="B806" s="244"/>
      <c r="C806" s="244"/>
      <c r="D806" s="244"/>
      <c r="E806" s="244"/>
      <c r="F806" s="244"/>
      <c r="G806" s="244"/>
      <c r="H806" s="244"/>
      <c r="I806" s="244"/>
      <c r="J806" s="244"/>
      <c r="K806" s="244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</row>
    <row r="807" ht="14.25" customHeight="1">
      <c r="A807" s="244"/>
      <c r="B807" s="244"/>
      <c r="C807" s="244"/>
      <c r="D807" s="244"/>
      <c r="E807" s="244"/>
      <c r="F807" s="244"/>
      <c r="G807" s="244"/>
      <c r="H807" s="244"/>
      <c r="I807" s="244"/>
      <c r="J807" s="244"/>
      <c r="K807" s="244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</row>
    <row r="808" ht="14.25" customHeight="1">
      <c r="A808" s="244"/>
      <c r="B808" s="244"/>
      <c r="C808" s="244"/>
      <c r="D808" s="244"/>
      <c r="E808" s="244"/>
      <c r="F808" s="244"/>
      <c r="G808" s="244"/>
      <c r="H808" s="244"/>
      <c r="I808" s="244"/>
      <c r="J808" s="244"/>
      <c r="K808" s="244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</row>
    <row r="809" ht="14.25" customHeight="1">
      <c r="A809" s="244"/>
      <c r="B809" s="244"/>
      <c r="C809" s="244"/>
      <c r="D809" s="244"/>
      <c r="E809" s="244"/>
      <c r="F809" s="244"/>
      <c r="G809" s="244"/>
      <c r="H809" s="244"/>
      <c r="I809" s="244"/>
      <c r="J809" s="244"/>
      <c r="K809" s="244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</row>
    <row r="810" ht="14.25" customHeight="1">
      <c r="A810" s="244"/>
      <c r="B810" s="244"/>
      <c r="C810" s="244"/>
      <c r="D810" s="244"/>
      <c r="E810" s="244"/>
      <c r="F810" s="244"/>
      <c r="G810" s="244"/>
      <c r="H810" s="244"/>
      <c r="I810" s="244"/>
      <c r="J810" s="244"/>
      <c r="K810" s="244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</row>
    <row r="811" ht="14.25" customHeight="1">
      <c r="A811" s="244"/>
      <c r="B811" s="244"/>
      <c r="C811" s="244"/>
      <c r="D811" s="244"/>
      <c r="E811" s="244"/>
      <c r="F811" s="244"/>
      <c r="G811" s="244"/>
      <c r="H811" s="244"/>
      <c r="I811" s="244"/>
      <c r="J811" s="244"/>
      <c r="K811" s="244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</row>
    <row r="812" ht="14.25" customHeight="1">
      <c r="A812" s="244"/>
      <c r="B812" s="244"/>
      <c r="C812" s="244"/>
      <c r="D812" s="244"/>
      <c r="E812" s="244"/>
      <c r="F812" s="244"/>
      <c r="G812" s="244"/>
      <c r="H812" s="244"/>
      <c r="I812" s="244"/>
      <c r="J812" s="244"/>
      <c r="K812" s="244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</row>
    <row r="813" ht="14.25" customHeight="1">
      <c r="A813" s="244"/>
      <c r="B813" s="244"/>
      <c r="C813" s="244"/>
      <c r="D813" s="244"/>
      <c r="E813" s="244"/>
      <c r="F813" s="244"/>
      <c r="G813" s="244"/>
      <c r="H813" s="244"/>
      <c r="I813" s="244"/>
      <c r="J813" s="244"/>
      <c r="K813" s="244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</row>
    <row r="814" ht="14.25" customHeight="1">
      <c r="A814" s="244"/>
      <c r="B814" s="244"/>
      <c r="C814" s="244"/>
      <c r="D814" s="244"/>
      <c r="E814" s="244"/>
      <c r="F814" s="244"/>
      <c r="G814" s="244"/>
      <c r="H814" s="244"/>
      <c r="I814" s="244"/>
      <c r="J814" s="244"/>
      <c r="K814" s="244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</row>
    <row r="815" ht="14.25" customHeight="1">
      <c r="A815" s="244"/>
      <c r="B815" s="244"/>
      <c r="C815" s="244"/>
      <c r="D815" s="244"/>
      <c r="E815" s="244"/>
      <c r="F815" s="244"/>
      <c r="G815" s="244"/>
      <c r="H815" s="244"/>
      <c r="I815" s="244"/>
      <c r="J815" s="244"/>
      <c r="K815" s="244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</row>
    <row r="816" ht="14.25" customHeight="1">
      <c r="A816" s="244"/>
      <c r="B816" s="244"/>
      <c r="C816" s="244"/>
      <c r="D816" s="244"/>
      <c r="E816" s="244"/>
      <c r="F816" s="244"/>
      <c r="G816" s="244"/>
      <c r="H816" s="244"/>
      <c r="I816" s="244"/>
      <c r="J816" s="244"/>
      <c r="K816" s="244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</row>
    <row r="817" ht="14.25" customHeight="1">
      <c r="A817" s="244"/>
      <c r="B817" s="244"/>
      <c r="C817" s="244"/>
      <c r="D817" s="244"/>
      <c r="E817" s="244"/>
      <c r="F817" s="244"/>
      <c r="G817" s="244"/>
      <c r="H817" s="244"/>
      <c r="I817" s="244"/>
      <c r="J817" s="244"/>
      <c r="K817" s="244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</row>
    <row r="818" ht="14.25" customHeight="1">
      <c r="A818" s="244"/>
      <c r="B818" s="244"/>
      <c r="C818" s="244"/>
      <c r="D818" s="244"/>
      <c r="E818" s="244"/>
      <c r="F818" s="244"/>
      <c r="G818" s="244"/>
      <c r="H818" s="244"/>
      <c r="I818" s="244"/>
      <c r="J818" s="244"/>
      <c r="K818" s="244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</row>
    <row r="819" ht="14.25" customHeight="1">
      <c r="A819" s="244"/>
      <c r="B819" s="244"/>
      <c r="C819" s="244"/>
      <c r="D819" s="244"/>
      <c r="E819" s="244"/>
      <c r="F819" s="244"/>
      <c r="G819" s="244"/>
      <c r="H819" s="244"/>
      <c r="I819" s="244"/>
      <c r="J819" s="244"/>
      <c r="K819" s="244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</row>
    <row r="820" ht="14.25" customHeight="1">
      <c r="A820" s="244"/>
      <c r="B820" s="244"/>
      <c r="C820" s="244"/>
      <c r="D820" s="244"/>
      <c r="E820" s="244"/>
      <c r="F820" s="244"/>
      <c r="G820" s="244"/>
      <c r="H820" s="244"/>
      <c r="I820" s="244"/>
      <c r="J820" s="244"/>
      <c r="K820" s="244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</row>
    <row r="821" ht="14.25" customHeight="1">
      <c r="A821" s="244"/>
      <c r="B821" s="244"/>
      <c r="C821" s="244"/>
      <c r="D821" s="244"/>
      <c r="E821" s="244"/>
      <c r="F821" s="244"/>
      <c r="G821" s="244"/>
      <c r="H821" s="244"/>
      <c r="I821" s="244"/>
      <c r="J821" s="244"/>
      <c r="K821" s="244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</row>
    <row r="822" ht="14.25" customHeight="1">
      <c r="A822" s="244"/>
      <c r="B822" s="244"/>
      <c r="C822" s="244"/>
      <c r="D822" s="244"/>
      <c r="E822" s="244"/>
      <c r="F822" s="244"/>
      <c r="G822" s="244"/>
      <c r="H822" s="244"/>
      <c r="I822" s="244"/>
      <c r="J822" s="244"/>
      <c r="K822" s="244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</row>
    <row r="823" ht="14.25" customHeight="1">
      <c r="A823" s="244"/>
      <c r="B823" s="244"/>
      <c r="C823" s="244"/>
      <c r="D823" s="244"/>
      <c r="E823" s="244"/>
      <c r="F823" s="244"/>
      <c r="G823" s="244"/>
      <c r="H823" s="244"/>
      <c r="I823" s="244"/>
      <c r="J823" s="244"/>
      <c r="K823" s="244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</row>
    <row r="824" ht="14.25" customHeight="1">
      <c r="A824" s="244"/>
      <c r="B824" s="244"/>
      <c r="C824" s="244"/>
      <c r="D824" s="244"/>
      <c r="E824" s="244"/>
      <c r="F824" s="244"/>
      <c r="G824" s="244"/>
      <c r="H824" s="244"/>
      <c r="I824" s="244"/>
      <c r="J824" s="244"/>
      <c r="K824" s="244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</row>
    <row r="825" ht="14.25" customHeight="1">
      <c r="A825" s="244"/>
      <c r="B825" s="244"/>
      <c r="C825" s="244"/>
      <c r="D825" s="244"/>
      <c r="E825" s="244"/>
      <c r="F825" s="244"/>
      <c r="G825" s="244"/>
      <c r="H825" s="244"/>
      <c r="I825" s="244"/>
      <c r="J825" s="244"/>
      <c r="K825" s="244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</row>
    <row r="826" ht="14.25" customHeight="1">
      <c r="A826" s="244"/>
      <c r="B826" s="244"/>
      <c r="C826" s="244"/>
      <c r="D826" s="244"/>
      <c r="E826" s="244"/>
      <c r="F826" s="244"/>
      <c r="G826" s="244"/>
      <c r="H826" s="244"/>
      <c r="I826" s="244"/>
      <c r="J826" s="244"/>
      <c r="K826" s="244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</row>
    <row r="827" ht="14.25" customHeight="1">
      <c r="A827" s="244"/>
      <c r="B827" s="244"/>
      <c r="C827" s="244"/>
      <c r="D827" s="244"/>
      <c r="E827" s="244"/>
      <c r="F827" s="244"/>
      <c r="G827" s="244"/>
      <c r="H827" s="244"/>
      <c r="I827" s="244"/>
      <c r="J827" s="244"/>
      <c r="K827" s="244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</row>
    <row r="828" ht="14.25" customHeight="1">
      <c r="A828" s="244"/>
      <c r="B828" s="244"/>
      <c r="C828" s="244"/>
      <c r="D828" s="244"/>
      <c r="E828" s="244"/>
      <c r="F828" s="244"/>
      <c r="G828" s="244"/>
      <c r="H828" s="244"/>
      <c r="I828" s="244"/>
      <c r="J828" s="244"/>
      <c r="K828" s="244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</row>
    <row r="829" ht="14.25" customHeight="1">
      <c r="A829" s="244"/>
      <c r="B829" s="244"/>
      <c r="C829" s="244"/>
      <c r="D829" s="244"/>
      <c r="E829" s="244"/>
      <c r="F829" s="244"/>
      <c r="G829" s="244"/>
      <c r="H829" s="244"/>
      <c r="I829" s="244"/>
      <c r="J829" s="244"/>
      <c r="K829" s="244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</row>
    <row r="830" ht="14.25" customHeight="1">
      <c r="A830" s="244"/>
      <c r="B830" s="244"/>
      <c r="C830" s="244"/>
      <c r="D830" s="244"/>
      <c r="E830" s="244"/>
      <c r="F830" s="244"/>
      <c r="G830" s="244"/>
      <c r="H830" s="244"/>
      <c r="I830" s="244"/>
      <c r="J830" s="244"/>
      <c r="K830" s="244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</row>
    <row r="831" ht="14.25" customHeight="1">
      <c r="A831" s="244"/>
      <c r="B831" s="244"/>
      <c r="C831" s="244"/>
      <c r="D831" s="244"/>
      <c r="E831" s="244"/>
      <c r="F831" s="244"/>
      <c r="G831" s="244"/>
      <c r="H831" s="244"/>
      <c r="I831" s="244"/>
      <c r="J831" s="244"/>
      <c r="K831" s="244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</row>
    <row r="832" ht="14.25" customHeight="1">
      <c r="A832" s="244"/>
      <c r="B832" s="244"/>
      <c r="C832" s="244"/>
      <c r="D832" s="244"/>
      <c r="E832" s="244"/>
      <c r="F832" s="244"/>
      <c r="G832" s="244"/>
      <c r="H832" s="244"/>
      <c r="I832" s="244"/>
      <c r="J832" s="244"/>
      <c r="K832" s="244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</row>
    <row r="833" ht="14.25" customHeight="1">
      <c r="A833" s="244"/>
      <c r="B833" s="244"/>
      <c r="C833" s="244"/>
      <c r="D833" s="244"/>
      <c r="E833" s="244"/>
      <c r="F833" s="244"/>
      <c r="G833" s="244"/>
      <c r="H833" s="244"/>
      <c r="I833" s="244"/>
      <c r="J833" s="244"/>
      <c r="K833" s="244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</row>
    <row r="834" ht="14.25" customHeight="1">
      <c r="A834" s="244"/>
      <c r="B834" s="244"/>
      <c r="C834" s="244"/>
      <c r="D834" s="244"/>
      <c r="E834" s="244"/>
      <c r="F834" s="244"/>
      <c r="G834" s="244"/>
      <c r="H834" s="244"/>
      <c r="I834" s="244"/>
      <c r="J834" s="244"/>
      <c r="K834" s="244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</row>
    <row r="835" ht="14.25" customHeight="1">
      <c r="A835" s="244"/>
      <c r="B835" s="244"/>
      <c r="C835" s="244"/>
      <c r="D835" s="244"/>
      <c r="E835" s="244"/>
      <c r="F835" s="244"/>
      <c r="G835" s="244"/>
      <c r="H835" s="244"/>
      <c r="I835" s="244"/>
      <c r="J835" s="244"/>
      <c r="K835" s="244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</row>
    <row r="836" ht="14.25" customHeight="1">
      <c r="A836" s="244"/>
      <c r="B836" s="244"/>
      <c r="C836" s="244"/>
      <c r="D836" s="244"/>
      <c r="E836" s="244"/>
      <c r="F836" s="244"/>
      <c r="G836" s="244"/>
      <c r="H836" s="244"/>
      <c r="I836" s="244"/>
      <c r="J836" s="244"/>
      <c r="K836" s="244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</row>
    <row r="837" ht="14.25" customHeight="1">
      <c r="A837" s="244"/>
      <c r="B837" s="244"/>
      <c r="C837" s="244"/>
      <c r="D837" s="244"/>
      <c r="E837" s="244"/>
      <c r="F837" s="244"/>
      <c r="G837" s="244"/>
      <c r="H837" s="244"/>
      <c r="I837" s="244"/>
      <c r="J837" s="244"/>
      <c r="K837" s="244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</row>
    <row r="838" ht="14.25" customHeight="1">
      <c r="A838" s="244"/>
      <c r="B838" s="244"/>
      <c r="C838" s="244"/>
      <c r="D838" s="244"/>
      <c r="E838" s="244"/>
      <c r="F838" s="244"/>
      <c r="G838" s="244"/>
      <c r="H838" s="244"/>
      <c r="I838" s="244"/>
      <c r="J838" s="244"/>
      <c r="K838" s="244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</row>
    <row r="839" ht="14.25" customHeight="1">
      <c r="A839" s="244"/>
      <c r="B839" s="244"/>
      <c r="C839" s="244"/>
      <c r="D839" s="244"/>
      <c r="E839" s="244"/>
      <c r="F839" s="244"/>
      <c r="G839" s="244"/>
      <c r="H839" s="244"/>
      <c r="I839" s="244"/>
      <c r="J839" s="244"/>
      <c r="K839" s="244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</row>
    <row r="840" ht="14.25" customHeight="1">
      <c r="A840" s="244"/>
      <c r="B840" s="244"/>
      <c r="C840" s="244"/>
      <c r="D840" s="244"/>
      <c r="E840" s="244"/>
      <c r="F840" s="244"/>
      <c r="G840" s="244"/>
      <c r="H840" s="244"/>
      <c r="I840" s="244"/>
      <c r="J840" s="244"/>
      <c r="K840" s="244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</row>
    <row r="841" ht="14.25" customHeight="1">
      <c r="A841" s="244"/>
      <c r="B841" s="244"/>
      <c r="C841" s="244"/>
      <c r="D841" s="244"/>
      <c r="E841" s="244"/>
      <c r="F841" s="244"/>
      <c r="G841" s="244"/>
      <c r="H841" s="244"/>
      <c r="I841" s="244"/>
      <c r="J841" s="244"/>
      <c r="K841" s="244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</row>
    <row r="842" ht="14.25" customHeight="1">
      <c r="A842" s="244"/>
      <c r="B842" s="244"/>
      <c r="C842" s="244"/>
      <c r="D842" s="244"/>
      <c r="E842" s="244"/>
      <c r="F842" s="244"/>
      <c r="G842" s="244"/>
      <c r="H842" s="244"/>
      <c r="I842" s="244"/>
      <c r="J842" s="244"/>
      <c r="K842" s="244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</row>
    <row r="843" ht="14.25" customHeight="1">
      <c r="A843" s="244"/>
      <c r="B843" s="244"/>
      <c r="C843" s="244"/>
      <c r="D843" s="244"/>
      <c r="E843" s="244"/>
      <c r="F843" s="244"/>
      <c r="G843" s="244"/>
      <c r="H843" s="244"/>
      <c r="I843" s="244"/>
      <c r="J843" s="244"/>
      <c r="K843" s="244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</row>
    <row r="844" ht="14.25" customHeight="1">
      <c r="A844" s="244"/>
      <c r="B844" s="244"/>
      <c r="C844" s="244"/>
      <c r="D844" s="244"/>
      <c r="E844" s="244"/>
      <c r="F844" s="244"/>
      <c r="G844" s="244"/>
      <c r="H844" s="244"/>
      <c r="I844" s="244"/>
      <c r="J844" s="244"/>
      <c r="K844" s="244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</row>
    <row r="845" ht="14.25" customHeight="1">
      <c r="A845" s="244"/>
      <c r="B845" s="244"/>
      <c r="C845" s="244"/>
      <c r="D845" s="244"/>
      <c r="E845" s="244"/>
      <c r="F845" s="244"/>
      <c r="G845" s="244"/>
      <c r="H845" s="244"/>
      <c r="I845" s="244"/>
      <c r="J845" s="244"/>
      <c r="K845" s="244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</row>
    <row r="846" ht="14.25" customHeight="1">
      <c r="A846" s="244"/>
      <c r="B846" s="244"/>
      <c r="C846" s="244"/>
      <c r="D846" s="244"/>
      <c r="E846" s="244"/>
      <c r="F846" s="244"/>
      <c r="G846" s="244"/>
      <c r="H846" s="244"/>
      <c r="I846" s="244"/>
      <c r="J846" s="244"/>
      <c r="K846" s="244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</row>
    <row r="847" ht="14.25" customHeight="1">
      <c r="A847" s="244"/>
      <c r="B847" s="244"/>
      <c r="C847" s="244"/>
      <c r="D847" s="244"/>
      <c r="E847" s="244"/>
      <c r="F847" s="244"/>
      <c r="G847" s="244"/>
      <c r="H847" s="244"/>
      <c r="I847" s="244"/>
      <c r="J847" s="244"/>
      <c r="K847" s="244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</row>
    <row r="848" ht="14.25" customHeight="1">
      <c r="A848" s="244"/>
      <c r="B848" s="244"/>
      <c r="C848" s="244"/>
      <c r="D848" s="244"/>
      <c r="E848" s="244"/>
      <c r="F848" s="244"/>
      <c r="G848" s="244"/>
      <c r="H848" s="244"/>
      <c r="I848" s="244"/>
      <c r="J848" s="244"/>
      <c r="K848" s="244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</row>
    <row r="849" ht="14.25" customHeight="1">
      <c r="A849" s="244"/>
      <c r="B849" s="244"/>
      <c r="C849" s="244"/>
      <c r="D849" s="244"/>
      <c r="E849" s="244"/>
      <c r="F849" s="244"/>
      <c r="G849" s="244"/>
      <c r="H849" s="244"/>
      <c r="I849" s="244"/>
      <c r="J849" s="244"/>
      <c r="K849" s="244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</row>
    <row r="850" ht="14.25" customHeight="1">
      <c r="A850" s="244"/>
      <c r="B850" s="244"/>
      <c r="C850" s="244"/>
      <c r="D850" s="244"/>
      <c r="E850" s="244"/>
      <c r="F850" s="244"/>
      <c r="G850" s="244"/>
      <c r="H850" s="244"/>
      <c r="I850" s="244"/>
      <c r="J850" s="244"/>
      <c r="K850" s="244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</row>
    <row r="851" ht="14.25" customHeight="1">
      <c r="A851" s="244"/>
      <c r="B851" s="244"/>
      <c r="C851" s="244"/>
      <c r="D851" s="244"/>
      <c r="E851" s="244"/>
      <c r="F851" s="244"/>
      <c r="G851" s="244"/>
      <c r="H851" s="244"/>
      <c r="I851" s="244"/>
      <c r="J851" s="244"/>
      <c r="K851" s="244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</row>
    <row r="852" ht="14.25" customHeight="1">
      <c r="A852" s="244"/>
      <c r="B852" s="244"/>
      <c r="C852" s="244"/>
      <c r="D852" s="244"/>
      <c r="E852" s="244"/>
      <c r="F852" s="244"/>
      <c r="G852" s="244"/>
      <c r="H852" s="244"/>
      <c r="I852" s="244"/>
      <c r="J852" s="244"/>
      <c r="K852" s="244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</row>
    <row r="853" ht="14.25" customHeight="1">
      <c r="A853" s="244"/>
      <c r="B853" s="244"/>
      <c r="C853" s="244"/>
      <c r="D853" s="244"/>
      <c r="E853" s="244"/>
      <c r="F853" s="244"/>
      <c r="G853" s="244"/>
      <c r="H853" s="244"/>
      <c r="I853" s="244"/>
      <c r="J853" s="244"/>
      <c r="K853" s="244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</row>
    <row r="854" ht="14.25" customHeight="1">
      <c r="A854" s="244"/>
      <c r="B854" s="244"/>
      <c r="C854" s="244"/>
      <c r="D854" s="244"/>
      <c r="E854" s="244"/>
      <c r="F854" s="244"/>
      <c r="G854" s="244"/>
      <c r="H854" s="244"/>
      <c r="I854" s="244"/>
      <c r="J854" s="244"/>
      <c r="K854" s="244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</row>
    <row r="855" ht="14.25" customHeight="1">
      <c r="A855" s="244"/>
      <c r="B855" s="244"/>
      <c r="C855" s="244"/>
      <c r="D855" s="244"/>
      <c r="E855" s="244"/>
      <c r="F855" s="244"/>
      <c r="G855" s="244"/>
      <c r="H855" s="244"/>
      <c r="I855" s="244"/>
      <c r="J855" s="244"/>
      <c r="K855" s="244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</row>
    <row r="856" ht="14.25" customHeight="1">
      <c r="A856" s="244"/>
      <c r="B856" s="244"/>
      <c r="C856" s="244"/>
      <c r="D856" s="244"/>
      <c r="E856" s="244"/>
      <c r="F856" s="244"/>
      <c r="G856" s="244"/>
      <c r="H856" s="244"/>
      <c r="I856" s="244"/>
      <c r="J856" s="244"/>
      <c r="K856" s="244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</row>
    <row r="857" ht="14.25" customHeight="1">
      <c r="A857" s="244"/>
      <c r="B857" s="244"/>
      <c r="C857" s="244"/>
      <c r="D857" s="244"/>
      <c r="E857" s="244"/>
      <c r="F857" s="244"/>
      <c r="G857" s="244"/>
      <c r="H857" s="244"/>
      <c r="I857" s="244"/>
      <c r="J857" s="244"/>
      <c r="K857" s="244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</row>
    <row r="858" ht="14.25" customHeight="1">
      <c r="A858" s="244"/>
      <c r="B858" s="244"/>
      <c r="C858" s="244"/>
      <c r="D858" s="244"/>
      <c r="E858" s="244"/>
      <c r="F858" s="244"/>
      <c r="G858" s="244"/>
      <c r="H858" s="244"/>
      <c r="I858" s="244"/>
      <c r="J858" s="244"/>
      <c r="K858" s="244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</row>
    <row r="859" ht="14.25" customHeight="1">
      <c r="A859" s="244"/>
      <c r="B859" s="244"/>
      <c r="C859" s="244"/>
      <c r="D859" s="244"/>
      <c r="E859" s="244"/>
      <c r="F859" s="244"/>
      <c r="G859" s="244"/>
      <c r="H859" s="244"/>
      <c r="I859" s="244"/>
      <c r="J859" s="244"/>
      <c r="K859" s="244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</row>
    <row r="860" ht="14.25" customHeight="1">
      <c r="A860" s="244"/>
      <c r="B860" s="244"/>
      <c r="C860" s="244"/>
      <c r="D860" s="244"/>
      <c r="E860" s="244"/>
      <c r="F860" s="244"/>
      <c r="G860" s="244"/>
      <c r="H860" s="244"/>
      <c r="I860" s="244"/>
      <c r="J860" s="244"/>
      <c r="K860" s="244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</row>
    <row r="861" ht="14.25" customHeight="1">
      <c r="A861" s="244"/>
      <c r="B861" s="244"/>
      <c r="C861" s="244"/>
      <c r="D861" s="244"/>
      <c r="E861" s="244"/>
      <c r="F861" s="244"/>
      <c r="G861" s="244"/>
      <c r="H861" s="244"/>
      <c r="I861" s="244"/>
      <c r="J861" s="244"/>
      <c r="K861" s="244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</row>
    <row r="862" ht="14.25" customHeight="1">
      <c r="A862" s="244"/>
      <c r="B862" s="244"/>
      <c r="C862" s="244"/>
      <c r="D862" s="244"/>
      <c r="E862" s="244"/>
      <c r="F862" s="244"/>
      <c r="G862" s="244"/>
      <c r="H862" s="244"/>
      <c r="I862" s="244"/>
      <c r="J862" s="244"/>
      <c r="K862" s="244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</row>
    <row r="863" ht="14.25" customHeight="1">
      <c r="A863" s="244"/>
      <c r="B863" s="244"/>
      <c r="C863" s="244"/>
      <c r="D863" s="244"/>
      <c r="E863" s="244"/>
      <c r="F863" s="244"/>
      <c r="G863" s="244"/>
      <c r="H863" s="244"/>
      <c r="I863" s="244"/>
      <c r="J863" s="244"/>
      <c r="K863" s="244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</row>
    <row r="864" ht="14.25" customHeight="1">
      <c r="A864" s="244"/>
      <c r="B864" s="244"/>
      <c r="C864" s="244"/>
      <c r="D864" s="244"/>
      <c r="E864" s="244"/>
      <c r="F864" s="244"/>
      <c r="G864" s="244"/>
      <c r="H864" s="244"/>
      <c r="I864" s="244"/>
      <c r="J864" s="244"/>
      <c r="K864" s="244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</row>
    <row r="865" ht="14.25" customHeight="1">
      <c r="A865" s="244"/>
      <c r="B865" s="244"/>
      <c r="C865" s="244"/>
      <c r="D865" s="244"/>
      <c r="E865" s="244"/>
      <c r="F865" s="244"/>
      <c r="G865" s="244"/>
      <c r="H865" s="244"/>
      <c r="I865" s="244"/>
      <c r="J865" s="244"/>
      <c r="K865" s="244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</row>
    <row r="866" ht="14.25" customHeight="1">
      <c r="A866" s="244"/>
      <c r="B866" s="244"/>
      <c r="C866" s="244"/>
      <c r="D866" s="244"/>
      <c r="E866" s="244"/>
      <c r="F866" s="244"/>
      <c r="G866" s="244"/>
      <c r="H866" s="244"/>
      <c r="I866" s="244"/>
      <c r="J866" s="244"/>
      <c r="K866" s="244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</row>
    <row r="867" ht="14.25" customHeight="1">
      <c r="A867" s="244"/>
      <c r="B867" s="244"/>
      <c r="C867" s="244"/>
      <c r="D867" s="244"/>
      <c r="E867" s="244"/>
      <c r="F867" s="244"/>
      <c r="G867" s="244"/>
      <c r="H867" s="244"/>
      <c r="I867" s="244"/>
      <c r="J867" s="244"/>
      <c r="K867" s="244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</row>
    <row r="868" ht="14.25" customHeight="1">
      <c r="A868" s="244"/>
      <c r="B868" s="244"/>
      <c r="C868" s="244"/>
      <c r="D868" s="244"/>
      <c r="E868" s="244"/>
      <c r="F868" s="244"/>
      <c r="G868" s="244"/>
      <c r="H868" s="244"/>
      <c r="I868" s="244"/>
      <c r="J868" s="244"/>
      <c r="K868" s="244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</row>
    <row r="869" ht="14.25" customHeight="1">
      <c r="A869" s="244"/>
      <c r="B869" s="244"/>
      <c r="C869" s="244"/>
      <c r="D869" s="244"/>
      <c r="E869" s="244"/>
      <c r="F869" s="244"/>
      <c r="G869" s="244"/>
      <c r="H869" s="244"/>
      <c r="I869" s="244"/>
      <c r="J869" s="244"/>
      <c r="K869" s="244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</row>
    <row r="870" ht="14.25" customHeight="1">
      <c r="A870" s="244"/>
      <c r="B870" s="244"/>
      <c r="C870" s="244"/>
      <c r="D870" s="244"/>
      <c r="E870" s="244"/>
      <c r="F870" s="244"/>
      <c r="G870" s="244"/>
      <c r="H870" s="244"/>
      <c r="I870" s="244"/>
      <c r="J870" s="244"/>
      <c r="K870" s="244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</row>
    <row r="871" ht="14.25" customHeight="1">
      <c r="A871" s="244"/>
      <c r="B871" s="244"/>
      <c r="C871" s="244"/>
      <c r="D871" s="244"/>
      <c r="E871" s="244"/>
      <c r="F871" s="244"/>
      <c r="G871" s="244"/>
      <c r="H871" s="244"/>
      <c r="I871" s="244"/>
      <c r="J871" s="244"/>
      <c r="K871" s="244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</row>
    <row r="872" ht="14.25" customHeight="1">
      <c r="A872" s="244"/>
      <c r="B872" s="244"/>
      <c r="C872" s="244"/>
      <c r="D872" s="244"/>
      <c r="E872" s="244"/>
      <c r="F872" s="244"/>
      <c r="G872" s="244"/>
      <c r="H872" s="244"/>
      <c r="I872" s="244"/>
      <c r="J872" s="244"/>
      <c r="K872" s="244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</row>
    <row r="873" ht="14.25" customHeight="1">
      <c r="A873" s="244"/>
      <c r="B873" s="244"/>
      <c r="C873" s="244"/>
      <c r="D873" s="244"/>
      <c r="E873" s="244"/>
      <c r="F873" s="244"/>
      <c r="G873" s="244"/>
      <c r="H873" s="244"/>
      <c r="I873" s="244"/>
      <c r="J873" s="244"/>
      <c r="K873" s="244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</row>
    <row r="874" ht="14.25" customHeight="1">
      <c r="A874" s="244"/>
      <c r="B874" s="244"/>
      <c r="C874" s="244"/>
      <c r="D874" s="244"/>
      <c r="E874" s="244"/>
      <c r="F874" s="244"/>
      <c r="G874" s="244"/>
      <c r="H874" s="244"/>
      <c r="I874" s="244"/>
      <c r="J874" s="244"/>
      <c r="K874" s="244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</row>
    <row r="875" ht="14.25" customHeight="1">
      <c r="A875" s="244"/>
      <c r="B875" s="244"/>
      <c r="C875" s="244"/>
      <c r="D875" s="244"/>
      <c r="E875" s="244"/>
      <c r="F875" s="244"/>
      <c r="G875" s="244"/>
      <c r="H875" s="244"/>
      <c r="I875" s="244"/>
      <c r="J875" s="244"/>
      <c r="K875" s="244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</row>
    <row r="876" ht="14.25" customHeight="1">
      <c r="A876" s="244"/>
      <c r="B876" s="244"/>
      <c r="C876" s="244"/>
      <c r="D876" s="244"/>
      <c r="E876" s="244"/>
      <c r="F876" s="244"/>
      <c r="G876" s="244"/>
      <c r="H876" s="244"/>
      <c r="I876" s="244"/>
      <c r="J876" s="244"/>
      <c r="K876" s="244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</row>
    <row r="877" ht="14.25" customHeight="1">
      <c r="A877" s="244"/>
      <c r="B877" s="244"/>
      <c r="C877" s="244"/>
      <c r="D877" s="244"/>
      <c r="E877" s="244"/>
      <c r="F877" s="244"/>
      <c r="G877" s="244"/>
      <c r="H877" s="244"/>
      <c r="I877" s="244"/>
      <c r="J877" s="244"/>
      <c r="K877" s="244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</row>
    <row r="878" ht="14.25" customHeight="1">
      <c r="A878" s="244"/>
      <c r="B878" s="244"/>
      <c r="C878" s="244"/>
      <c r="D878" s="244"/>
      <c r="E878" s="244"/>
      <c r="F878" s="244"/>
      <c r="G878" s="244"/>
      <c r="H878" s="244"/>
      <c r="I878" s="244"/>
      <c r="J878" s="244"/>
      <c r="K878" s="244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</row>
    <row r="879" ht="14.25" customHeight="1">
      <c r="A879" s="244"/>
      <c r="B879" s="244"/>
      <c r="C879" s="244"/>
      <c r="D879" s="244"/>
      <c r="E879" s="244"/>
      <c r="F879" s="244"/>
      <c r="G879" s="244"/>
      <c r="H879" s="244"/>
      <c r="I879" s="244"/>
      <c r="J879" s="244"/>
      <c r="K879" s="244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</row>
    <row r="880" ht="14.25" customHeight="1">
      <c r="A880" s="244"/>
      <c r="B880" s="244"/>
      <c r="C880" s="244"/>
      <c r="D880" s="244"/>
      <c r="E880" s="244"/>
      <c r="F880" s="244"/>
      <c r="G880" s="244"/>
      <c r="H880" s="244"/>
      <c r="I880" s="244"/>
      <c r="J880" s="244"/>
      <c r="K880" s="244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</row>
    <row r="881" ht="14.25" customHeight="1">
      <c r="A881" s="244"/>
      <c r="B881" s="244"/>
      <c r="C881" s="244"/>
      <c r="D881" s="244"/>
      <c r="E881" s="244"/>
      <c r="F881" s="244"/>
      <c r="G881" s="244"/>
      <c r="H881" s="244"/>
      <c r="I881" s="244"/>
      <c r="J881" s="244"/>
      <c r="K881" s="244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</row>
    <row r="882" ht="14.25" customHeight="1">
      <c r="A882" s="244"/>
      <c r="B882" s="244"/>
      <c r="C882" s="244"/>
      <c r="D882" s="244"/>
      <c r="E882" s="244"/>
      <c r="F882" s="244"/>
      <c r="G882" s="244"/>
      <c r="H882" s="244"/>
      <c r="I882" s="244"/>
      <c r="J882" s="244"/>
      <c r="K882" s="244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</row>
    <row r="883" ht="14.25" customHeight="1">
      <c r="A883" s="244"/>
      <c r="B883" s="244"/>
      <c r="C883" s="244"/>
      <c r="D883" s="244"/>
      <c r="E883" s="244"/>
      <c r="F883" s="244"/>
      <c r="G883" s="244"/>
      <c r="H883" s="244"/>
      <c r="I883" s="244"/>
      <c r="J883" s="244"/>
      <c r="K883" s="244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</row>
    <row r="884" ht="14.25" customHeight="1">
      <c r="A884" s="244"/>
      <c r="B884" s="244"/>
      <c r="C884" s="244"/>
      <c r="D884" s="244"/>
      <c r="E884" s="244"/>
      <c r="F884" s="244"/>
      <c r="G884" s="244"/>
      <c r="H884" s="244"/>
      <c r="I884" s="244"/>
      <c r="J884" s="244"/>
      <c r="K884" s="244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</row>
    <row r="885" ht="14.25" customHeight="1">
      <c r="A885" s="244"/>
      <c r="B885" s="244"/>
      <c r="C885" s="244"/>
      <c r="D885" s="244"/>
      <c r="E885" s="244"/>
      <c r="F885" s="244"/>
      <c r="G885" s="244"/>
      <c r="H885" s="244"/>
      <c r="I885" s="244"/>
      <c r="J885" s="244"/>
      <c r="K885" s="244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</row>
    <row r="886" ht="14.25" customHeight="1">
      <c r="A886" s="244"/>
      <c r="B886" s="244"/>
      <c r="C886" s="244"/>
      <c r="D886" s="244"/>
      <c r="E886" s="244"/>
      <c r="F886" s="244"/>
      <c r="G886" s="244"/>
      <c r="H886" s="244"/>
      <c r="I886" s="244"/>
      <c r="J886" s="244"/>
      <c r="K886" s="244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</row>
    <row r="887" ht="14.25" customHeight="1">
      <c r="A887" s="244"/>
      <c r="B887" s="244"/>
      <c r="C887" s="244"/>
      <c r="D887" s="244"/>
      <c r="E887" s="244"/>
      <c r="F887" s="244"/>
      <c r="G887" s="244"/>
      <c r="H887" s="244"/>
      <c r="I887" s="244"/>
      <c r="J887" s="244"/>
      <c r="K887" s="244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</row>
    <row r="888" ht="14.25" customHeight="1">
      <c r="A888" s="244"/>
      <c r="B888" s="244"/>
      <c r="C888" s="244"/>
      <c r="D888" s="244"/>
      <c r="E888" s="244"/>
      <c r="F888" s="244"/>
      <c r="G888" s="244"/>
      <c r="H888" s="244"/>
      <c r="I888" s="244"/>
      <c r="J888" s="244"/>
      <c r="K888" s="244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</row>
    <row r="889" ht="14.25" customHeight="1">
      <c r="A889" s="244"/>
      <c r="B889" s="244"/>
      <c r="C889" s="244"/>
      <c r="D889" s="244"/>
      <c r="E889" s="244"/>
      <c r="F889" s="244"/>
      <c r="G889" s="244"/>
      <c r="H889" s="244"/>
      <c r="I889" s="244"/>
      <c r="J889" s="244"/>
      <c r="K889" s="244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</row>
    <row r="890" ht="14.25" customHeight="1">
      <c r="A890" s="244"/>
      <c r="B890" s="244"/>
      <c r="C890" s="244"/>
      <c r="D890" s="244"/>
      <c r="E890" s="244"/>
      <c r="F890" s="244"/>
      <c r="G890" s="244"/>
      <c r="H890" s="244"/>
      <c r="I890" s="244"/>
      <c r="J890" s="244"/>
      <c r="K890" s="244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</row>
    <row r="891" ht="14.25" customHeight="1">
      <c r="A891" s="244"/>
      <c r="B891" s="244"/>
      <c r="C891" s="244"/>
      <c r="D891" s="244"/>
      <c r="E891" s="244"/>
      <c r="F891" s="244"/>
      <c r="G891" s="244"/>
      <c r="H891" s="244"/>
      <c r="I891" s="244"/>
      <c r="J891" s="244"/>
      <c r="K891" s="244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</row>
    <row r="892" ht="14.25" customHeight="1">
      <c r="A892" s="244"/>
      <c r="B892" s="244"/>
      <c r="C892" s="244"/>
      <c r="D892" s="244"/>
      <c r="E892" s="244"/>
      <c r="F892" s="244"/>
      <c r="G892" s="244"/>
      <c r="H892" s="244"/>
      <c r="I892" s="244"/>
      <c r="J892" s="244"/>
      <c r="K892" s="244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</row>
    <row r="893" ht="14.25" customHeight="1">
      <c r="A893" s="244"/>
      <c r="B893" s="244"/>
      <c r="C893" s="244"/>
      <c r="D893" s="244"/>
      <c r="E893" s="244"/>
      <c r="F893" s="244"/>
      <c r="G893" s="244"/>
      <c r="H893" s="244"/>
      <c r="I893" s="244"/>
      <c r="J893" s="244"/>
      <c r="K893" s="244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</row>
    <row r="894" ht="14.25" customHeight="1">
      <c r="A894" s="244"/>
      <c r="B894" s="244"/>
      <c r="C894" s="244"/>
      <c r="D894" s="244"/>
      <c r="E894" s="244"/>
      <c r="F894" s="244"/>
      <c r="G894" s="244"/>
      <c r="H894" s="244"/>
      <c r="I894" s="244"/>
      <c r="J894" s="244"/>
      <c r="K894" s="244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</row>
    <row r="895" ht="14.25" customHeight="1">
      <c r="A895" s="244"/>
      <c r="B895" s="244"/>
      <c r="C895" s="244"/>
      <c r="D895" s="244"/>
      <c r="E895" s="244"/>
      <c r="F895" s="244"/>
      <c r="G895" s="244"/>
      <c r="H895" s="244"/>
      <c r="I895" s="244"/>
      <c r="J895" s="244"/>
      <c r="K895" s="244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</row>
    <row r="896" ht="14.25" customHeight="1">
      <c r="A896" s="244"/>
      <c r="B896" s="244"/>
      <c r="C896" s="244"/>
      <c r="D896" s="244"/>
      <c r="E896" s="244"/>
      <c r="F896" s="244"/>
      <c r="G896" s="244"/>
      <c r="H896" s="244"/>
      <c r="I896" s="244"/>
      <c r="J896" s="244"/>
      <c r="K896" s="244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</row>
    <row r="897" ht="14.25" customHeight="1">
      <c r="A897" s="244"/>
      <c r="B897" s="244"/>
      <c r="C897" s="244"/>
      <c r="D897" s="244"/>
      <c r="E897" s="244"/>
      <c r="F897" s="244"/>
      <c r="G897" s="244"/>
      <c r="H897" s="244"/>
      <c r="I897" s="244"/>
      <c r="J897" s="244"/>
      <c r="K897" s="244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</row>
    <row r="898" ht="14.25" customHeight="1">
      <c r="A898" s="244"/>
      <c r="B898" s="244"/>
      <c r="C898" s="244"/>
      <c r="D898" s="244"/>
      <c r="E898" s="244"/>
      <c r="F898" s="244"/>
      <c r="G898" s="244"/>
      <c r="H898" s="244"/>
      <c r="I898" s="244"/>
      <c r="J898" s="244"/>
      <c r="K898" s="244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</row>
    <row r="899" ht="14.25" customHeight="1">
      <c r="A899" s="244"/>
      <c r="B899" s="244"/>
      <c r="C899" s="244"/>
      <c r="D899" s="244"/>
      <c r="E899" s="244"/>
      <c r="F899" s="244"/>
      <c r="G899" s="244"/>
      <c r="H899" s="244"/>
      <c r="I899" s="244"/>
      <c r="J899" s="244"/>
      <c r="K899" s="244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</row>
    <row r="900" ht="14.25" customHeight="1">
      <c r="A900" s="244"/>
      <c r="B900" s="244"/>
      <c r="C900" s="244"/>
      <c r="D900" s="244"/>
      <c r="E900" s="244"/>
      <c r="F900" s="244"/>
      <c r="G900" s="244"/>
      <c r="H900" s="244"/>
      <c r="I900" s="244"/>
      <c r="J900" s="244"/>
      <c r="K900" s="244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</row>
    <row r="901" ht="14.25" customHeight="1">
      <c r="A901" s="244"/>
      <c r="B901" s="244"/>
      <c r="C901" s="244"/>
      <c r="D901" s="244"/>
      <c r="E901" s="244"/>
      <c r="F901" s="244"/>
      <c r="G901" s="244"/>
      <c r="H901" s="244"/>
      <c r="I901" s="244"/>
      <c r="J901" s="244"/>
      <c r="K901" s="244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</row>
    <row r="902" ht="14.25" customHeight="1">
      <c r="A902" s="244"/>
      <c r="B902" s="244"/>
      <c r="C902" s="244"/>
      <c r="D902" s="244"/>
      <c r="E902" s="244"/>
      <c r="F902" s="244"/>
      <c r="G902" s="244"/>
      <c r="H902" s="244"/>
      <c r="I902" s="244"/>
      <c r="J902" s="244"/>
      <c r="K902" s="244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</row>
    <row r="903" ht="14.25" customHeight="1">
      <c r="A903" s="244"/>
      <c r="B903" s="244"/>
      <c r="C903" s="244"/>
      <c r="D903" s="244"/>
      <c r="E903" s="244"/>
      <c r="F903" s="244"/>
      <c r="G903" s="244"/>
      <c r="H903" s="244"/>
      <c r="I903" s="244"/>
      <c r="J903" s="244"/>
      <c r="K903" s="244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</row>
    <row r="904" ht="14.25" customHeight="1">
      <c r="A904" s="244"/>
      <c r="B904" s="244"/>
      <c r="C904" s="244"/>
      <c r="D904" s="244"/>
      <c r="E904" s="244"/>
      <c r="F904" s="244"/>
      <c r="G904" s="244"/>
      <c r="H904" s="244"/>
      <c r="I904" s="244"/>
      <c r="J904" s="244"/>
      <c r="K904" s="244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</row>
    <row r="905" ht="14.25" customHeight="1">
      <c r="A905" s="244"/>
      <c r="B905" s="244"/>
      <c r="C905" s="244"/>
      <c r="D905" s="244"/>
      <c r="E905" s="244"/>
      <c r="F905" s="244"/>
      <c r="G905" s="244"/>
      <c r="H905" s="244"/>
      <c r="I905" s="244"/>
      <c r="J905" s="244"/>
      <c r="K905" s="244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</row>
    <row r="906" ht="14.25" customHeight="1">
      <c r="A906" s="244"/>
      <c r="B906" s="244"/>
      <c r="C906" s="244"/>
      <c r="D906" s="244"/>
      <c r="E906" s="244"/>
      <c r="F906" s="244"/>
      <c r="G906" s="244"/>
      <c r="H906" s="244"/>
      <c r="I906" s="244"/>
      <c r="J906" s="244"/>
      <c r="K906" s="244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</row>
    <row r="907" ht="14.25" customHeight="1">
      <c r="A907" s="244"/>
      <c r="B907" s="244"/>
      <c r="C907" s="244"/>
      <c r="D907" s="244"/>
      <c r="E907" s="244"/>
      <c r="F907" s="244"/>
      <c r="G907" s="244"/>
      <c r="H907" s="244"/>
      <c r="I907" s="244"/>
      <c r="J907" s="244"/>
      <c r="K907" s="244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</row>
    <row r="908" ht="14.25" customHeight="1">
      <c r="A908" s="244"/>
      <c r="B908" s="244"/>
      <c r="C908" s="244"/>
      <c r="D908" s="244"/>
      <c r="E908" s="244"/>
      <c r="F908" s="244"/>
      <c r="G908" s="244"/>
      <c r="H908" s="244"/>
      <c r="I908" s="244"/>
      <c r="J908" s="244"/>
      <c r="K908" s="244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</row>
    <row r="909" ht="14.25" customHeight="1">
      <c r="A909" s="244"/>
      <c r="B909" s="244"/>
      <c r="C909" s="244"/>
      <c r="D909" s="244"/>
      <c r="E909" s="244"/>
      <c r="F909" s="244"/>
      <c r="G909" s="244"/>
      <c r="H909" s="244"/>
      <c r="I909" s="244"/>
      <c r="J909" s="244"/>
      <c r="K909" s="244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</row>
    <row r="910" ht="14.25" customHeight="1">
      <c r="A910" s="244"/>
      <c r="B910" s="244"/>
      <c r="C910" s="244"/>
      <c r="D910" s="244"/>
      <c r="E910" s="244"/>
      <c r="F910" s="244"/>
      <c r="G910" s="244"/>
      <c r="H910" s="244"/>
      <c r="I910" s="244"/>
      <c r="J910" s="244"/>
      <c r="K910" s="244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</row>
    <row r="911" ht="14.25" customHeight="1">
      <c r="A911" s="244"/>
      <c r="B911" s="244"/>
      <c r="C911" s="244"/>
      <c r="D911" s="244"/>
      <c r="E911" s="244"/>
      <c r="F911" s="244"/>
      <c r="G911" s="244"/>
      <c r="H911" s="244"/>
      <c r="I911" s="244"/>
      <c r="J911" s="244"/>
      <c r="K911" s="244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</row>
    <row r="912" ht="14.25" customHeight="1">
      <c r="A912" s="244"/>
      <c r="B912" s="244"/>
      <c r="C912" s="244"/>
      <c r="D912" s="244"/>
      <c r="E912" s="244"/>
      <c r="F912" s="244"/>
      <c r="G912" s="244"/>
      <c r="H912" s="244"/>
      <c r="I912" s="244"/>
      <c r="J912" s="244"/>
      <c r="K912" s="244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</row>
    <row r="913" ht="14.25" customHeight="1">
      <c r="A913" s="244"/>
      <c r="B913" s="244"/>
      <c r="C913" s="244"/>
      <c r="D913" s="244"/>
      <c r="E913" s="244"/>
      <c r="F913" s="244"/>
      <c r="G913" s="244"/>
      <c r="H913" s="244"/>
      <c r="I913" s="244"/>
      <c r="J913" s="244"/>
      <c r="K913" s="244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</row>
    <row r="914" ht="14.25" customHeight="1">
      <c r="A914" s="244"/>
      <c r="B914" s="244"/>
      <c r="C914" s="244"/>
      <c r="D914" s="244"/>
      <c r="E914" s="244"/>
      <c r="F914" s="244"/>
      <c r="G914" s="244"/>
      <c r="H914" s="244"/>
      <c r="I914" s="244"/>
      <c r="J914" s="244"/>
      <c r="K914" s="244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</row>
    <row r="915" ht="14.25" customHeight="1">
      <c r="A915" s="244"/>
      <c r="B915" s="244"/>
      <c r="C915" s="244"/>
      <c r="D915" s="244"/>
      <c r="E915" s="244"/>
      <c r="F915" s="244"/>
      <c r="G915" s="244"/>
      <c r="H915" s="244"/>
      <c r="I915" s="244"/>
      <c r="J915" s="244"/>
      <c r="K915" s="244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</row>
    <row r="916" ht="14.25" customHeight="1">
      <c r="A916" s="244"/>
      <c r="B916" s="244"/>
      <c r="C916" s="244"/>
      <c r="D916" s="244"/>
      <c r="E916" s="244"/>
      <c r="F916" s="244"/>
      <c r="G916" s="244"/>
      <c r="H916" s="244"/>
      <c r="I916" s="244"/>
      <c r="J916" s="244"/>
      <c r="K916" s="244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</row>
    <row r="917" ht="14.25" customHeight="1">
      <c r="A917" s="244"/>
      <c r="B917" s="244"/>
      <c r="C917" s="244"/>
      <c r="D917" s="244"/>
      <c r="E917" s="244"/>
      <c r="F917" s="244"/>
      <c r="G917" s="244"/>
      <c r="H917" s="244"/>
      <c r="I917" s="244"/>
      <c r="J917" s="244"/>
      <c r="K917" s="244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</row>
    <row r="918" ht="14.25" customHeight="1">
      <c r="A918" s="244"/>
      <c r="B918" s="244"/>
      <c r="C918" s="244"/>
      <c r="D918" s="244"/>
      <c r="E918" s="244"/>
      <c r="F918" s="244"/>
      <c r="G918" s="244"/>
      <c r="H918" s="244"/>
      <c r="I918" s="244"/>
      <c r="J918" s="244"/>
      <c r="K918" s="244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</row>
    <row r="919" ht="14.25" customHeight="1">
      <c r="A919" s="244"/>
      <c r="B919" s="244"/>
      <c r="C919" s="244"/>
      <c r="D919" s="244"/>
      <c r="E919" s="244"/>
      <c r="F919" s="244"/>
      <c r="G919" s="244"/>
      <c r="H919" s="244"/>
      <c r="I919" s="244"/>
      <c r="J919" s="244"/>
      <c r="K919" s="244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</row>
    <row r="920" ht="14.25" customHeight="1">
      <c r="A920" s="244"/>
      <c r="B920" s="244"/>
      <c r="C920" s="244"/>
      <c r="D920" s="244"/>
      <c r="E920" s="244"/>
      <c r="F920" s="244"/>
      <c r="G920" s="244"/>
      <c r="H920" s="244"/>
      <c r="I920" s="244"/>
      <c r="J920" s="244"/>
      <c r="K920" s="244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</row>
    <row r="921" ht="14.25" customHeight="1">
      <c r="A921" s="244"/>
      <c r="B921" s="244"/>
      <c r="C921" s="244"/>
      <c r="D921" s="244"/>
      <c r="E921" s="244"/>
      <c r="F921" s="244"/>
      <c r="G921" s="244"/>
      <c r="H921" s="244"/>
      <c r="I921" s="244"/>
      <c r="J921" s="244"/>
      <c r="K921" s="244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</row>
    <row r="922" ht="14.25" customHeight="1">
      <c r="A922" s="244"/>
      <c r="B922" s="244"/>
      <c r="C922" s="244"/>
      <c r="D922" s="244"/>
      <c r="E922" s="244"/>
      <c r="F922" s="244"/>
      <c r="G922" s="244"/>
      <c r="H922" s="244"/>
      <c r="I922" s="244"/>
      <c r="J922" s="244"/>
      <c r="K922" s="244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</row>
    <row r="923" ht="14.25" customHeight="1">
      <c r="A923" s="244"/>
      <c r="B923" s="244"/>
      <c r="C923" s="244"/>
      <c r="D923" s="244"/>
      <c r="E923" s="244"/>
      <c r="F923" s="244"/>
      <c r="G923" s="244"/>
      <c r="H923" s="244"/>
      <c r="I923" s="244"/>
      <c r="J923" s="244"/>
      <c r="K923" s="244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</row>
    <row r="924" ht="14.25" customHeight="1">
      <c r="A924" s="244"/>
      <c r="B924" s="244"/>
      <c r="C924" s="244"/>
      <c r="D924" s="244"/>
      <c r="E924" s="244"/>
      <c r="F924" s="244"/>
      <c r="G924" s="244"/>
      <c r="H924" s="244"/>
      <c r="I924" s="244"/>
      <c r="J924" s="244"/>
      <c r="K924" s="244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</row>
    <row r="925" ht="14.25" customHeight="1">
      <c r="A925" s="244"/>
      <c r="B925" s="244"/>
      <c r="C925" s="244"/>
      <c r="D925" s="244"/>
      <c r="E925" s="244"/>
      <c r="F925" s="244"/>
      <c r="G925" s="244"/>
      <c r="H925" s="244"/>
      <c r="I925" s="244"/>
      <c r="J925" s="244"/>
      <c r="K925" s="244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</row>
    <row r="926" ht="14.25" customHeight="1">
      <c r="A926" s="244"/>
      <c r="B926" s="244"/>
      <c r="C926" s="244"/>
      <c r="D926" s="244"/>
      <c r="E926" s="244"/>
      <c r="F926" s="244"/>
      <c r="G926" s="244"/>
      <c r="H926" s="244"/>
      <c r="I926" s="244"/>
      <c r="J926" s="244"/>
      <c r="K926" s="244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</row>
    <row r="927" ht="14.25" customHeight="1">
      <c r="A927" s="244"/>
      <c r="B927" s="244"/>
      <c r="C927" s="244"/>
      <c r="D927" s="244"/>
      <c r="E927" s="244"/>
      <c r="F927" s="244"/>
      <c r="G927" s="244"/>
      <c r="H927" s="244"/>
      <c r="I927" s="244"/>
      <c r="J927" s="244"/>
      <c r="K927" s="244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</row>
    <row r="928" ht="14.25" customHeight="1">
      <c r="A928" s="244"/>
      <c r="B928" s="244"/>
      <c r="C928" s="244"/>
      <c r="D928" s="244"/>
      <c r="E928" s="244"/>
      <c r="F928" s="244"/>
      <c r="G928" s="244"/>
      <c r="H928" s="244"/>
      <c r="I928" s="244"/>
      <c r="J928" s="244"/>
      <c r="K928" s="244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</row>
    <row r="929" ht="14.25" customHeight="1">
      <c r="A929" s="244"/>
      <c r="B929" s="244"/>
      <c r="C929" s="244"/>
      <c r="D929" s="244"/>
      <c r="E929" s="244"/>
      <c r="F929" s="244"/>
      <c r="G929" s="244"/>
      <c r="H929" s="244"/>
      <c r="I929" s="244"/>
      <c r="J929" s="244"/>
      <c r="K929" s="244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</row>
    <row r="930" ht="14.25" customHeight="1">
      <c r="A930" s="244"/>
      <c r="B930" s="244"/>
      <c r="C930" s="244"/>
      <c r="D930" s="244"/>
      <c r="E930" s="244"/>
      <c r="F930" s="244"/>
      <c r="G930" s="244"/>
      <c r="H930" s="244"/>
      <c r="I930" s="244"/>
      <c r="J930" s="244"/>
      <c r="K930" s="244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</row>
    <row r="931" ht="14.25" customHeight="1">
      <c r="A931" s="244"/>
      <c r="B931" s="244"/>
      <c r="C931" s="244"/>
      <c r="D931" s="244"/>
      <c r="E931" s="244"/>
      <c r="F931" s="244"/>
      <c r="G931" s="244"/>
      <c r="H931" s="244"/>
      <c r="I931" s="244"/>
      <c r="J931" s="244"/>
      <c r="K931" s="244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</row>
    <row r="932" ht="14.25" customHeight="1">
      <c r="A932" s="244"/>
      <c r="B932" s="244"/>
      <c r="C932" s="244"/>
      <c r="D932" s="244"/>
      <c r="E932" s="244"/>
      <c r="F932" s="244"/>
      <c r="G932" s="244"/>
      <c r="H932" s="244"/>
      <c r="I932" s="244"/>
      <c r="J932" s="244"/>
      <c r="K932" s="244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</row>
    <row r="933" ht="14.25" customHeight="1">
      <c r="A933" s="244"/>
      <c r="B933" s="244"/>
      <c r="C933" s="244"/>
      <c r="D933" s="244"/>
      <c r="E933" s="244"/>
      <c r="F933" s="244"/>
      <c r="G933" s="244"/>
      <c r="H933" s="244"/>
      <c r="I933" s="244"/>
      <c r="J933" s="244"/>
      <c r="K933" s="244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</row>
    <row r="934" ht="14.25" customHeight="1">
      <c r="A934" s="244"/>
      <c r="B934" s="244"/>
      <c r="C934" s="244"/>
      <c r="D934" s="244"/>
      <c r="E934" s="244"/>
      <c r="F934" s="244"/>
      <c r="G934" s="244"/>
      <c r="H934" s="244"/>
      <c r="I934" s="244"/>
      <c r="J934" s="244"/>
      <c r="K934" s="244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</row>
    <row r="935" ht="14.25" customHeight="1">
      <c r="A935" s="244"/>
      <c r="B935" s="244"/>
      <c r="C935" s="244"/>
      <c r="D935" s="244"/>
      <c r="E935" s="244"/>
      <c r="F935" s="244"/>
      <c r="G935" s="244"/>
      <c r="H935" s="244"/>
      <c r="I935" s="244"/>
      <c r="J935" s="244"/>
      <c r="K935" s="244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</row>
    <row r="936" ht="14.25" customHeight="1">
      <c r="A936" s="244"/>
      <c r="B936" s="244"/>
      <c r="C936" s="244"/>
      <c r="D936" s="244"/>
      <c r="E936" s="244"/>
      <c r="F936" s="244"/>
      <c r="G936" s="244"/>
      <c r="H936" s="244"/>
      <c r="I936" s="244"/>
      <c r="J936" s="244"/>
      <c r="K936" s="244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</row>
    <row r="937" ht="14.25" customHeight="1">
      <c r="A937" s="244"/>
      <c r="B937" s="244"/>
      <c r="C937" s="244"/>
      <c r="D937" s="244"/>
      <c r="E937" s="244"/>
      <c r="F937" s="244"/>
      <c r="G937" s="244"/>
      <c r="H937" s="244"/>
      <c r="I937" s="244"/>
      <c r="J937" s="244"/>
      <c r="K937" s="244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</row>
    <row r="938" ht="14.25" customHeight="1">
      <c r="A938" s="244"/>
      <c r="B938" s="244"/>
      <c r="C938" s="244"/>
      <c r="D938" s="244"/>
      <c r="E938" s="244"/>
      <c r="F938" s="244"/>
      <c r="G938" s="244"/>
      <c r="H938" s="244"/>
      <c r="I938" s="244"/>
      <c r="J938" s="244"/>
      <c r="K938" s="244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</row>
    <row r="939" ht="14.25" customHeight="1">
      <c r="A939" s="244"/>
      <c r="B939" s="244"/>
      <c r="C939" s="244"/>
      <c r="D939" s="244"/>
      <c r="E939" s="244"/>
      <c r="F939" s="244"/>
      <c r="G939" s="244"/>
      <c r="H939" s="244"/>
      <c r="I939" s="244"/>
      <c r="J939" s="244"/>
      <c r="K939" s="244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</row>
    <row r="940" ht="14.25" customHeight="1">
      <c r="A940" s="244"/>
      <c r="B940" s="244"/>
      <c r="C940" s="244"/>
      <c r="D940" s="244"/>
      <c r="E940" s="244"/>
      <c r="F940" s="244"/>
      <c r="G940" s="244"/>
      <c r="H940" s="244"/>
      <c r="I940" s="244"/>
      <c r="J940" s="244"/>
      <c r="K940" s="244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</row>
    <row r="941" ht="14.25" customHeight="1">
      <c r="A941" s="244"/>
      <c r="B941" s="244"/>
      <c r="C941" s="244"/>
      <c r="D941" s="244"/>
      <c r="E941" s="244"/>
      <c r="F941" s="244"/>
      <c r="G941" s="244"/>
      <c r="H941" s="244"/>
      <c r="I941" s="244"/>
      <c r="J941" s="244"/>
      <c r="K941" s="244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</row>
    <row r="942" ht="14.25" customHeight="1">
      <c r="A942" s="244"/>
      <c r="B942" s="244"/>
      <c r="C942" s="244"/>
      <c r="D942" s="244"/>
      <c r="E942" s="244"/>
      <c r="F942" s="244"/>
      <c r="G942" s="244"/>
      <c r="H942" s="244"/>
      <c r="I942" s="244"/>
      <c r="J942" s="244"/>
      <c r="K942" s="244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</row>
    <row r="943" ht="14.25" customHeight="1">
      <c r="A943" s="244"/>
      <c r="B943" s="244"/>
      <c r="C943" s="244"/>
      <c r="D943" s="244"/>
      <c r="E943" s="244"/>
      <c r="F943" s="244"/>
      <c r="G943" s="244"/>
      <c r="H943" s="244"/>
      <c r="I943" s="244"/>
      <c r="J943" s="244"/>
      <c r="K943" s="244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</row>
    <row r="944" ht="14.25" customHeight="1">
      <c r="A944" s="244"/>
      <c r="B944" s="244"/>
      <c r="C944" s="244"/>
      <c r="D944" s="244"/>
      <c r="E944" s="244"/>
      <c r="F944" s="244"/>
      <c r="G944" s="244"/>
      <c r="H944" s="244"/>
      <c r="I944" s="244"/>
      <c r="J944" s="244"/>
      <c r="K944" s="244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</row>
    <row r="945" ht="14.25" customHeight="1">
      <c r="A945" s="244"/>
      <c r="B945" s="244"/>
      <c r="C945" s="244"/>
      <c r="D945" s="244"/>
      <c r="E945" s="244"/>
      <c r="F945" s="244"/>
      <c r="G945" s="244"/>
      <c r="H945" s="244"/>
      <c r="I945" s="244"/>
      <c r="J945" s="244"/>
      <c r="K945" s="244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</row>
    <row r="946" ht="14.25" customHeight="1">
      <c r="A946" s="244"/>
      <c r="B946" s="244"/>
      <c r="C946" s="244"/>
      <c r="D946" s="244"/>
      <c r="E946" s="244"/>
      <c r="F946" s="244"/>
      <c r="G946" s="244"/>
      <c r="H946" s="244"/>
      <c r="I946" s="244"/>
      <c r="J946" s="244"/>
      <c r="K946" s="244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</row>
    <row r="947" ht="14.25" customHeight="1">
      <c r="A947" s="244"/>
      <c r="B947" s="244"/>
      <c r="C947" s="244"/>
      <c r="D947" s="244"/>
      <c r="E947" s="244"/>
      <c r="F947" s="244"/>
      <c r="G947" s="244"/>
      <c r="H947" s="244"/>
      <c r="I947" s="244"/>
      <c r="J947" s="244"/>
      <c r="K947" s="244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</row>
    <row r="948" ht="14.25" customHeight="1">
      <c r="A948" s="244"/>
      <c r="B948" s="244"/>
      <c r="C948" s="244"/>
      <c r="D948" s="244"/>
      <c r="E948" s="244"/>
      <c r="F948" s="244"/>
      <c r="G948" s="244"/>
      <c r="H948" s="244"/>
      <c r="I948" s="244"/>
      <c r="J948" s="244"/>
      <c r="K948" s="244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</row>
    <row r="949" ht="14.25" customHeight="1">
      <c r="A949" s="244"/>
      <c r="B949" s="244"/>
      <c r="C949" s="244"/>
      <c r="D949" s="244"/>
      <c r="E949" s="244"/>
      <c r="F949" s="244"/>
      <c r="G949" s="244"/>
      <c r="H949" s="244"/>
      <c r="I949" s="244"/>
      <c r="J949" s="244"/>
      <c r="K949" s="244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</row>
    <row r="950" ht="14.25" customHeight="1">
      <c r="A950" s="244"/>
      <c r="B950" s="244"/>
      <c r="C950" s="244"/>
      <c r="D950" s="244"/>
      <c r="E950" s="244"/>
      <c r="F950" s="244"/>
      <c r="G950" s="244"/>
      <c r="H950" s="244"/>
      <c r="I950" s="244"/>
      <c r="J950" s="244"/>
      <c r="K950" s="244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</row>
    <row r="951" ht="14.25" customHeight="1">
      <c r="A951" s="244"/>
      <c r="B951" s="244"/>
      <c r="C951" s="244"/>
      <c r="D951" s="244"/>
      <c r="E951" s="244"/>
      <c r="F951" s="244"/>
      <c r="G951" s="244"/>
      <c r="H951" s="244"/>
      <c r="I951" s="244"/>
      <c r="J951" s="244"/>
      <c r="K951" s="244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</row>
    <row r="952" ht="14.25" customHeight="1">
      <c r="A952" s="244"/>
      <c r="B952" s="244"/>
      <c r="C952" s="244"/>
      <c r="D952" s="244"/>
      <c r="E952" s="244"/>
      <c r="F952" s="244"/>
      <c r="G952" s="244"/>
      <c r="H952" s="244"/>
      <c r="I952" s="244"/>
      <c r="J952" s="244"/>
      <c r="K952" s="244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</row>
    <row r="953" ht="14.25" customHeight="1">
      <c r="A953" s="244"/>
      <c r="B953" s="244"/>
      <c r="C953" s="244"/>
      <c r="D953" s="244"/>
      <c r="E953" s="244"/>
      <c r="F953" s="244"/>
      <c r="G953" s="244"/>
      <c r="H953" s="244"/>
      <c r="I953" s="244"/>
      <c r="J953" s="244"/>
      <c r="K953" s="244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</row>
    <row r="954" ht="14.25" customHeight="1">
      <c r="A954" s="244"/>
      <c r="B954" s="244"/>
      <c r="C954" s="244"/>
      <c r="D954" s="244"/>
      <c r="E954" s="244"/>
      <c r="F954" s="244"/>
      <c r="G954" s="244"/>
      <c r="H954" s="244"/>
      <c r="I954" s="244"/>
      <c r="J954" s="244"/>
      <c r="K954" s="244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</row>
    <row r="955" ht="14.25" customHeight="1">
      <c r="A955" s="244"/>
      <c r="B955" s="244"/>
      <c r="C955" s="244"/>
      <c r="D955" s="244"/>
      <c r="E955" s="244"/>
      <c r="F955" s="244"/>
      <c r="G955" s="244"/>
      <c r="H955" s="244"/>
      <c r="I955" s="244"/>
      <c r="J955" s="244"/>
      <c r="K955" s="244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</row>
    <row r="956" ht="14.25" customHeight="1">
      <c r="A956" s="244"/>
      <c r="B956" s="244"/>
      <c r="C956" s="244"/>
      <c r="D956" s="244"/>
      <c r="E956" s="244"/>
      <c r="F956" s="244"/>
      <c r="G956" s="244"/>
      <c r="H956" s="244"/>
      <c r="I956" s="244"/>
      <c r="J956" s="244"/>
      <c r="K956" s="244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</row>
    <row r="957" ht="14.25" customHeight="1">
      <c r="A957" s="244"/>
      <c r="B957" s="244"/>
      <c r="C957" s="244"/>
      <c r="D957" s="244"/>
      <c r="E957" s="244"/>
      <c r="F957" s="244"/>
      <c r="G957" s="244"/>
      <c r="H957" s="244"/>
      <c r="I957" s="244"/>
      <c r="J957" s="244"/>
      <c r="K957" s="244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</row>
    <row r="958" ht="14.25" customHeight="1">
      <c r="A958" s="244"/>
      <c r="B958" s="244"/>
      <c r="C958" s="244"/>
      <c r="D958" s="244"/>
      <c r="E958" s="244"/>
      <c r="F958" s="244"/>
      <c r="G958" s="244"/>
      <c r="H958" s="244"/>
      <c r="I958" s="244"/>
      <c r="J958" s="244"/>
      <c r="K958" s="244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</row>
    <row r="959" ht="14.25" customHeight="1">
      <c r="A959" s="244"/>
      <c r="B959" s="244"/>
      <c r="C959" s="244"/>
      <c r="D959" s="244"/>
      <c r="E959" s="244"/>
      <c r="F959" s="244"/>
      <c r="G959" s="244"/>
      <c r="H959" s="244"/>
      <c r="I959" s="244"/>
      <c r="J959" s="244"/>
      <c r="K959" s="244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</row>
    <row r="960" ht="14.25" customHeight="1">
      <c r="A960" s="244"/>
      <c r="B960" s="244"/>
      <c r="C960" s="244"/>
      <c r="D960" s="244"/>
      <c r="E960" s="244"/>
      <c r="F960" s="244"/>
      <c r="G960" s="244"/>
      <c r="H960" s="244"/>
      <c r="I960" s="244"/>
      <c r="J960" s="244"/>
      <c r="K960" s="244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</row>
    <row r="961" ht="14.25" customHeight="1">
      <c r="A961" s="244"/>
      <c r="B961" s="244"/>
      <c r="C961" s="244"/>
      <c r="D961" s="244"/>
      <c r="E961" s="244"/>
      <c r="F961" s="244"/>
      <c r="G961" s="244"/>
      <c r="H961" s="244"/>
      <c r="I961" s="244"/>
      <c r="J961" s="244"/>
      <c r="K961" s="244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</row>
    <row r="962" ht="14.25" customHeight="1">
      <c r="A962" s="244"/>
      <c r="B962" s="244"/>
      <c r="C962" s="244"/>
      <c r="D962" s="244"/>
      <c r="E962" s="244"/>
      <c r="F962" s="244"/>
      <c r="G962" s="244"/>
      <c r="H962" s="244"/>
      <c r="I962" s="244"/>
      <c r="J962" s="244"/>
      <c r="K962" s="244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</row>
    <row r="963" ht="14.25" customHeight="1">
      <c r="A963" s="244"/>
      <c r="B963" s="244"/>
      <c r="C963" s="244"/>
      <c r="D963" s="244"/>
      <c r="E963" s="244"/>
      <c r="F963" s="244"/>
      <c r="G963" s="244"/>
      <c r="H963" s="244"/>
      <c r="I963" s="244"/>
      <c r="J963" s="244"/>
      <c r="K963" s="244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</row>
    <row r="964" ht="14.25" customHeight="1">
      <c r="A964" s="244"/>
      <c r="B964" s="244"/>
      <c r="C964" s="244"/>
      <c r="D964" s="244"/>
      <c r="E964" s="244"/>
      <c r="F964" s="244"/>
      <c r="G964" s="244"/>
      <c r="H964" s="244"/>
      <c r="I964" s="244"/>
      <c r="J964" s="244"/>
      <c r="K964" s="244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</row>
    <row r="965" ht="14.25" customHeight="1">
      <c r="A965" s="244"/>
      <c r="B965" s="244"/>
      <c r="C965" s="244"/>
      <c r="D965" s="244"/>
      <c r="E965" s="244"/>
      <c r="F965" s="244"/>
      <c r="G965" s="244"/>
      <c r="H965" s="244"/>
      <c r="I965" s="244"/>
      <c r="J965" s="244"/>
      <c r="K965" s="244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</row>
    <row r="966" ht="14.25" customHeight="1">
      <c r="A966" s="244"/>
      <c r="B966" s="244"/>
      <c r="C966" s="244"/>
      <c r="D966" s="244"/>
      <c r="E966" s="244"/>
      <c r="F966" s="244"/>
      <c r="G966" s="244"/>
      <c r="H966" s="244"/>
      <c r="I966" s="244"/>
      <c r="J966" s="244"/>
      <c r="K966" s="244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</row>
    <row r="967" ht="14.25" customHeight="1">
      <c r="A967" s="244"/>
      <c r="B967" s="244"/>
      <c r="C967" s="244"/>
      <c r="D967" s="244"/>
      <c r="E967" s="244"/>
      <c r="F967" s="244"/>
      <c r="G967" s="244"/>
      <c r="H967" s="244"/>
      <c r="I967" s="244"/>
      <c r="J967" s="244"/>
      <c r="K967" s="244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</row>
    <row r="968" ht="14.25" customHeight="1">
      <c r="A968" s="244"/>
      <c r="B968" s="244"/>
      <c r="C968" s="244"/>
      <c r="D968" s="244"/>
      <c r="E968" s="244"/>
      <c r="F968" s="244"/>
      <c r="G968" s="244"/>
      <c r="H968" s="244"/>
      <c r="I968" s="244"/>
      <c r="J968" s="244"/>
      <c r="K968" s="244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</row>
    <row r="969" ht="14.25" customHeight="1">
      <c r="A969" s="244"/>
      <c r="B969" s="244"/>
      <c r="C969" s="244"/>
      <c r="D969" s="244"/>
      <c r="E969" s="244"/>
      <c r="F969" s="244"/>
      <c r="G969" s="244"/>
      <c r="H969" s="244"/>
      <c r="I969" s="244"/>
      <c r="J969" s="244"/>
      <c r="K969" s="244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</row>
    <row r="970" ht="14.25" customHeight="1">
      <c r="A970" s="244"/>
      <c r="B970" s="244"/>
      <c r="C970" s="244"/>
      <c r="D970" s="244"/>
      <c r="E970" s="244"/>
      <c r="F970" s="244"/>
      <c r="G970" s="244"/>
      <c r="H970" s="244"/>
      <c r="I970" s="244"/>
      <c r="J970" s="244"/>
      <c r="K970" s="244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</row>
    <row r="971" ht="14.25" customHeight="1">
      <c r="A971" s="244"/>
      <c r="B971" s="244"/>
      <c r="C971" s="244"/>
      <c r="D971" s="244"/>
      <c r="E971" s="244"/>
      <c r="F971" s="244"/>
      <c r="G971" s="244"/>
      <c r="H971" s="244"/>
      <c r="I971" s="244"/>
      <c r="J971" s="244"/>
      <c r="K971" s="244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</row>
    <row r="972" ht="14.25" customHeight="1">
      <c r="A972" s="244"/>
      <c r="B972" s="244"/>
      <c r="C972" s="244"/>
      <c r="D972" s="244"/>
      <c r="E972" s="244"/>
      <c r="F972" s="244"/>
      <c r="G972" s="244"/>
      <c r="H972" s="244"/>
      <c r="I972" s="244"/>
      <c r="J972" s="244"/>
      <c r="K972" s="244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</row>
    <row r="973" ht="14.25" customHeight="1">
      <c r="A973" s="244"/>
      <c r="B973" s="244"/>
      <c r="C973" s="244"/>
      <c r="D973" s="244"/>
      <c r="E973" s="244"/>
      <c r="F973" s="244"/>
      <c r="G973" s="244"/>
      <c r="H973" s="244"/>
      <c r="I973" s="244"/>
      <c r="J973" s="244"/>
      <c r="K973" s="244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</row>
    <row r="974" ht="14.25" customHeight="1">
      <c r="A974" s="244"/>
      <c r="B974" s="244"/>
      <c r="C974" s="244"/>
      <c r="D974" s="244"/>
      <c r="E974" s="244"/>
      <c r="F974" s="244"/>
      <c r="G974" s="244"/>
      <c r="H974" s="244"/>
      <c r="I974" s="244"/>
      <c r="J974" s="244"/>
      <c r="K974" s="244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</row>
    <row r="975" ht="14.25" customHeight="1">
      <c r="A975" s="244"/>
      <c r="B975" s="244"/>
      <c r="C975" s="244"/>
      <c r="D975" s="244"/>
      <c r="E975" s="244"/>
      <c r="F975" s="244"/>
      <c r="G975" s="244"/>
      <c r="H975" s="244"/>
      <c r="I975" s="244"/>
      <c r="J975" s="244"/>
      <c r="K975" s="244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</row>
    <row r="976" ht="14.25" customHeight="1">
      <c r="A976" s="244"/>
      <c r="B976" s="244"/>
      <c r="C976" s="244"/>
      <c r="D976" s="244"/>
      <c r="E976" s="244"/>
      <c r="F976" s="244"/>
      <c r="G976" s="244"/>
      <c r="H976" s="244"/>
      <c r="I976" s="244"/>
      <c r="J976" s="244"/>
      <c r="K976" s="244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</row>
    <row r="977" ht="14.25" customHeight="1">
      <c r="A977" s="244"/>
      <c r="B977" s="244"/>
      <c r="C977" s="244"/>
      <c r="D977" s="244"/>
      <c r="E977" s="244"/>
      <c r="F977" s="244"/>
      <c r="G977" s="244"/>
      <c r="H977" s="244"/>
      <c r="I977" s="244"/>
      <c r="J977" s="244"/>
      <c r="K977" s="244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</row>
    <row r="978" ht="14.25" customHeight="1">
      <c r="A978" s="244"/>
      <c r="B978" s="244"/>
      <c r="C978" s="244"/>
      <c r="D978" s="244"/>
      <c r="E978" s="244"/>
      <c r="F978" s="244"/>
      <c r="G978" s="244"/>
      <c r="H978" s="244"/>
      <c r="I978" s="244"/>
      <c r="J978" s="244"/>
      <c r="K978" s="244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</row>
    <row r="979" ht="14.25" customHeight="1">
      <c r="A979" s="244"/>
      <c r="B979" s="244"/>
      <c r="C979" s="244"/>
      <c r="D979" s="244"/>
      <c r="E979" s="244"/>
      <c r="F979" s="244"/>
      <c r="G979" s="244"/>
      <c r="H979" s="244"/>
      <c r="I979" s="244"/>
      <c r="J979" s="244"/>
      <c r="K979" s="244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</row>
    <row r="980" ht="14.25" customHeight="1">
      <c r="A980" s="244"/>
      <c r="B980" s="244"/>
      <c r="C980" s="244"/>
      <c r="D980" s="244"/>
      <c r="E980" s="244"/>
      <c r="F980" s="244"/>
      <c r="G980" s="244"/>
      <c r="H980" s="244"/>
      <c r="I980" s="244"/>
      <c r="J980" s="244"/>
      <c r="K980" s="244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</row>
    <row r="981" ht="14.25" customHeight="1">
      <c r="A981" s="244"/>
      <c r="B981" s="244"/>
      <c r="C981" s="244"/>
      <c r="D981" s="244"/>
      <c r="E981" s="244"/>
      <c r="F981" s="244"/>
      <c r="G981" s="244"/>
      <c r="H981" s="244"/>
      <c r="I981" s="244"/>
      <c r="J981" s="244"/>
      <c r="K981" s="244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</row>
    <row r="982" ht="14.25" customHeight="1">
      <c r="A982" s="244"/>
      <c r="B982" s="244"/>
      <c r="C982" s="244"/>
      <c r="D982" s="244"/>
      <c r="E982" s="244"/>
      <c r="F982" s="244"/>
      <c r="G982" s="244"/>
      <c r="H982" s="244"/>
      <c r="I982" s="244"/>
      <c r="J982" s="244"/>
      <c r="K982" s="244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</row>
    <row r="983" ht="14.25" customHeight="1">
      <c r="A983" s="244"/>
      <c r="B983" s="244"/>
      <c r="C983" s="244"/>
      <c r="D983" s="244"/>
      <c r="E983" s="244"/>
      <c r="F983" s="244"/>
      <c r="G983" s="244"/>
      <c r="H983" s="244"/>
      <c r="I983" s="244"/>
      <c r="J983" s="244"/>
      <c r="K983" s="244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  <c r="AA983" s="245"/>
    </row>
    <row r="984" ht="14.25" customHeight="1">
      <c r="A984" s="244"/>
      <c r="B984" s="244"/>
      <c r="C984" s="244"/>
      <c r="D984" s="244"/>
      <c r="E984" s="244"/>
      <c r="F984" s="244"/>
      <c r="G984" s="244"/>
      <c r="H984" s="244"/>
      <c r="I984" s="244"/>
      <c r="J984" s="244"/>
      <c r="K984" s="244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  <c r="AA984" s="245"/>
    </row>
    <row r="985" ht="14.25" customHeight="1">
      <c r="A985" s="244"/>
      <c r="B985" s="244"/>
      <c r="C985" s="244"/>
      <c r="D985" s="244"/>
      <c r="E985" s="244"/>
      <c r="F985" s="244"/>
      <c r="G985" s="244"/>
      <c r="H985" s="244"/>
      <c r="I985" s="244"/>
      <c r="J985" s="244"/>
      <c r="K985" s="244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  <c r="AA985" s="245"/>
    </row>
    <row r="986" ht="14.25" customHeight="1">
      <c r="A986" s="244"/>
      <c r="B986" s="244"/>
      <c r="C986" s="244"/>
      <c r="D986" s="244"/>
      <c r="E986" s="244"/>
      <c r="F986" s="244"/>
      <c r="G986" s="244"/>
      <c r="H986" s="244"/>
      <c r="I986" s="244"/>
      <c r="J986" s="244"/>
      <c r="K986" s="244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  <c r="AA986" s="245"/>
    </row>
    <row r="987" ht="14.25" customHeight="1">
      <c r="A987" s="244"/>
      <c r="B987" s="244"/>
      <c r="C987" s="244"/>
      <c r="D987" s="244"/>
      <c r="E987" s="244"/>
      <c r="F987" s="244"/>
      <c r="G987" s="244"/>
      <c r="H987" s="244"/>
      <c r="I987" s="244"/>
      <c r="J987" s="244"/>
      <c r="K987" s="244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  <c r="AA987" s="245"/>
    </row>
    <row r="988" ht="14.25" customHeight="1">
      <c r="A988" s="244"/>
      <c r="B988" s="244"/>
      <c r="C988" s="244"/>
      <c r="D988" s="244"/>
      <c r="E988" s="244"/>
      <c r="F988" s="244"/>
      <c r="G988" s="244"/>
      <c r="H988" s="244"/>
      <c r="I988" s="244"/>
      <c r="J988" s="244"/>
      <c r="K988" s="244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  <c r="AA988" s="245"/>
    </row>
    <row r="989" ht="14.25" customHeight="1">
      <c r="A989" s="244"/>
      <c r="B989" s="244"/>
      <c r="C989" s="244"/>
      <c r="D989" s="244"/>
      <c r="E989" s="244"/>
      <c r="F989" s="244"/>
      <c r="G989" s="244"/>
      <c r="H989" s="244"/>
      <c r="I989" s="244"/>
      <c r="J989" s="244"/>
      <c r="K989" s="244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  <c r="AA989" s="245"/>
    </row>
    <row r="990" ht="14.25" customHeight="1">
      <c r="A990" s="244"/>
      <c r="B990" s="244"/>
      <c r="C990" s="244"/>
      <c r="D990" s="244"/>
      <c r="E990" s="244"/>
      <c r="F990" s="244"/>
      <c r="G990" s="244"/>
      <c r="H990" s="244"/>
      <c r="I990" s="244"/>
      <c r="J990" s="244"/>
      <c r="K990" s="244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  <c r="AA990" s="245"/>
    </row>
    <row r="991" ht="14.25" customHeight="1">
      <c r="A991" s="244"/>
      <c r="B991" s="244"/>
      <c r="C991" s="244"/>
      <c r="D991" s="244"/>
      <c r="E991" s="244"/>
      <c r="F991" s="244"/>
      <c r="G991" s="244"/>
      <c r="H991" s="244"/>
      <c r="I991" s="244"/>
      <c r="J991" s="244"/>
      <c r="K991" s="244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  <c r="AA991" s="245"/>
    </row>
    <row r="992" ht="14.25" customHeight="1">
      <c r="A992" s="244"/>
      <c r="B992" s="244"/>
      <c r="C992" s="244"/>
      <c r="D992" s="244"/>
      <c r="E992" s="244"/>
      <c r="F992" s="244"/>
      <c r="G992" s="244"/>
      <c r="H992" s="244"/>
      <c r="I992" s="244"/>
      <c r="J992" s="244"/>
      <c r="K992" s="244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  <c r="AA992" s="245"/>
    </row>
    <row r="993" ht="14.25" customHeight="1">
      <c r="A993" s="244"/>
      <c r="B993" s="244"/>
      <c r="C993" s="244"/>
      <c r="D993" s="244"/>
      <c r="E993" s="244"/>
      <c r="F993" s="244"/>
      <c r="G993" s="244"/>
      <c r="H993" s="244"/>
      <c r="I993" s="244"/>
      <c r="J993" s="244"/>
      <c r="K993" s="244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  <c r="AA993" s="245"/>
    </row>
    <row r="994" ht="14.25" customHeight="1">
      <c r="A994" s="244"/>
      <c r="B994" s="244"/>
      <c r="C994" s="244"/>
      <c r="D994" s="244"/>
      <c r="E994" s="244"/>
      <c r="F994" s="244"/>
      <c r="G994" s="244"/>
      <c r="H994" s="244"/>
      <c r="I994" s="244"/>
      <c r="J994" s="244"/>
      <c r="K994" s="244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  <c r="AA994" s="245"/>
    </row>
    <row r="995" ht="14.25" customHeight="1">
      <c r="A995" s="244"/>
      <c r="B995" s="244"/>
      <c r="C995" s="244"/>
      <c r="D995" s="244"/>
      <c r="E995" s="244"/>
      <c r="F995" s="244"/>
      <c r="G995" s="244"/>
      <c r="H995" s="244"/>
      <c r="I995" s="244"/>
      <c r="J995" s="244"/>
      <c r="K995" s="244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  <c r="AA995" s="245"/>
    </row>
    <row r="996" ht="14.25" customHeight="1">
      <c r="A996" s="244"/>
      <c r="B996" s="244"/>
      <c r="C996" s="244"/>
      <c r="D996" s="244"/>
      <c r="E996" s="244"/>
      <c r="F996" s="244"/>
      <c r="G996" s="244"/>
      <c r="H996" s="244"/>
      <c r="I996" s="244"/>
      <c r="J996" s="244"/>
      <c r="K996" s="244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  <c r="AA996" s="245"/>
    </row>
    <row r="997" ht="14.25" customHeight="1">
      <c r="A997" s="244"/>
      <c r="B997" s="244"/>
      <c r="C997" s="244"/>
      <c r="D997" s="244"/>
      <c r="E997" s="244"/>
      <c r="F997" s="244"/>
      <c r="G997" s="244"/>
      <c r="H997" s="244"/>
      <c r="I997" s="244"/>
      <c r="J997" s="244"/>
      <c r="K997" s="244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  <c r="AA997" s="245"/>
    </row>
    <row r="998" ht="14.25" customHeight="1">
      <c r="A998" s="244"/>
      <c r="B998" s="244"/>
      <c r="C998" s="244"/>
      <c r="D998" s="244"/>
      <c r="E998" s="244"/>
      <c r="F998" s="244"/>
      <c r="G998" s="244"/>
      <c r="H998" s="244"/>
      <c r="I998" s="244"/>
      <c r="J998" s="244"/>
      <c r="K998" s="244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  <c r="AA998" s="245"/>
    </row>
    <row r="999" ht="14.25" customHeight="1">
      <c r="A999" s="244"/>
      <c r="B999" s="244"/>
      <c r="C999" s="244"/>
      <c r="D999" s="244"/>
      <c r="E999" s="244"/>
      <c r="F999" s="244"/>
      <c r="G999" s="244"/>
      <c r="H999" s="244"/>
      <c r="I999" s="244"/>
      <c r="J999" s="244"/>
      <c r="K999" s="244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  <c r="AA999" s="245"/>
    </row>
    <row r="1000" ht="14.25" customHeight="1">
      <c r="A1000" s="244"/>
      <c r="B1000" s="244"/>
      <c r="C1000" s="244"/>
      <c r="D1000" s="244"/>
      <c r="E1000" s="244"/>
      <c r="F1000" s="244"/>
      <c r="G1000" s="244"/>
      <c r="H1000" s="244"/>
      <c r="I1000" s="244"/>
      <c r="J1000" s="244"/>
      <c r="K1000" s="244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  <c r="AA1000" s="245"/>
    </row>
    <row r="1001" ht="14.25" customHeight="1">
      <c r="A1001" s="244"/>
      <c r="B1001" s="244"/>
      <c r="C1001" s="244"/>
      <c r="D1001" s="244"/>
      <c r="E1001" s="244"/>
      <c r="F1001" s="244"/>
      <c r="G1001" s="244"/>
      <c r="H1001" s="244"/>
      <c r="I1001" s="244"/>
      <c r="J1001" s="244"/>
      <c r="K1001" s="244"/>
      <c r="L1001" s="245"/>
      <c r="M1001" s="245"/>
      <c r="N1001" s="245"/>
      <c r="O1001" s="245"/>
      <c r="P1001" s="245"/>
      <c r="Q1001" s="245"/>
      <c r="R1001" s="245"/>
      <c r="S1001" s="245"/>
      <c r="T1001" s="245"/>
      <c r="U1001" s="245"/>
      <c r="V1001" s="245"/>
      <c r="W1001" s="245"/>
      <c r="X1001" s="245"/>
      <c r="Y1001" s="245"/>
      <c r="Z1001" s="245"/>
      <c r="AA1001" s="245"/>
    </row>
    <row r="1002" ht="14.25" customHeight="1">
      <c r="A1002" s="244"/>
      <c r="B1002" s="244"/>
      <c r="C1002" s="244"/>
      <c r="D1002" s="244"/>
      <c r="E1002" s="244"/>
      <c r="F1002" s="244"/>
      <c r="G1002" s="244"/>
      <c r="H1002" s="244"/>
      <c r="I1002" s="244"/>
      <c r="J1002" s="244"/>
      <c r="K1002" s="244"/>
      <c r="L1002" s="245"/>
      <c r="M1002" s="245"/>
      <c r="N1002" s="245"/>
      <c r="O1002" s="245"/>
      <c r="P1002" s="245"/>
      <c r="Q1002" s="245"/>
      <c r="R1002" s="245"/>
      <c r="S1002" s="245"/>
      <c r="T1002" s="245"/>
      <c r="U1002" s="245"/>
      <c r="V1002" s="245"/>
      <c r="W1002" s="245"/>
      <c r="X1002" s="245"/>
      <c r="Y1002" s="245"/>
      <c r="Z1002" s="245"/>
      <c r="AA1002" s="245"/>
    </row>
    <row r="1003" ht="14.25" customHeight="1">
      <c r="A1003" s="244"/>
      <c r="B1003" s="244"/>
      <c r="C1003" s="244"/>
      <c r="D1003" s="244"/>
      <c r="E1003" s="244"/>
      <c r="F1003" s="244"/>
      <c r="G1003" s="244"/>
      <c r="H1003" s="244"/>
      <c r="I1003" s="244"/>
      <c r="J1003" s="244"/>
      <c r="K1003" s="244"/>
      <c r="L1003" s="245"/>
      <c r="M1003" s="245"/>
      <c r="N1003" s="245"/>
      <c r="O1003" s="245"/>
      <c r="P1003" s="245"/>
      <c r="Q1003" s="245"/>
      <c r="R1003" s="245"/>
      <c r="S1003" s="245"/>
      <c r="T1003" s="245"/>
      <c r="U1003" s="245"/>
      <c r="V1003" s="245"/>
      <c r="W1003" s="245"/>
      <c r="X1003" s="245"/>
      <c r="Y1003" s="245"/>
      <c r="Z1003" s="245"/>
      <c r="AA1003" s="245"/>
    </row>
    <row r="1004" ht="14.25" customHeight="1">
      <c r="A1004" s="244"/>
      <c r="B1004" s="244"/>
      <c r="C1004" s="244"/>
      <c r="D1004" s="244"/>
      <c r="E1004" s="244"/>
      <c r="F1004" s="244"/>
      <c r="G1004" s="244"/>
      <c r="H1004" s="244"/>
      <c r="I1004" s="244"/>
      <c r="J1004" s="244"/>
      <c r="K1004" s="244"/>
      <c r="L1004" s="245"/>
      <c r="M1004" s="245"/>
      <c r="N1004" s="245"/>
      <c r="O1004" s="245"/>
      <c r="P1004" s="245"/>
      <c r="Q1004" s="245"/>
      <c r="R1004" s="245"/>
      <c r="S1004" s="245"/>
      <c r="T1004" s="245"/>
      <c r="U1004" s="245"/>
      <c r="V1004" s="245"/>
      <c r="W1004" s="245"/>
      <c r="X1004" s="245"/>
      <c r="Y1004" s="245"/>
      <c r="Z1004" s="245"/>
      <c r="AA1004" s="245"/>
    </row>
    <row r="1005" ht="14.25" customHeight="1">
      <c r="A1005" s="244"/>
      <c r="B1005" s="244"/>
      <c r="C1005" s="244"/>
      <c r="D1005" s="244"/>
      <c r="E1005" s="244"/>
      <c r="F1005" s="244"/>
      <c r="G1005" s="244"/>
      <c r="H1005" s="244"/>
      <c r="I1005" s="244"/>
      <c r="J1005" s="244"/>
      <c r="K1005" s="244"/>
      <c r="L1005" s="245"/>
      <c r="M1005" s="245"/>
      <c r="N1005" s="245"/>
      <c r="O1005" s="245"/>
      <c r="P1005" s="245"/>
      <c r="Q1005" s="245"/>
      <c r="R1005" s="245"/>
      <c r="S1005" s="245"/>
      <c r="T1005" s="245"/>
      <c r="U1005" s="245"/>
      <c r="V1005" s="245"/>
      <c r="W1005" s="245"/>
      <c r="X1005" s="245"/>
      <c r="Y1005" s="245"/>
      <c r="Z1005" s="245"/>
      <c r="AA1005" s="245"/>
    </row>
    <row r="1006" ht="14.25" customHeight="1">
      <c r="A1006" s="244"/>
      <c r="B1006" s="244"/>
      <c r="C1006" s="244"/>
      <c r="D1006" s="244"/>
      <c r="E1006" s="244"/>
      <c r="F1006" s="244"/>
      <c r="G1006" s="244"/>
      <c r="H1006" s="244"/>
      <c r="I1006" s="244"/>
      <c r="J1006" s="244"/>
      <c r="K1006" s="244"/>
      <c r="L1006" s="245"/>
      <c r="M1006" s="245"/>
      <c r="N1006" s="245"/>
      <c r="O1006" s="245"/>
      <c r="P1006" s="245"/>
      <c r="Q1006" s="245"/>
      <c r="R1006" s="245"/>
      <c r="S1006" s="245"/>
      <c r="T1006" s="245"/>
      <c r="U1006" s="245"/>
      <c r="V1006" s="245"/>
      <c r="W1006" s="245"/>
      <c r="X1006" s="245"/>
      <c r="Y1006" s="245"/>
      <c r="Z1006" s="245"/>
      <c r="AA1006" s="245"/>
    </row>
  </sheetData>
  <mergeCells count="30">
    <mergeCell ref="A1:H1"/>
    <mergeCell ref="A9:M9"/>
    <mergeCell ref="A18:M18"/>
    <mergeCell ref="A38:M38"/>
    <mergeCell ref="A47:M47"/>
    <mergeCell ref="B48:M48"/>
    <mergeCell ref="B49:M49"/>
    <mergeCell ref="B50:M50"/>
    <mergeCell ref="B51:M51"/>
    <mergeCell ref="B52:M52"/>
    <mergeCell ref="B53:M53"/>
    <mergeCell ref="B54:M54"/>
    <mergeCell ref="B55:M55"/>
    <mergeCell ref="B56:M56"/>
    <mergeCell ref="B57:M57"/>
    <mergeCell ref="B58:M58"/>
    <mergeCell ref="B59:M59"/>
    <mergeCell ref="B60:M60"/>
    <mergeCell ref="B61:M61"/>
    <mergeCell ref="B62:M62"/>
    <mergeCell ref="B63:M63"/>
    <mergeCell ref="B71:M71"/>
    <mergeCell ref="B72:M72"/>
    <mergeCell ref="B64:M64"/>
    <mergeCell ref="B65:M65"/>
    <mergeCell ref="B66:M66"/>
    <mergeCell ref="B67:M67"/>
    <mergeCell ref="B68:M68"/>
    <mergeCell ref="B69:M69"/>
    <mergeCell ref="B70:M70"/>
  </mergeCells>
  <dataValidations>
    <dataValidation type="list" allowBlank="1" sqref="A20:A35 B40:B44">
      <formula1>"📌 ЗАДАЧА,📦 ПРОЕКТ,🔬 ГИПОТЕЗА,💡 ИДЕЯ"</formula1>
    </dataValidation>
    <dataValidation type="list" allowBlank="1" sqref="F11:F13 F15:F16">
      <formula1>"On track,Опаздываем,Выполнено,Не начато,Требует внимания"</formula1>
    </dataValidation>
    <dataValidation type="list" allowBlank="1" sqref="G21">
      <formula1>"⏸️ Не начато,🔄 В работе,✅ Выполнено,⏸️ На паузе,❌ Отменено,⚠️ Требует решения,В процессе"</formula1>
    </dataValidation>
    <dataValidation type="list" allowBlank="1" sqref="G23 I23">
      <formula1>"⏸️ Не начато,🔄 В работе,✅ Выполнено,⏸️ На паузе,❌ Отменено,⚠️ Требует решения,Обсуждается"</formula1>
    </dataValidation>
    <dataValidation type="list" allowBlank="1" sqref="E40:E44">
      <formula1>"High,Medium,Low"</formula1>
    </dataValidation>
    <dataValidation type="list" allowBlank="1" sqref="B20:B35 D40:D44">
      <formula1>"Внедрены Power BI-дашборды,Разработать внедрить систему,уменьшение Доли постоянных,Обеспечить достаточный оборотный,EBITDA,Контроль САС уровне 25"</formula1>
    </dataValidation>
    <dataValidation type="list" allowBlank="1" sqref="F20:I20 F21 H21:J21 F22:J22 F23 H23 J23 F24:I24 F25:J26 F27:I35">
      <formula1>"⏸️ Не начато,🔄 В работе,✅ Выполнено,⏸️ На паузе,❌ Отменено,⚠️ Требует решения"</formula1>
    </dataValidation>
    <dataValidation type="list" allowBlank="1" sqref="F14">
      <formula1>"On track,Опаздываем,Выполнено,Не начато,Требует внимания,Перенесли"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5.0"/>
    <col customWidth="1" min="3" max="3" width="42.0"/>
    <col customWidth="1" min="4" max="4" width="25.14"/>
    <col customWidth="1" min="5" max="5" width="31.57"/>
    <col customWidth="1" min="6" max="6" width="22.0"/>
    <col customWidth="1" min="7" max="7" width="22.43"/>
    <col customWidth="1" min="8" max="8" width="25.57"/>
    <col customWidth="1" min="9" max="9" width="21.43"/>
    <col customWidth="1" min="10" max="11" width="25.0"/>
    <col customWidth="1" min="12" max="27" width="8.71"/>
  </cols>
  <sheetData>
    <row r="1" ht="21.0" customHeight="1">
      <c r="A1" s="270" t="s">
        <v>1130</v>
      </c>
      <c r="B1" s="206"/>
      <c r="C1" s="206"/>
      <c r="D1" s="206"/>
      <c r="E1" s="206"/>
      <c r="F1" s="206"/>
      <c r="G1" s="206"/>
      <c r="H1" s="207"/>
      <c r="I1" s="244"/>
      <c r="J1" s="244"/>
      <c r="K1" s="244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</row>
    <row r="2" ht="14.25" customHeight="1">
      <c r="A2" s="246" t="s">
        <v>991</v>
      </c>
      <c r="B2" s="245" t="s">
        <v>899</v>
      </c>
      <c r="C2" s="244"/>
      <c r="D2" s="244"/>
      <c r="E2" s="244"/>
      <c r="F2" s="244"/>
      <c r="G2" s="244"/>
      <c r="H2" s="244"/>
      <c r="I2" s="244"/>
      <c r="J2" s="244"/>
      <c r="K2" s="244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</row>
    <row r="3" ht="14.25" customHeight="1">
      <c r="A3" s="246" t="s">
        <v>992</v>
      </c>
      <c r="B3" s="245" t="s">
        <v>64</v>
      </c>
      <c r="C3" s="244"/>
      <c r="D3" s="244"/>
      <c r="E3" s="244"/>
      <c r="F3" s="244"/>
      <c r="G3" s="244"/>
      <c r="H3" s="244"/>
      <c r="I3" s="244"/>
      <c r="J3" s="244"/>
      <c r="K3" s="244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</row>
    <row r="4" ht="14.25" customHeight="1">
      <c r="A4" s="246" t="s">
        <v>993</v>
      </c>
      <c r="B4" s="245" t="s">
        <v>900</v>
      </c>
      <c r="C4" s="244"/>
      <c r="D4" s="244"/>
      <c r="E4" s="244"/>
      <c r="F4" s="244"/>
      <c r="G4" s="244"/>
      <c r="H4" s="244"/>
      <c r="I4" s="244"/>
      <c r="J4" s="244"/>
      <c r="K4" s="244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</row>
    <row r="5" ht="14.25" customHeight="1">
      <c r="A5" s="246" t="s">
        <v>994</v>
      </c>
      <c r="B5" s="245" t="s">
        <v>882</v>
      </c>
      <c r="C5" s="244"/>
      <c r="D5" s="244"/>
      <c r="E5" s="244"/>
      <c r="F5" s="244"/>
      <c r="G5" s="244"/>
      <c r="H5" s="244"/>
      <c r="I5" s="244"/>
      <c r="J5" s="244"/>
      <c r="K5" s="244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</row>
    <row r="6" ht="14.25" customHeight="1">
      <c r="A6" s="271" t="s">
        <v>995</v>
      </c>
      <c r="B6" s="272" t="s">
        <v>996</v>
      </c>
      <c r="C6" s="273" t="s">
        <v>1131</v>
      </c>
      <c r="D6" s="265" t="s">
        <v>621</v>
      </c>
      <c r="E6" s="263"/>
      <c r="F6" s="244"/>
      <c r="G6" s="244"/>
      <c r="H6" s="244"/>
      <c r="I6" s="244"/>
      <c r="J6" s="244"/>
      <c r="K6" s="244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</row>
    <row r="7" ht="14.25" customHeight="1">
      <c r="A7" s="271" t="s">
        <v>997</v>
      </c>
      <c r="B7" s="274" t="s">
        <v>1132</v>
      </c>
      <c r="C7" s="273" t="s">
        <v>1133</v>
      </c>
      <c r="D7" s="263"/>
      <c r="E7" s="263"/>
      <c r="F7" s="244"/>
      <c r="G7" s="244"/>
      <c r="H7" s="244"/>
      <c r="I7" s="244"/>
      <c r="J7" s="244"/>
      <c r="K7" s="244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</row>
    <row r="8" ht="14.25" customHeight="1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</row>
    <row r="9" ht="15.0" customHeight="1">
      <c r="A9" s="275" t="s">
        <v>999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7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</row>
    <row r="10" ht="28.5" customHeight="1">
      <c r="A10" s="252" t="s">
        <v>914</v>
      </c>
      <c r="B10" s="252" t="s">
        <v>1000</v>
      </c>
      <c r="C10" s="252" t="s">
        <v>915</v>
      </c>
      <c r="D10" s="252" t="s">
        <v>916</v>
      </c>
      <c r="E10" s="252" t="s">
        <v>917</v>
      </c>
      <c r="F10" s="252" t="s">
        <v>1001</v>
      </c>
      <c r="G10" s="252" t="s">
        <v>22</v>
      </c>
      <c r="H10" s="252" t="s">
        <v>1002</v>
      </c>
      <c r="I10" s="244"/>
      <c r="J10" s="244"/>
      <c r="K10" s="244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</row>
    <row r="11" ht="42.75" customHeight="1">
      <c r="A11" s="253" t="s">
        <v>937</v>
      </c>
      <c r="B11" s="253" t="s">
        <v>1134</v>
      </c>
      <c r="C11" s="253" t="s">
        <v>252</v>
      </c>
      <c r="D11" s="253" t="s">
        <v>253</v>
      </c>
      <c r="E11" s="253" t="s">
        <v>254</v>
      </c>
      <c r="F11" s="254" t="s">
        <v>1078</v>
      </c>
      <c r="G11" s="253" t="s">
        <v>131</v>
      </c>
      <c r="H11" s="254" t="s">
        <v>1135</v>
      </c>
      <c r="I11" s="244"/>
      <c r="J11" s="244"/>
      <c r="K11" s="244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</row>
    <row r="12" ht="86.25" customHeight="1">
      <c r="A12" s="253" t="s">
        <v>938</v>
      </c>
      <c r="B12" s="253" t="s">
        <v>1136</v>
      </c>
      <c r="C12" s="253" t="s">
        <v>256</v>
      </c>
      <c r="D12" s="254" t="s">
        <v>1137</v>
      </c>
      <c r="E12" s="253" t="s">
        <v>258</v>
      </c>
      <c r="F12" s="254" t="s">
        <v>1084</v>
      </c>
      <c r="G12" s="253" t="s">
        <v>29</v>
      </c>
      <c r="H12" s="253"/>
      <c r="I12" s="244"/>
      <c r="J12" s="244"/>
      <c r="K12" s="244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</row>
    <row r="13" ht="86.25" customHeight="1">
      <c r="A13" s="253" t="s">
        <v>939</v>
      </c>
      <c r="B13" s="253" t="s">
        <v>1138</v>
      </c>
      <c r="C13" s="253" t="s">
        <v>259</v>
      </c>
      <c r="D13" s="254" t="s">
        <v>1139</v>
      </c>
      <c r="E13" s="253" t="s">
        <v>261</v>
      </c>
      <c r="F13" s="254" t="s">
        <v>1078</v>
      </c>
      <c r="G13" s="253" t="s">
        <v>29</v>
      </c>
      <c r="H13" s="253"/>
      <c r="I13" s="244"/>
      <c r="J13" s="244"/>
      <c r="K13" s="244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</row>
    <row r="14" ht="114.75" customHeight="1">
      <c r="A14" s="253" t="s">
        <v>940</v>
      </c>
      <c r="B14" s="253" t="s">
        <v>1140</v>
      </c>
      <c r="C14" s="253" t="s">
        <v>262</v>
      </c>
      <c r="D14" s="253" t="s">
        <v>263</v>
      </c>
      <c r="E14" s="253" t="s">
        <v>264</v>
      </c>
      <c r="F14" s="254" t="s">
        <v>1078</v>
      </c>
      <c r="G14" s="253" t="s">
        <v>29</v>
      </c>
      <c r="H14" s="253"/>
      <c r="I14" s="244"/>
      <c r="J14" s="244"/>
      <c r="K14" s="244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</row>
    <row r="15" ht="72.0" customHeight="1">
      <c r="A15" s="253" t="s">
        <v>941</v>
      </c>
      <c r="B15" s="253" t="s">
        <v>445</v>
      </c>
      <c r="C15" s="253" t="s">
        <v>265</v>
      </c>
      <c r="D15" s="253" t="s">
        <v>942</v>
      </c>
      <c r="E15" s="253" t="s">
        <v>943</v>
      </c>
      <c r="F15" s="254" t="s">
        <v>1078</v>
      </c>
      <c r="G15" s="253" t="s">
        <v>29</v>
      </c>
      <c r="H15" s="253"/>
      <c r="I15" s="244"/>
      <c r="J15" s="244"/>
      <c r="K15" s="244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</row>
    <row r="16" ht="28.5" customHeight="1">
      <c r="A16" s="253" t="s">
        <v>944</v>
      </c>
      <c r="B16" s="253" t="s">
        <v>1009</v>
      </c>
      <c r="C16" s="253" t="s">
        <v>267</v>
      </c>
      <c r="D16" s="253" t="s">
        <v>268</v>
      </c>
      <c r="E16" s="253" t="s">
        <v>269</v>
      </c>
      <c r="F16" s="254" t="s">
        <v>1078</v>
      </c>
      <c r="G16" s="253" t="s">
        <v>131</v>
      </c>
      <c r="H16" s="253"/>
      <c r="I16" s="244"/>
      <c r="J16" s="244"/>
      <c r="K16" s="244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</row>
    <row r="17" ht="42.75" customHeight="1">
      <c r="A17" s="253" t="s">
        <v>945</v>
      </c>
      <c r="B17" s="253" t="s">
        <v>1010</v>
      </c>
      <c r="C17" s="253" t="s">
        <v>271</v>
      </c>
      <c r="D17" s="253" t="s">
        <v>272</v>
      </c>
      <c r="E17" s="253" t="s">
        <v>273</v>
      </c>
      <c r="F17" s="254" t="s">
        <v>1078</v>
      </c>
      <c r="G17" s="253" t="s">
        <v>131</v>
      </c>
      <c r="H17" s="253"/>
      <c r="I17" s="244"/>
      <c r="J17" s="244"/>
      <c r="K17" s="244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</row>
    <row r="18" ht="42.75" customHeight="1">
      <c r="A18" s="253" t="s">
        <v>946</v>
      </c>
      <c r="B18" s="253" t="s">
        <v>1011</v>
      </c>
      <c r="C18" s="253" t="s">
        <v>275</v>
      </c>
      <c r="D18" s="253" t="s">
        <v>272</v>
      </c>
      <c r="E18" s="253" t="s">
        <v>276</v>
      </c>
      <c r="F18" s="254" t="s">
        <v>1078</v>
      </c>
      <c r="G18" s="253" t="s">
        <v>277</v>
      </c>
      <c r="H18" s="253"/>
      <c r="I18" s="258" t="s">
        <v>1141</v>
      </c>
      <c r="J18" s="244"/>
      <c r="K18" s="244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</row>
    <row r="19" ht="14.25" customHeight="1">
      <c r="A19" s="244"/>
      <c r="B19" s="244"/>
      <c r="C19" s="244"/>
      <c r="D19" s="244"/>
      <c r="E19" s="244"/>
      <c r="F19" s="244"/>
      <c r="G19" s="244"/>
      <c r="H19" s="244"/>
      <c r="I19" s="244"/>
      <c r="J19" s="244"/>
      <c r="K19" s="244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</row>
    <row r="20" ht="15.0" customHeight="1">
      <c r="A20" s="255" t="s">
        <v>1014</v>
      </c>
      <c r="B20" s="206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7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</row>
    <row r="21" ht="14.25" customHeight="1">
      <c r="A21" s="256" t="s">
        <v>32</v>
      </c>
      <c r="B21" s="256" t="s">
        <v>1015</v>
      </c>
      <c r="C21" s="256" t="s">
        <v>1016</v>
      </c>
      <c r="D21" s="256" t="s">
        <v>23</v>
      </c>
      <c r="E21" s="256" t="s">
        <v>22</v>
      </c>
      <c r="F21" s="256" t="s">
        <v>1017</v>
      </c>
      <c r="G21" s="256" t="s">
        <v>1018</v>
      </c>
      <c r="H21" s="256" t="s">
        <v>1019</v>
      </c>
      <c r="I21" s="256" t="s">
        <v>1020</v>
      </c>
      <c r="J21" s="257" t="s">
        <v>1090</v>
      </c>
      <c r="K21" s="256" t="s">
        <v>1021</v>
      </c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</row>
    <row r="22" ht="72.0" customHeight="1">
      <c r="A22" s="253" t="s">
        <v>1024</v>
      </c>
      <c r="B22" s="253" t="s">
        <v>939</v>
      </c>
      <c r="C22" s="253" t="s">
        <v>1142</v>
      </c>
      <c r="D22" s="253" t="s">
        <v>1143</v>
      </c>
      <c r="E22" s="253" t="s">
        <v>1144</v>
      </c>
      <c r="F22" s="254" t="s">
        <v>1102</v>
      </c>
      <c r="G22" s="254" t="s">
        <v>1045</v>
      </c>
      <c r="H22" s="254" t="s">
        <v>1043</v>
      </c>
      <c r="I22" s="253"/>
      <c r="J22" s="253"/>
      <c r="K22" s="253" t="s">
        <v>1145</v>
      </c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</row>
    <row r="23" ht="72.0" customHeight="1">
      <c r="A23" s="253" t="s">
        <v>1023</v>
      </c>
      <c r="B23" s="253" t="s">
        <v>940</v>
      </c>
      <c r="C23" s="253" t="s">
        <v>1146</v>
      </c>
      <c r="D23" s="253" t="s">
        <v>1143</v>
      </c>
      <c r="E23" s="253" t="s">
        <v>131</v>
      </c>
      <c r="F23" s="253" t="s">
        <v>1045</v>
      </c>
      <c r="G23" s="254" t="s">
        <v>1045</v>
      </c>
      <c r="H23" s="254" t="s">
        <v>1045</v>
      </c>
      <c r="I23" s="254" t="s">
        <v>1043</v>
      </c>
      <c r="J23" s="253"/>
      <c r="K23" s="253" t="s">
        <v>1147</v>
      </c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</row>
    <row r="24" ht="57.0" customHeight="1">
      <c r="A24" s="253" t="s">
        <v>1022</v>
      </c>
      <c r="B24" s="253" t="s">
        <v>941</v>
      </c>
      <c r="C24" s="253" t="s">
        <v>1148</v>
      </c>
      <c r="D24" s="253" t="s">
        <v>1143</v>
      </c>
      <c r="E24" s="253" t="s">
        <v>131</v>
      </c>
      <c r="F24" s="253" t="s">
        <v>1051</v>
      </c>
      <c r="G24" s="253"/>
      <c r="H24" s="253"/>
      <c r="I24" s="253"/>
      <c r="J24" s="253"/>
      <c r="K24" s="253" t="s">
        <v>1149</v>
      </c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</row>
    <row r="25" ht="72.0" customHeight="1">
      <c r="A25" s="253" t="s">
        <v>1024</v>
      </c>
      <c r="B25" s="253" t="s">
        <v>937</v>
      </c>
      <c r="C25" s="253" t="s">
        <v>1150</v>
      </c>
      <c r="D25" s="253" t="s">
        <v>1143</v>
      </c>
      <c r="E25" s="253" t="s">
        <v>131</v>
      </c>
      <c r="F25" s="253" t="s">
        <v>1045</v>
      </c>
      <c r="G25" s="254" t="s">
        <v>1045</v>
      </c>
      <c r="H25" s="254" t="s">
        <v>1045</v>
      </c>
      <c r="I25" s="254" t="s">
        <v>1047</v>
      </c>
      <c r="J25" s="254"/>
      <c r="K25" s="254" t="s">
        <v>1151</v>
      </c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</row>
    <row r="26" ht="72.0" customHeight="1">
      <c r="A26" s="253" t="s">
        <v>1025</v>
      </c>
      <c r="B26" s="253" t="s">
        <v>945</v>
      </c>
      <c r="C26" s="253" t="s">
        <v>1152</v>
      </c>
      <c r="D26" s="253" t="s">
        <v>1143</v>
      </c>
      <c r="E26" s="253" t="s">
        <v>1153</v>
      </c>
      <c r="F26" s="253" t="s">
        <v>1051</v>
      </c>
      <c r="G26" s="254" t="s">
        <v>1102</v>
      </c>
      <c r="H26" s="253"/>
      <c r="I26" s="253"/>
      <c r="J26" s="253"/>
      <c r="K26" s="253" t="s">
        <v>1154</v>
      </c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</row>
    <row r="27" ht="57.0" customHeight="1">
      <c r="A27" s="253" t="s">
        <v>1022</v>
      </c>
      <c r="B27" s="253" t="s">
        <v>939</v>
      </c>
      <c r="C27" s="253" t="s">
        <v>1155</v>
      </c>
      <c r="D27" s="253" t="s">
        <v>1143</v>
      </c>
      <c r="E27" s="254" t="s">
        <v>131</v>
      </c>
      <c r="F27" s="253" t="s">
        <v>1045</v>
      </c>
      <c r="G27" s="254" t="s">
        <v>1102</v>
      </c>
      <c r="H27" s="253"/>
      <c r="I27" s="254" t="s">
        <v>1156</v>
      </c>
      <c r="J27" s="254"/>
      <c r="K27" s="254" t="s">
        <v>1157</v>
      </c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</row>
    <row r="28" ht="14.25" customHeight="1">
      <c r="A28" s="254" t="s">
        <v>1024</v>
      </c>
      <c r="B28" s="254" t="s">
        <v>1136</v>
      </c>
      <c r="C28" s="254" t="s">
        <v>1158</v>
      </c>
      <c r="D28" s="253" t="s">
        <v>1143</v>
      </c>
      <c r="E28" s="254" t="s">
        <v>1159</v>
      </c>
      <c r="F28" s="253"/>
      <c r="G28" s="254" t="s">
        <v>1102</v>
      </c>
      <c r="H28" s="254" t="s">
        <v>1045</v>
      </c>
      <c r="I28" s="254" t="s">
        <v>1043</v>
      </c>
      <c r="J28" s="254"/>
      <c r="K28" s="254" t="s">
        <v>1160</v>
      </c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</row>
    <row r="29" ht="14.25" customHeight="1">
      <c r="A29" s="253" t="s">
        <v>1022</v>
      </c>
      <c r="B29" s="253"/>
      <c r="C29" s="254" t="s">
        <v>1161</v>
      </c>
      <c r="D29" s="253" t="s">
        <v>1143</v>
      </c>
      <c r="E29" s="253"/>
      <c r="F29" s="253"/>
      <c r="G29" s="254" t="s">
        <v>1045</v>
      </c>
      <c r="H29" s="254" t="s">
        <v>1045</v>
      </c>
      <c r="I29" s="254" t="s">
        <v>1047</v>
      </c>
      <c r="J29" s="253"/>
      <c r="K29" s="253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</row>
    <row r="30" ht="14.25" customHeight="1">
      <c r="A30" s="254" t="s">
        <v>1024</v>
      </c>
      <c r="B30" s="253"/>
      <c r="C30" s="254" t="s">
        <v>1162</v>
      </c>
      <c r="D30" s="253" t="s">
        <v>1143</v>
      </c>
      <c r="E30" s="253"/>
      <c r="F30" s="253"/>
      <c r="G30" s="253"/>
      <c r="H30" s="254" t="s">
        <v>1045</v>
      </c>
      <c r="I30" s="254" t="s">
        <v>1043</v>
      </c>
      <c r="J30" s="254"/>
      <c r="K30" s="254">
        <v>24.02</v>
      </c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</row>
    <row r="31" ht="14.25" customHeight="1">
      <c r="A31" s="254" t="s">
        <v>1024</v>
      </c>
      <c r="B31" s="253"/>
      <c r="C31" s="254" t="s">
        <v>1163</v>
      </c>
      <c r="D31" s="253" t="s">
        <v>1143</v>
      </c>
      <c r="E31" s="253"/>
      <c r="F31" s="253"/>
      <c r="G31" s="253"/>
      <c r="H31" s="254" t="s">
        <v>1045</v>
      </c>
      <c r="I31" s="254" t="s">
        <v>1043</v>
      </c>
      <c r="J31" s="253"/>
      <c r="K31" s="253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</row>
    <row r="32" ht="14.25" customHeight="1">
      <c r="A32" s="254" t="s">
        <v>1024</v>
      </c>
      <c r="B32" s="253"/>
      <c r="C32" s="254" t="s">
        <v>1164</v>
      </c>
      <c r="D32" s="253" t="s">
        <v>1143</v>
      </c>
      <c r="E32" s="254" t="s">
        <v>1165</v>
      </c>
      <c r="F32" s="253"/>
      <c r="G32" s="253"/>
      <c r="H32" s="254" t="s">
        <v>1045</v>
      </c>
      <c r="I32" s="254" t="s">
        <v>1047</v>
      </c>
      <c r="J32" s="253"/>
      <c r="K32" s="253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</row>
    <row r="33" ht="14.25" customHeight="1">
      <c r="A33" s="253" t="s">
        <v>1024</v>
      </c>
      <c r="B33" s="253"/>
      <c r="C33" s="254" t="s">
        <v>1166</v>
      </c>
      <c r="D33" s="253" t="s">
        <v>1143</v>
      </c>
      <c r="E33" s="254" t="s">
        <v>1165</v>
      </c>
      <c r="F33" s="253"/>
      <c r="G33" s="253"/>
      <c r="H33" s="254" t="s">
        <v>1045</v>
      </c>
      <c r="I33" s="254" t="s">
        <v>1045</v>
      </c>
      <c r="J33" s="254" t="s">
        <v>1045</v>
      </c>
      <c r="K33" s="253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</row>
    <row r="34" ht="14.25" customHeight="1">
      <c r="A34" s="254" t="s">
        <v>1024</v>
      </c>
      <c r="B34" s="253"/>
      <c r="C34" s="254" t="s">
        <v>1167</v>
      </c>
      <c r="D34" s="253" t="s">
        <v>1143</v>
      </c>
      <c r="E34" s="254" t="s">
        <v>1159</v>
      </c>
      <c r="F34" s="253"/>
      <c r="G34" s="253"/>
      <c r="H34" s="254" t="s">
        <v>1045</v>
      </c>
      <c r="I34" s="254" t="s">
        <v>1084</v>
      </c>
      <c r="J34" s="254" t="s">
        <v>1043</v>
      </c>
      <c r="K34" s="254" t="s">
        <v>1168</v>
      </c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</row>
    <row r="35" ht="14.25" customHeight="1">
      <c r="A35" s="254" t="s">
        <v>1024</v>
      </c>
      <c r="B35" s="254" t="s">
        <v>1010</v>
      </c>
      <c r="C35" s="254" t="s">
        <v>1169</v>
      </c>
      <c r="D35" s="253" t="s">
        <v>1143</v>
      </c>
      <c r="E35" s="254" t="s">
        <v>1170</v>
      </c>
      <c r="F35" s="253"/>
      <c r="G35" s="253"/>
      <c r="H35" s="253"/>
      <c r="I35" s="254" t="s">
        <v>1045</v>
      </c>
      <c r="J35" s="254" t="s">
        <v>1045</v>
      </c>
      <c r="K35" s="253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</row>
    <row r="36" ht="14.25" customHeight="1">
      <c r="A36" s="254" t="s">
        <v>1024</v>
      </c>
      <c r="B36" s="253"/>
      <c r="C36" s="254" t="s">
        <v>1171</v>
      </c>
      <c r="D36" s="254" t="s">
        <v>1172</v>
      </c>
      <c r="E36" s="254" t="s">
        <v>1114</v>
      </c>
      <c r="F36" s="253"/>
      <c r="G36" s="253"/>
      <c r="H36" s="253"/>
      <c r="I36" s="254" t="s">
        <v>1045</v>
      </c>
      <c r="J36" s="254" t="s">
        <v>1156</v>
      </c>
      <c r="K36" s="253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</row>
    <row r="37" ht="14.25" customHeight="1">
      <c r="A37" s="254" t="s">
        <v>1024</v>
      </c>
      <c r="B37" s="253"/>
      <c r="C37" s="254" t="s">
        <v>1173</v>
      </c>
      <c r="D37" s="253" t="s">
        <v>1143</v>
      </c>
      <c r="E37" s="253"/>
      <c r="F37" s="253"/>
      <c r="G37" s="253"/>
      <c r="H37" s="253"/>
      <c r="I37" s="254" t="s">
        <v>1043</v>
      </c>
      <c r="J37" s="253"/>
      <c r="K37" s="253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</row>
    <row r="38" ht="14.25" customHeight="1">
      <c r="A38" s="254" t="s">
        <v>1023</v>
      </c>
      <c r="B38" s="254" t="s">
        <v>1011</v>
      </c>
      <c r="C38" s="254" t="s">
        <v>1174</v>
      </c>
      <c r="D38" s="253" t="s">
        <v>1143</v>
      </c>
      <c r="E38" s="254" t="s">
        <v>1175</v>
      </c>
      <c r="F38" s="253"/>
      <c r="G38" s="253"/>
      <c r="H38" s="253"/>
      <c r="I38" s="254" t="s">
        <v>1045</v>
      </c>
      <c r="J38" s="254" t="s">
        <v>1045</v>
      </c>
      <c r="K38" s="253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</row>
    <row r="39" ht="14.25" customHeight="1">
      <c r="A39" s="254" t="s">
        <v>1022</v>
      </c>
      <c r="B39" s="254" t="s">
        <v>1010</v>
      </c>
      <c r="C39" s="254" t="s">
        <v>1176</v>
      </c>
      <c r="D39" s="253" t="s">
        <v>1143</v>
      </c>
      <c r="E39" s="254" t="s">
        <v>1177</v>
      </c>
      <c r="F39" s="253"/>
      <c r="G39" s="253"/>
      <c r="H39" s="253"/>
      <c r="I39" s="253"/>
      <c r="J39" s="254" t="s">
        <v>1045</v>
      </c>
      <c r="K39" s="253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</row>
    <row r="40" ht="14.25" customHeight="1">
      <c r="A40" s="254" t="s">
        <v>1022</v>
      </c>
      <c r="B40" s="254" t="s">
        <v>1136</v>
      </c>
      <c r="C40" s="254" t="s">
        <v>1178</v>
      </c>
      <c r="D40" s="254" t="s">
        <v>1179</v>
      </c>
      <c r="E40" s="254" t="s">
        <v>1180</v>
      </c>
      <c r="F40" s="253"/>
      <c r="G40" s="253"/>
      <c r="H40" s="253"/>
      <c r="I40" s="253"/>
      <c r="J40" s="254" t="s">
        <v>1045</v>
      </c>
      <c r="K40" s="253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</row>
    <row r="41" ht="14.25" customHeight="1">
      <c r="A41" s="254" t="s">
        <v>1024</v>
      </c>
      <c r="B41" s="254" t="s">
        <v>1136</v>
      </c>
      <c r="C41" s="254" t="s">
        <v>1181</v>
      </c>
      <c r="D41" s="253" t="s">
        <v>1143</v>
      </c>
      <c r="E41" s="253"/>
      <c r="F41" s="253"/>
      <c r="G41" s="253"/>
      <c r="H41" s="253"/>
      <c r="I41" s="253"/>
      <c r="J41" s="254" t="s">
        <v>1045</v>
      </c>
      <c r="K41" s="253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</row>
    <row r="42" ht="14.25" customHeight="1">
      <c r="A42" s="253"/>
      <c r="B42" s="253"/>
      <c r="C42" s="253"/>
      <c r="D42" s="253"/>
      <c r="E42" s="253"/>
      <c r="F42" s="253"/>
      <c r="G42" s="253"/>
      <c r="H42" s="253"/>
      <c r="I42" s="253"/>
      <c r="J42" s="253"/>
      <c r="K42" s="253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</row>
    <row r="43" ht="14.25" customHeight="1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</row>
    <row r="44" ht="14.25" customHeight="1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</row>
    <row r="45" ht="14.25" customHeight="1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</row>
    <row r="46" ht="14.25" customHeight="1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</row>
    <row r="47" ht="14.25" customHeight="1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</row>
    <row r="48" ht="14.25" customHeight="1">
      <c r="A48" s="253" t="s">
        <v>1025</v>
      </c>
      <c r="B48" s="253"/>
      <c r="C48" s="253"/>
      <c r="D48" s="253"/>
      <c r="E48" s="253"/>
      <c r="F48" s="253"/>
      <c r="G48" s="253"/>
      <c r="H48" s="253"/>
      <c r="I48" s="253"/>
      <c r="J48" s="253"/>
      <c r="K48" s="253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</row>
    <row r="49" ht="14.25" customHeight="1">
      <c r="A49" s="244"/>
      <c r="B49" s="244"/>
      <c r="C49" s="244"/>
      <c r="D49" s="244"/>
      <c r="E49" s="244"/>
      <c r="F49" s="244"/>
      <c r="G49" s="244"/>
      <c r="H49" s="244"/>
      <c r="I49" s="244"/>
      <c r="J49" s="244"/>
      <c r="K49" s="244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</row>
    <row r="50" ht="14.25" customHeight="1">
      <c r="A50" s="244"/>
      <c r="B50" s="244"/>
      <c r="C50" s="244"/>
      <c r="D50" s="244"/>
      <c r="E50" s="244"/>
      <c r="F50" s="244"/>
      <c r="G50" s="244"/>
      <c r="H50" s="244"/>
      <c r="I50" s="244"/>
      <c r="J50" s="244"/>
      <c r="K50" s="244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</row>
    <row r="51" ht="14.25" customHeight="1">
      <c r="A51" s="261" t="s">
        <v>1026</v>
      </c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7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</row>
    <row r="52" ht="24.0" customHeight="1">
      <c r="A52" s="262" t="s">
        <v>377</v>
      </c>
      <c r="B52" s="262" t="s">
        <v>32</v>
      </c>
      <c r="C52" s="262" t="s">
        <v>1027</v>
      </c>
      <c r="D52" s="262" t="s">
        <v>1028</v>
      </c>
      <c r="E52" s="262" t="s">
        <v>154</v>
      </c>
      <c r="F52" s="262" t="s">
        <v>1029</v>
      </c>
      <c r="G52" s="262" t="s">
        <v>381</v>
      </c>
      <c r="H52" s="244"/>
      <c r="I52" s="244"/>
      <c r="J52" s="244"/>
      <c r="K52" s="244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</row>
    <row r="53" ht="14.25" customHeight="1">
      <c r="A53" s="263" t="s">
        <v>1116</v>
      </c>
      <c r="B53" s="263" t="s">
        <v>1025</v>
      </c>
      <c r="C53" s="263" t="s">
        <v>1182</v>
      </c>
      <c r="D53" s="263" t="s">
        <v>939</v>
      </c>
      <c r="E53" s="263" t="s">
        <v>1183</v>
      </c>
      <c r="F53" s="263" t="s">
        <v>1119</v>
      </c>
      <c r="G53" s="263" t="s">
        <v>1053</v>
      </c>
      <c r="H53" s="244"/>
      <c r="I53" s="244"/>
      <c r="J53" s="244"/>
      <c r="K53" s="244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</row>
    <row r="54" ht="14.25" customHeight="1">
      <c r="A54" s="263" t="s">
        <v>1120</v>
      </c>
      <c r="B54" s="263" t="s">
        <v>1025</v>
      </c>
      <c r="C54" s="263" t="s">
        <v>1184</v>
      </c>
      <c r="D54" s="263" t="s">
        <v>938</v>
      </c>
      <c r="E54" s="263" t="s">
        <v>1185</v>
      </c>
      <c r="F54" s="263" t="s">
        <v>1119</v>
      </c>
      <c r="G54" s="263" t="s">
        <v>1053</v>
      </c>
      <c r="H54" s="244"/>
      <c r="I54" s="244"/>
      <c r="J54" s="244"/>
      <c r="K54" s="244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</row>
    <row r="55" ht="14.25" customHeight="1">
      <c r="A55" s="263" t="s">
        <v>1122</v>
      </c>
      <c r="B55" s="263" t="s">
        <v>1022</v>
      </c>
      <c r="C55" s="263" t="s">
        <v>1186</v>
      </c>
      <c r="D55" s="263" t="s">
        <v>939</v>
      </c>
      <c r="E55" s="263" t="s">
        <v>1183</v>
      </c>
      <c r="F55" s="263" t="s">
        <v>1119</v>
      </c>
      <c r="G55" s="263" t="s">
        <v>1053</v>
      </c>
      <c r="H55" s="244"/>
      <c r="I55" s="244"/>
      <c r="J55" s="244"/>
      <c r="K55" s="244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</row>
    <row r="56" ht="14.25" customHeight="1">
      <c r="A56" s="263" t="s">
        <v>1187</v>
      </c>
      <c r="B56" s="263" t="s">
        <v>1025</v>
      </c>
      <c r="C56" s="263" t="s">
        <v>1188</v>
      </c>
      <c r="D56" s="263" t="s">
        <v>938</v>
      </c>
      <c r="E56" s="263" t="s">
        <v>1185</v>
      </c>
      <c r="F56" s="263" t="s">
        <v>1119</v>
      </c>
      <c r="G56" s="263" t="s">
        <v>1053</v>
      </c>
      <c r="H56" s="244"/>
      <c r="I56" s="244"/>
      <c r="J56" s="244"/>
      <c r="K56" s="244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</row>
    <row r="57" ht="14.25" customHeight="1">
      <c r="A57" s="263"/>
      <c r="B57" s="265" t="s">
        <v>1022</v>
      </c>
      <c r="C57" s="259" t="s">
        <v>1189</v>
      </c>
      <c r="D57" s="263"/>
      <c r="E57" s="263"/>
      <c r="F57" s="265">
        <v>17.02</v>
      </c>
      <c r="G57" s="265" t="s">
        <v>1190</v>
      </c>
      <c r="H57" s="244"/>
      <c r="I57" s="244"/>
      <c r="J57" s="244"/>
      <c r="K57" s="244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</row>
    <row r="58" ht="14.25" customHeight="1">
      <c r="A58" s="263"/>
      <c r="B58" s="265" t="s">
        <v>1022</v>
      </c>
      <c r="C58" s="259" t="s">
        <v>1191</v>
      </c>
      <c r="D58" s="265">
        <v>3.3</v>
      </c>
      <c r="E58" s="265" t="s">
        <v>1192</v>
      </c>
      <c r="F58" s="265"/>
      <c r="G58" s="265" t="s">
        <v>1190</v>
      </c>
      <c r="H58" s="244"/>
      <c r="I58" s="244"/>
      <c r="J58" s="244"/>
      <c r="K58" s="244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</row>
    <row r="59" ht="14.25" customHeight="1">
      <c r="A59" s="263"/>
      <c r="B59" s="265"/>
      <c r="C59" s="259" t="s">
        <v>1193</v>
      </c>
      <c r="D59" s="263"/>
      <c r="E59" s="263"/>
      <c r="F59" s="265"/>
      <c r="G59" s="265"/>
      <c r="H59" s="244"/>
      <c r="I59" s="244"/>
      <c r="J59" s="244"/>
      <c r="K59" s="244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</row>
    <row r="60" ht="14.25" customHeight="1">
      <c r="A60" s="263"/>
      <c r="B60" s="265" t="s">
        <v>1022</v>
      </c>
      <c r="C60" s="266" t="s">
        <v>1194</v>
      </c>
      <c r="D60" s="263"/>
      <c r="E60" s="263"/>
      <c r="F60" s="265">
        <v>17.02</v>
      </c>
      <c r="G60" s="265" t="s">
        <v>1190</v>
      </c>
      <c r="H60" s="244"/>
      <c r="I60" s="244"/>
      <c r="J60" s="244"/>
      <c r="K60" s="244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</row>
    <row r="61" ht="14.25" customHeight="1">
      <c r="A61" s="244"/>
      <c r="B61" s="244"/>
      <c r="C61" s="259"/>
      <c r="D61" s="244"/>
      <c r="E61" s="244"/>
      <c r="F61" s="244"/>
      <c r="G61" s="244"/>
      <c r="H61" s="244"/>
      <c r="I61" s="244"/>
      <c r="J61" s="244"/>
      <c r="K61" s="244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</row>
    <row r="62" ht="14.25" customHeight="1">
      <c r="A62" s="244"/>
      <c r="B62" s="244"/>
      <c r="C62" s="244"/>
      <c r="D62" s="244"/>
      <c r="E62" s="244"/>
      <c r="F62" s="244"/>
      <c r="G62" s="244"/>
      <c r="H62" s="244"/>
      <c r="I62" s="244"/>
      <c r="J62" s="244"/>
      <c r="K62" s="244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</row>
    <row r="63" ht="14.25" customHeight="1">
      <c r="A63" s="267" t="s">
        <v>1030</v>
      </c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20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</row>
    <row r="64" ht="14.25" customHeight="1">
      <c r="A64" s="268"/>
      <c r="B64" s="269" t="s">
        <v>1031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20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</row>
    <row r="65" ht="14.25" customHeight="1">
      <c r="A65" s="268" t="s">
        <v>1024</v>
      </c>
      <c r="B65" s="269" t="s">
        <v>1032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20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</row>
    <row r="66" ht="14.25" customHeight="1">
      <c r="A66" s="268" t="s">
        <v>1023</v>
      </c>
      <c r="B66" s="269" t="s">
        <v>1033</v>
      </c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20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</row>
    <row r="67" ht="14.25" customHeight="1">
      <c r="A67" s="268" t="s">
        <v>1022</v>
      </c>
      <c r="B67" s="269" t="s">
        <v>1034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20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</row>
    <row r="68" ht="14.25" customHeight="1">
      <c r="A68" s="268" t="s">
        <v>1025</v>
      </c>
      <c r="B68" s="269" t="s">
        <v>1035</v>
      </c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20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</row>
    <row r="69" ht="14.25" customHeight="1">
      <c r="A69" s="268"/>
      <c r="B69" s="269" t="s">
        <v>1036</v>
      </c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20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</row>
    <row r="70" ht="14.25" customHeight="1">
      <c r="A70" s="268" t="s">
        <v>1037</v>
      </c>
      <c r="B70" s="269" t="s">
        <v>1038</v>
      </c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20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</row>
    <row r="71" ht="14.25" customHeight="1">
      <c r="A71" s="268" t="s">
        <v>1039</v>
      </c>
      <c r="B71" s="269" t="s">
        <v>1040</v>
      </c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20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</row>
    <row r="72" ht="14.25" customHeight="1">
      <c r="A72" s="268" t="s">
        <v>1041</v>
      </c>
      <c r="B72" s="269" t="s">
        <v>1042</v>
      </c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20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</row>
    <row r="73" ht="14.25" customHeight="1">
      <c r="A73" s="268" t="s">
        <v>1043</v>
      </c>
      <c r="B73" s="269" t="s">
        <v>1044</v>
      </c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20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</row>
    <row r="74" ht="14.25" customHeight="1">
      <c r="A74" s="268" t="s">
        <v>1045</v>
      </c>
      <c r="B74" s="269" t="s">
        <v>1046</v>
      </c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20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</row>
    <row r="75" ht="14.25" customHeight="1">
      <c r="A75" s="268" t="s">
        <v>1047</v>
      </c>
      <c r="B75" s="269" t="s">
        <v>1048</v>
      </c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20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</row>
    <row r="76" ht="14.25" customHeight="1">
      <c r="A76" s="268" t="s">
        <v>1049</v>
      </c>
      <c r="B76" s="269" t="s">
        <v>1050</v>
      </c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20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</row>
    <row r="77" ht="14.25" customHeight="1">
      <c r="A77" s="268" t="s">
        <v>1051</v>
      </c>
      <c r="B77" s="269" t="s">
        <v>1052</v>
      </c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20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</row>
    <row r="78" ht="14.25" customHeight="1">
      <c r="A78" s="268" t="s">
        <v>1053</v>
      </c>
      <c r="B78" s="269" t="s">
        <v>1054</v>
      </c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20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</row>
    <row r="79" ht="14.25" customHeight="1">
      <c r="A79" s="268"/>
      <c r="B79" s="269" t="s">
        <v>1055</v>
      </c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20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</row>
    <row r="80" ht="14.25" customHeight="1">
      <c r="A80" s="268" t="s">
        <v>1056</v>
      </c>
      <c r="B80" s="269" t="s">
        <v>1057</v>
      </c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20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</row>
    <row r="81" ht="14.25" customHeight="1">
      <c r="A81" s="268" t="s">
        <v>1058</v>
      </c>
      <c r="B81" s="269" t="s">
        <v>1059</v>
      </c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20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</row>
    <row r="82" ht="14.25" customHeight="1">
      <c r="A82" s="268" t="s">
        <v>1060</v>
      </c>
      <c r="B82" s="269" t="s">
        <v>1061</v>
      </c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20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</row>
    <row r="83" ht="14.25" customHeight="1">
      <c r="A83" s="268" t="s">
        <v>1062</v>
      </c>
      <c r="B83" s="269" t="s">
        <v>1063</v>
      </c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20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</row>
    <row r="84" ht="14.25" customHeight="1">
      <c r="A84" s="268"/>
      <c r="B84" s="269" t="s">
        <v>1064</v>
      </c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20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</row>
    <row r="85" ht="14.25" customHeight="1">
      <c r="A85" s="268" t="s">
        <v>1065</v>
      </c>
      <c r="B85" s="269" t="s">
        <v>1066</v>
      </c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20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</row>
    <row r="86" ht="14.25" customHeight="1">
      <c r="A86" s="268" t="s">
        <v>1067</v>
      </c>
      <c r="B86" s="269" t="s">
        <v>1068</v>
      </c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20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</row>
    <row r="87" ht="14.25" customHeight="1">
      <c r="A87" s="268" t="s">
        <v>1069</v>
      </c>
      <c r="B87" s="269" t="s">
        <v>1070</v>
      </c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20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</row>
    <row r="88" ht="14.25" customHeight="1">
      <c r="A88" s="268" t="s">
        <v>1071</v>
      </c>
      <c r="B88" s="269" t="s">
        <v>1072</v>
      </c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20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</row>
    <row r="89" ht="14.25" customHeight="1">
      <c r="A89" s="244"/>
      <c r="B89" s="244"/>
      <c r="C89" s="244"/>
      <c r="D89" s="244"/>
      <c r="E89" s="244"/>
      <c r="F89" s="244"/>
      <c r="G89" s="244"/>
      <c r="H89" s="244"/>
      <c r="I89" s="244"/>
      <c r="J89" s="244"/>
      <c r="K89" s="244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</row>
    <row r="90" ht="14.25" customHeight="1">
      <c r="A90" s="244"/>
      <c r="B90" s="244"/>
      <c r="C90" s="244"/>
      <c r="D90" s="244"/>
      <c r="E90" s="244"/>
      <c r="F90" s="244"/>
      <c r="G90" s="244"/>
      <c r="H90" s="244"/>
      <c r="I90" s="244"/>
      <c r="J90" s="244"/>
      <c r="K90" s="244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</row>
    <row r="91" ht="14.25" customHeight="1">
      <c r="A91" s="244"/>
      <c r="B91" s="244"/>
      <c r="C91" s="244"/>
      <c r="D91" s="244"/>
      <c r="E91" s="244"/>
      <c r="F91" s="244"/>
      <c r="G91" s="244"/>
      <c r="H91" s="244"/>
      <c r="I91" s="244"/>
      <c r="J91" s="244"/>
      <c r="K91" s="244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</row>
    <row r="92" ht="14.25" customHeight="1">
      <c r="A92" s="244"/>
      <c r="B92" s="244"/>
      <c r="C92" s="244"/>
      <c r="D92" s="244"/>
      <c r="E92" s="244"/>
      <c r="F92" s="244"/>
      <c r="G92" s="244"/>
      <c r="H92" s="244"/>
      <c r="I92" s="244"/>
      <c r="J92" s="244"/>
      <c r="K92" s="244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</row>
    <row r="93" ht="14.25" customHeight="1">
      <c r="A93" s="244"/>
      <c r="B93" s="244"/>
      <c r="C93" s="244"/>
      <c r="D93" s="244"/>
      <c r="E93" s="244"/>
      <c r="F93" s="244"/>
      <c r="G93" s="244"/>
      <c r="H93" s="244"/>
      <c r="I93" s="244"/>
      <c r="J93" s="244"/>
      <c r="K93" s="244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</row>
    <row r="94" ht="14.25" customHeight="1">
      <c r="A94" s="244"/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</row>
    <row r="95" ht="14.25" customHeight="1">
      <c r="A95" s="244"/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</row>
    <row r="96" ht="14.25" customHeight="1">
      <c r="A96" s="244"/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</row>
    <row r="97" ht="14.25" customHeight="1">
      <c r="A97" s="24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</row>
    <row r="98" ht="14.25" customHeight="1">
      <c r="A98" s="24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</row>
    <row r="99" ht="14.25" customHeight="1">
      <c r="A99" s="24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</row>
    <row r="100" ht="14.25" customHeight="1">
      <c r="A100" s="244"/>
      <c r="B100" s="244"/>
      <c r="C100" s="244"/>
      <c r="D100" s="244"/>
      <c r="E100" s="244"/>
      <c r="F100" s="244"/>
      <c r="G100" s="244"/>
      <c r="H100" s="244"/>
      <c r="I100" s="244"/>
      <c r="J100" s="244"/>
      <c r="K100" s="244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</row>
    <row r="101" ht="14.25" customHeight="1">
      <c r="A101" s="244"/>
      <c r="B101" s="244"/>
      <c r="C101" s="244"/>
      <c r="D101" s="244"/>
      <c r="E101" s="244"/>
      <c r="F101" s="244"/>
      <c r="G101" s="244"/>
      <c r="H101" s="244"/>
      <c r="I101" s="244"/>
      <c r="J101" s="244"/>
      <c r="K101" s="244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</row>
    <row r="102" ht="14.25" customHeight="1">
      <c r="A102" s="244"/>
      <c r="B102" s="244"/>
      <c r="C102" s="244"/>
      <c r="D102" s="244"/>
      <c r="E102" s="244"/>
      <c r="F102" s="244"/>
      <c r="G102" s="244"/>
      <c r="H102" s="244"/>
      <c r="I102" s="244"/>
      <c r="J102" s="244"/>
      <c r="K102" s="244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</row>
    <row r="103" ht="14.25" customHeight="1">
      <c r="A103" s="244"/>
      <c r="B103" s="244"/>
      <c r="C103" s="244"/>
      <c r="D103" s="244"/>
      <c r="E103" s="244"/>
      <c r="F103" s="244"/>
      <c r="G103" s="244"/>
      <c r="H103" s="244"/>
      <c r="I103" s="244"/>
      <c r="J103" s="244"/>
      <c r="K103" s="244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</row>
    <row r="104" ht="14.25" customHeight="1">
      <c r="A104" s="244"/>
      <c r="B104" s="244"/>
      <c r="C104" s="244"/>
      <c r="D104" s="244"/>
      <c r="E104" s="244"/>
      <c r="F104" s="244"/>
      <c r="G104" s="244"/>
      <c r="H104" s="244"/>
      <c r="I104" s="244"/>
      <c r="J104" s="244"/>
      <c r="K104" s="244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</row>
    <row r="105" ht="14.25" customHeight="1">
      <c r="A105" s="244"/>
      <c r="B105" s="244"/>
      <c r="C105" s="244"/>
      <c r="D105" s="244"/>
      <c r="E105" s="244"/>
      <c r="F105" s="244"/>
      <c r="G105" s="244"/>
      <c r="H105" s="244"/>
      <c r="I105" s="244"/>
      <c r="J105" s="244"/>
      <c r="K105" s="244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</row>
    <row r="106" ht="14.25" customHeight="1">
      <c r="A106" s="244"/>
      <c r="B106" s="244"/>
      <c r="C106" s="244"/>
      <c r="D106" s="244"/>
      <c r="E106" s="244"/>
      <c r="F106" s="244"/>
      <c r="G106" s="244"/>
      <c r="H106" s="244"/>
      <c r="I106" s="244"/>
      <c r="J106" s="244"/>
      <c r="K106" s="244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</row>
    <row r="107" ht="14.25" customHeight="1">
      <c r="A107" s="244"/>
      <c r="B107" s="244"/>
      <c r="C107" s="244"/>
      <c r="D107" s="244"/>
      <c r="E107" s="244"/>
      <c r="F107" s="244"/>
      <c r="G107" s="244"/>
      <c r="H107" s="244"/>
      <c r="I107" s="244"/>
      <c r="J107" s="244"/>
      <c r="K107" s="244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</row>
    <row r="108" ht="14.25" customHeight="1">
      <c r="A108" s="244"/>
      <c r="B108" s="244"/>
      <c r="C108" s="244"/>
      <c r="D108" s="244"/>
      <c r="E108" s="244"/>
      <c r="F108" s="244"/>
      <c r="G108" s="244"/>
      <c r="H108" s="244"/>
      <c r="I108" s="244"/>
      <c r="J108" s="244"/>
      <c r="K108" s="244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</row>
    <row r="109" ht="14.25" customHeight="1">
      <c r="A109" s="244"/>
      <c r="B109" s="244"/>
      <c r="C109" s="244"/>
      <c r="D109" s="244"/>
      <c r="E109" s="244"/>
      <c r="F109" s="244"/>
      <c r="G109" s="244"/>
      <c r="H109" s="244"/>
      <c r="I109" s="244"/>
      <c r="J109" s="244"/>
      <c r="K109" s="244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</row>
    <row r="110" ht="14.25" customHeight="1">
      <c r="A110" s="244"/>
      <c r="B110" s="244"/>
      <c r="C110" s="244"/>
      <c r="D110" s="244"/>
      <c r="E110" s="244"/>
      <c r="F110" s="244"/>
      <c r="G110" s="244"/>
      <c r="H110" s="244"/>
      <c r="I110" s="244"/>
      <c r="J110" s="244"/>
      <c r="K110" s="244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</row>
    <row r="111" ht="14.25" customHeight="1">
      <c r="A111" s="244"/>
      <c r="B111" s="244"/>
      <c r="C111" s="244"/>
      <c r="D111" s="244"/>
      <c r="E111" s="244"/>
      <c r="F111" s="244"/>
      <c r="G111" s="244"/>
      <c r="H111" s="244"/>
      <c r="I111" s="244"/>
      <c r="J111" s="244"/>
      <c r="K111" s="244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</row>
    <row r="112" ht="14.25" customHeight="1">
      <c r="A112" s="244"/>
      <c r="B112" s="244"/>
      <c r="C112" s="244"/>
      <c r="D112" s="244"/>
      <c r="E112" s="244"/>
      <c r="F112" s="244"/>
      <c r="G112" s="244"/>
      <c r="H112" s="244"/>
      <c r="I112" s="244"/>
      <c r="J112" s="244"/>
      <c r="K112" s="244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</row>
    <row r="113" ht="14.25" customHeight="1">
      <c r="A113" s="244"/>
      <c r="B113" s="244"/>
      <c r="C113" s="244"/>
      <c r="D113" s="244"/>
      <c r="E113" s="244"/>
      <c r="F113" s="244"/>
      <c r="G113" s="244"/>
      <c r="H113" s="244"/>
      <c r="I113" s="244"/>
      <c r="J113" s="244"/>
      <c r="K113" s="244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</row>
    <row r="114" ht="14.25" customHeight="1">
      <c r="A114" s="244"/>
      <c r="B114" s="244"/>
      <c r="C114" s="244"/>
      <c r="D114" s="244"/>
      <c r="E114" s="244"/>
      <c r="F114" s="244"/>
      <c r="G114" s="244"/>
      <c r="H114" s="244"/>
      <c r="I114" s="244"/>
      <c r="J114" s="244"/>
      <c r="K114" s="244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</row>
    <row r="115" ht="14.25" customHeight="1">
      <c r="A115" s="244"/>
      <c r="B115" s="244"/>
      <c r="C115" s="244"/>
      <c r="D115" s="244"/>
      <c r="E115" s="244"/>
      <c r="F115" s="244"/>
      <c r="G115" s="244"/>
      <c r="H115" s="244"/>
      <c r="I115" s="244"/>
      <c r="J115" s="244"/>
      <c r="K115" s="244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</row>
    <row r="116" ht="14.25" customHeight="1">
      <c r="A116" s="244"/>
      <c r="B116" s="244"/>
      <c r="C116" s="244"/>
      <c r="D116" s="244"/>
      <c r="E116" s="244"/>
      <c r="F116" s="244"/>
      <c r="G116" s="244"/>
      <c r="H116" s="244"/>
      <c r="I116" s="244"/>
      <c r="J116" s="244"/>
      <c r="K116" s="244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</row>
    <row r="117" ht="14.25" customHeight="1">
      <c r="A117" s="244"/>
      <c r="B117" s="244"/>
      <c r="C117" s="244"/>
      <c r="D117" s="244"/>
      <c r="E117" s="244"/>
      <c r="F117" s="244"/>
      <c r="G117" s="244"/>
      <c r="H117" s="244"/>
      <c r="I117" s="244"/>
      <c r="J117" s="244"/>
      <c r="K117" s="244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</row>
    <row r="118" ht="14.25" customHeight="1">
      <c r="A118" s="244"/>
      <c r="B118" s="244"/>
      <c r="C118" s="244"/>
      <c r="D118" s="244"/>
      <c r="E118" s="244"/>
      <c r="F118" s="244"/>
      <c r="G118" s="244"/>
      <c r="H118" s="244"/>
      <c r="I118" s="244"/>
      <c r="J118" s="244"/>
      <c r="K118" s="244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</row>
    <row r="119" ht="14.25" customHeight="1">
      <c r="A119" s="244"/>
      <c r="B119" s="244"/>
      <c r="C119" s="244"/>
      <c r="D119" s="244"/>
      <c r="E119" s="244"/>
      <c r="F119" s="244"/>
      <c r="G119" s="244"/>
      <c r="H119" s="244"/>
      <c r="I119" s="244"/>
      <c r="J119" s="244"/>
      <c r="K119" s="244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</row>
    <row r="120" ht="14.25" customHeight="1">
      <c r="A120" s="244"/>
      <c r="B120" s="244"/>
      <c r="C120" s="244"/>
      <c r="D120" s="244"/>
      <c r="E120" s="244"/>
      <c r="F120" s="244"/>
      <c r="G120" s="244"/>
      <c r="H120" s="244"/>
      <c r="I120" s="244"/>
      <c r="J120" s="244"/>
      <c r="K120" s="244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</row>
    <row r="121" ht="14.25" customHeight="1">
      <c r="A121" s="244"/>
      <c r="B121" s="244"/>
      <c r="C121" s="244"/>
      <c r="D121" s="244"/>
      <c r="E121" s="244"/>
      <c r="F121" s="244"/>
      <c r="G121" s="244"/>
      <c r="H121" s="244"/>
      <c r="I121" s="244"/>
      <c r="J121" s="244"/>
      <c r="K121" s="244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</row>
    <row r="122" ht="14.25" customHeight="1">
      <c r="A122" s="244"/>
      <c r="B122" s="244"/>
      <c r="C122" s="244"/>
      <c r="D122" s="244"/>
      <c r="E122" s="244"/>
      <c r="F122" s="244"/>
      <c r="G122" s="244"/>
      <c r="H122" s="244"/>
      <c r="I122" s="244"/>
      <c r="J122" s="244"/>
      <c r="K122" s="244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</row>
    <row r="123" ht="14.25" customHeight="1">
      <c r="A123" s="244"/>
      <c r="B123" s="244"/>
      <c r="C123" s="244"/>
      <c r="D123" s="244"/>
      <c r="E123" s="244"/>
      <c r="F123" s="244"/>
      <c r="G123" s="244"/>
      <c r="H123" s="244"/>
      <c r="I123" s="244"/>
      <c r="J123" s="244"/>
      <c r="K123" s="244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</row>
    <row r="124" ht="14.25" customHeight="1">
      <c r="A124" s="244"/>
      <c r="B124" s="244"/>
      <c r="C124" s="244"/>
      <c r="D124" s="244"/>
      <c r="E124" s="244"/>
      <c r="F124" s="244"/>
      <c r="G124" s="244"/>
      <c r="H124" s="244"/>
      <c r="I124" s="244"/>
      <c r="J124" s="244"/>
      <c r="K124" s="244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</row>
    <row r="125" ht="14.25" customHeight="1">
      <c r="A125" s="244"/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</row>
    <row r="126" ht="14.25" customHeight="1">
      <c r="A126" s="244"/>
      <c r="B126" s="244"/>
      <c r="C126" s="244"/>
      <c r="D126" s="244"/>
      <c r="E126" s="244"/>
      <c r="F126" s="244"/>
      <c r="G126" s="244"/>
      <c r="H126" s="244"/>
      <c r="I126" s="244"/>
      <c r="J126" s="244"/>
      <c r="K126" s="244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</row>
    <row r="127" ht="14.25" customHeight="1">
      <c r="A127" s="244"/>
      <c r="B127" s="244"/>
      <c r="C127" s="244"/>
      <c r="D127" s="244"/>
      <c r="E127" s="244"/>
      <c r="F127" s="244"/>
      <c r="G127" s="244"/>
      <c r="H127" s="244"/>
      <c r="I127" s="244"/>
      <c r="J127" s="244"/>
      <c r="K127" s="244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</row>
    <row r="128" ht="14.25" customHeight="1">
      <c r="A128" s="244"/>
      <c r="B128" s="244"/>
      <c r="C128" s="244"/>
      <c r="D128" s="244"/>
      <c r="E128" s="244"/>
      <c r="F128" s="244"/>
      <c r="G128" s="244"/>
      <c r="H128" s="244"/>
      <c r="I128" s="244"/>
      <c r="J128" s="244"/>
      <c r="K128" s="244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</row>
    <row r="129" ht="14.25" customHeight="1">
      <c r="A129" s="244"/>
      <c r="B129" s="244"/>
      <c r="C129" s="244"/>
      <c r="D129" s="244"/>
      <c r="E129" s="244"/>
      <c r="F129" s="244"/>
      <c r="G129" s="244"/>
      <c r="H129" s="244"/>
      <c r="I129" s="244"/>
      <c r="J129" s="244"/>
      <c r="K129" s="244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</row>
    <row r="130" ht="14.25" customHeight="1">
      <c r="A130" s="244"/>
      <c r="B130" s="244"/>
      <c r="C130" s="244"/>
      <c r="D130" s="244"/>
      <c r="E130" s="244"/>
      <c r="F130" s="244"/>
      <c r="G130" s="244"/>
      <c r="H130" s="244"/>
      <c r="I130" s="244"/>
      <c r="J130" s="244"/>
      <c r="K130" s="244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</row>
    <row r="131" ht="14.25" customHeight="1">
      <c r="A131" s="244"/>
      <c r="B131" s="244"/>
      <c r="C131" s="244"/>
      <c r="D131" s="244"/>
      <c r="E131" s="244"/>
      <c r="F131" s="244"/>
      <c r="G131" s="244"/>
      <c r="H131" s="244"/>
      <c r="I131" s="244"/>
      <c r="J131" s="244"/>
      <c r="K131" s="244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</row>
    <row r="132" ht="14.25" customHeight="1">
      <c r="A132" s="244"/>
      <c r="B132" s="244"/>
      <c r="C132" s="244"/>
      <c r="D132" s="244"/>
      <c r="E132" s="244"/>
      <c r="F132" s="244"/>
      <c r="G132" s="244"/>
      <c r="H132" s="244"/>
      <c r="I132" s="244"/>
      <c r="J132" s="244"/>
      <c r="K132" s="244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</row>
    <row r="133" ht="14.25" customHeight="1">
      <c r="A133" s="244"/>
      <c r="B133" s="244"/>
      <c r="C133" s="244"/>
      <c r="D133" s="244"/>
      <c r="E133" s="244"/>
      <c r="F133" s="244"/>
      <c r="G133" s="244"/>
      <c r="H133" s="244"/>
      <c r="I133" s="244"/>
      <c r="J133" s="244"/>
      <c r="K133" s="244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</row>
    <row r="134" ht="14.25" customHeight="1">
      <c r="A134" s="244"/>
      <c r="B134" s="244"/>
      <c r="C134" s="244"/>
      <c r="D134" s="244"/>
      <c r="E134" s="244"/>
      <c r="F134" s="244"/>
      <c r="G134" s="244"/>
      <c r="H134" s="244"/>
      <c r="I134" s="244"/>
      <c r="J134" s="244"/>
      <c r="K134" s="244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</row>
    <row r="135" ht="14.25" customHeight="1">
      <c r="A135" s="244"/>
      <c r="B135" s="244"/>
      <c r="C135" s="244"/>
      <c r="D135" s="244"/>
      <c r="E135" s="244"/>
      <c r="F135" s="244"/>
      <c r="G135" s="244"/>
      <c r="H135" s="244"/>
      <c r="I135" s="244"/>
      <c r="J135" s="244"/>
      <c r="K135" s="244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</row>
    <row r="136" ht="14.25" customHeight="1">
      <c r="A136" s="244"/>
      <c r="B136" s="244"/>
      <c r="C136" s="244"/>
      <c r="D136" s="244"/>
      <c r="E136" s="244"/>
      <c r="F136" s="244"/>
      <c r="G136" s="244"/>
      <c r="H136" s="244"/>
      <c r="I136" s="244"/>
      <c r="J136" s="244"/>
      <c r="K136" s="244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</row>
    <row r="137" ht="14.25" customHeight="1">
      <c r="A137" s="244"/>
      <c r="B137" s="244"/>
      <c r="C137" s="244"/>
      <c r="D137" s="244"/>
      <c r="E137" s="244"/>
      <c r="F137" s="244"/>
      <c r="G137" s="244"/>
      <c r="H137" s="244"/>
      <c r="I137" s="244"/>
      <c r="J137" s="244"/>
      <c r="K137" s="244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</row>
    <row r="138" ht="14.25" customHeight="1">
      <c r="A138" s="244"/>
      <c r="B138" s="244"/>
      <c r="C138" s="244"/>
      <c r="D138" s="244"/>
      <c r="E138" s="244"/>
      <c r="F138" s="244"/>
      <c r="G138" s="244"/>
      <c r="H138" s="244"/>
      <c r="I138" s="244"/>
      <c r="J138" s="244"/>
      <c r="K138" s="244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</row>
    <row r="139" ht="14.25" customHeight="1">
      <c r="A139" s="244"/>
      <c r="B139" s="244"/>
      <c r="C139" s="244"/>
      <c r="D139" s="244"/>
      <c r="E139" s="244"/>
      <c r="F139" s="244"/>
      <c r="G139" s="244"/>
      <c r="H139" s="244"/>
      <c r="I139" s="244"/>
      <c r="J139" s="244"/>
      <c r="K139" s="244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</row>
    <row r="140" ht="14.25" customHeight="1">
      <c r="A140" s="244"/>
      <c r="B140" s="244"/>
      <c r="C140" s="244"/>
      <c r="D140" s="244"/>
      <c r="E140" s="244"/>
      <c r="F140" s="244"/>
      <c r="G140" s="244"/>
      <c r="H140" s="244"/>
      <c r="I140" s="244"/>
      <c r="J140" s="244"/>
      <c r="K140" s="244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</row>
    <row r="141" ht="14.25" customHeight="1">
      <c r="A141" s="244"/>
      <c r="B141" s="244"/>
      <c r="C141" s="244"/>
      <c r="D141" s="244"/>
      <c r="E141" s="244"/>
      <c r="F141" s="244"/>
      <c r="G141" s="244"/>
      <c r="H141" s="244"/>
      <c r="I141" s="244"/>
      <c r="J141" s="244"/>
      <c r="K141" s="244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</row>
    <row r="142" ht="14.25" customHeight="1">
      <c r="A142" s="244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</row>
    <row r="143" ht="14.25" customHeight="1">
      <c r="A143" s="244"/>
      <c r="B143" s="244"/>
      <c r="C143" s="244"/>
      <c r="D143" s="244"/>
      <c r="E143" s="244"/>
      <c r="F143" s="244"/>
      <c r="G143" s="244"/>
      <c r="H143" s="244"/>
      <c r="I143" s="244"/>
      <c r="J143" s="244"/>
      <c r="K143" s="244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</row>
    <row r="144" ht="14.25" customHeight="1">
      <c r="A144" s="244"/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</row>
    <row r="145" ht="14.25" customHeight="1">
      <c r="A145" s="244"/>
      <c r="B145" s="244"/>
      <c r="C145" s="244"/>
      <c r="D145" s="244"/>
      <c r="E145" s="244"/>
      <c r="F145" s="244"/>
      <c r="G145" s="244"/>
      <c r="H145" s="244"/>
      <c r="I145" s="244"/>
      <c r="J145" s="244"/>
      <c r="K145" s="244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</row>
    <row r="146" ht="14.25" customHeight="1">
      <c r="A146" s="244"/>
      <c r="B146" s="244"/>
      <c r="C146" s="244"/>
      <c r="D146" s="244"/>
      <c r="E146" s="244"/>
      <c r="F146" s="244"/>
      <c r="G146" s="244"/>
      <c r="H146" s="244"/>
      <c r="I146" s="244"/>
      <c r="J146" s="244"/>
      <c r="K146" s="244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</row>
    <row r="147" ht="14.25" customHeight="1">
      <c r="A147" s="244"/>
      <c r="B147" s="244"/>
      <c r="C147" s="244"/>
      <c r="D147" s="244"/>
      <c r="E147" s="244"/>
      <c r="F147" s="244"/>
      <c r="G147" s="244"/>
      <c r="H147" s="244"/>
      <c r="I147" s="244"/>
      <c r="J147" s="244"/>
      <c r="K147" s="244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</row>
    <row r="148" ht="14.25" customHeight="1">
      <c r="A148" s="244"/>
      <c r="B148" s="244"/>
      <c r="C148" s="244"/>
      <c r="D148" s="244"/>
      <c r="E148" s="244"/>
      <c r="F148" s="244"/>
      <c r="G148" s="244"/>
      <c r="H148" s="244"/>
      <c r="I148" s="244"/>
      <c r="J148" s="244"/>
      <c r="K148" s="244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</row>
    <row r="149" ht="14.25" customHeight="1">
      <c r="A149" s="244"/>
      <c r="B149" s="244"/>
      <c r="C149" s="244"/>
      <c r="D149" s="244"/>
      <c r="E149" s="244"/>
      <c r="F149" s="244"/>
      <c r="G149" s="244"/>
      <c r="H149" s="244"/>
      <c r="I149" s="244"/>
      <c r="J149" s="244"/>
      <c r="K149" s="244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</row>
    <row r="150" ht="14.25" customHeight="1">
      <c r="A150" s="244"/>
      <c r="B150" s="244"/>
      <c r="C150" s="244"/>
      <c r="D150" s="244"/>
      <c r="E150" s="244"/>
      <c r="F150" s="244"/>
      <c r="G150" s="244"/>
      <c r="H150" s="244"/>
      <c r="I150" s="244"/>
      <c r="J150" s="244"/>
      <c r="K150" s="244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</row>
    <row r="151" ht="14.25" customHeight="1">
      <c r="A151" s="244"/>
      <c r="B151" s="244"/>
      <c r="C151" s="244"/>
      <c r="D151" s="244"/>
      <c r="E151" s="244"/>
      <c r="F151" s="244"/>
      <c r="G151" s="244"/>
      <c r="H151" s="244"/>
      <c r="I151" s="244"/>
      <c r="J151" s="244"/>
      <c r="K151" s="244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</row>
    <row r="152" ht="14.25" customHeight="1">
      <c r="A152" s="244"/>
      <c r="B152" s="244"/>
      <c r="C152" s="244"/>
      <c r="D152" s="244"/>
      <c r="E152" s="244"/>
      <c r="F152" s="244"/>
      <c r="G152" s="244"/>
      <c r="H152" s="244"/>
      <c r="I152" s="244"/>
      <c r="J152" s="244"/>
      <c r="K152" s="244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</row>
    <row r="153" ht="14.25" customHeight="1">
      <c r="A153" s="244"/>
      <c r="B153" s="244"/>
      <c r="C153" s="244"/>
      <c r="D153" s="244"/>
      <c r="E153" s="244"/>
      <c r="F153" s="244"/>
      <c r="G153" s="244"/>
      <c r="H153" s="244"/>
      <c r="I153" s="244"/>
      <c r="J153" s="244"/>
      <c r="K153" s="244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</row>
    <row r="154" ht="14.25" customHeight="1">
      <c r="A154" s="244"/>
      <c r="B154" s="244"/>
      <c r="C154" s="244"/>
      <c r="D154" s="244"/>
      <c r="E154" s="244"/>
      <c r="F154" s="244"/>
      <c r="G154" s="244"/>
      <c r="H154" s="244"/>
      <c r="I154" s="244"/>
      <c r="J154" s="244"/>
      <c r="K154" s="244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</row>
    <row r="155" ht="14.25" customHeight="1">
      <c r="A155" s="244"/>
      <c r="B155" s="244"/>
      <c r="C155" s="244"/>
      <c r="D155" s="244"/>
      <c r="E155" s="244"/>
      <c r="F155" s="244"/>
      <c r="G155" s="244"/>
      <c r="H155" s="244"/>
      <c r="I155" s="244"/>
      <c r="J155" s="244"/>
      <c r="K155" s="244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</row>
    <row r="156" ht="14.25" customHeight="1">
      <c r="A156" s="244"/>
      <c r="B156" s="244"/>
      <c r="C156" s="244"/>
      <c r="D156" s="244"/>
      <c r="E156" s="244"/>
      <c r="F156" s="244"/>
      <c r="G156" s="244"/>
      <c r="H156" s="244"/>
      <c r="I156" s="244"/>
      <c r="J156" s="244"/>
      <c r="K156" s="244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</row>
    <row r="157" ht="14.25" customHeight="1">
      <c r="A157" s="244"/>
      <c r="B157" s="244"/>
      <c r="C157" s="244"/>
      <c r="D157" s="244"/>
      <c r="E157" s="244"/>
      <c r="F157" s="244"/>
      <c r="G157" s="244"/>
      <c r="H157" s="244"/>
      <c r="I157" s="244"/>
      <c r="J157" s="244"/>
      <c r="K157" s="244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</row>
    <row r="158" ht="14.25" customHeight="1">
      <c r="A158" s="244"/>
      <c r="B158" s="244"/>
      <c r="C158" s="244"/>
      <c r="D158" s="244"/>
      <c r="E158" s="244"/>
      <c r="F158" s="244"/>
      <c r="G158" s="244"/>
      <c r="H158" s="244"/>
      <c r="I158" s="244"/>
      <c r="J158" s="244"/>
      <c r="K158" s="244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</row>
    <row r="159" ht="14.25" customHeight="1">
      <c r="A159" s="244"/>
      <c r="B159" s="244"/>
      <c r="C159" s="244"/>
      <c r="D159" s="244"/>
      <c r="E159" s="244"/>
      <c r="F159" s="244"/>
      <c r="G159" s="244"/>
      <c r="H159" s="244"/>
      <c r="I159" s="244"/>
      <c r="J159" s="244"/>
      <c r="K159" s="244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</row>
    <row r="160" ht="14.25" customHeight="1">
      <c r="A160" s="244"/>
      <c r="B160" s="244"/>
      <c r="C160" s="244"/>
      <c r="D160" s="244"/>
      <c r="E160" s="244"/>
      <c r="F160" s="244"/>
      <c r="G160" s="244"/>
      <c r="H160" s="244"/>
      <c r="I160" s="244"/>
      <c r="J160" s="244"/>
      <c r="K160" s="244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</row>
    <row r="161" ht="14.25" customHeight="1">
      <c r="A161" s="244"/>
      <c r="B161" s="244"/>
      <c r="C161" s="244"/>
      <c r="D161" s="244"/>
      <c r="E161" s="244"/>
      <c r="F161" s="244"/>
      <c r="G161" s="244"/>
      <c r="H161" s="244"/>
      <c r="I161" s="244"/>
      <c r="J161" s="244"/>
      <c r="K161" s="244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</row>
    <row r="162" ht="14.25" customHeight="1">
      <c r="A162" s="244"/>
      <c r="B162" s="244"/>
      <c r="C162" s="244"/>
      <c r="D162" s="244"/>
      <c r="E162" s="244"/>
      <c r="F162" s="244"/>
      <c r="G162" s="244"/>
      <c r="H162" s="244"/>
      <c r="I162" s="244"/>
      <c r="J162" s="244"/>
      <c r="K162" s="244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</row>
    <row r="163" ht="14.25" customHeight="1">
      <c r="A163" s="244"/>
      <c r="B163" s="244"/>
      <c r="C163" s="244"/>
      <c r="D163" s="244"/>
      <c r="E163" s="244"/>
      <c r="F163" s="244"/>
      <c r="G163" s="244"/>
      <c r="H163" s="244"/>
      <c r="I163" s="244"/>
      <c r="J163" s="244"/>
      <c r="K163" s="244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</row>
    <row r="164" ht="14.25" customHeight="1">
      <c r="A164" s="244"/>
      <c r="B164" s="244"/>
      <c r="C164" s="244"/>
      <c r="D164" s="244"/>
      <c r="E164" s="244"/>
      <c r="F164" s="244"/>
      <c r="G164" s="244"/>
      <c r="H164" s="244"/>
      <c r="I164" s="244"/>
      <c r="J164" s="244"/>
      <c r="K164" s="244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</row>
    <row r="165" ht="14.25" customHeight="1">
      <c r="A165" s="244"/>
      <c r="B165" s="244"/>
      <c r="C165" s="244"/>
      <c r="D165" s="244"/>
      <c r="E165" s="244"/>
      <c r="F165" s="244"/>
      <c r="G165" s="244"/>
      <c r="H165" s="244"/>
      <c r="I165" s="244"/>
      <c r="J165" s="244"/>
      <c r="K165" s="244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</row>
    <row r="166" ht="14.25" customHeight="1">
      <c r="A166" s="244"/>
      <c r="B166" s="244"/>
      <c r="C166" s="244"/>
      <c r="D166" s="244"/>
      <c r="E166" s="244"/>
      <c r="F166" s="244"/>
      <c r="G166" s="244"/>
      <c r="H166" s="244"/>
      <c r="I166" s="244"/>
      <c r="J166" s="244"/>
      <c r="K166" s="244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</row>
    <row r="167" ht="14.25" customHeight="1">
      <c r="A167" s="244"/>
      <c r="B167" s="244"/>
      <c r="C167" s="244"/>
      <c r="D167" s="244"/>
      <c r="E167" s="244"/>
      <c r="F167" s="244"/>
      <c r="G167" s="244"/>
      <c r="H167" s="244"/>
      <c r="I167" s="244"/>
      <c r="J167" s="244"/>
      <c r="K167" s="244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</row>
    <row r="168" ht="14.25" customHeight="1">
      <c r="A168" s="244"/>
      <c r="B168" s="244"/>
      <c r="C168" s="244"/>
      <c r="D168" s="244"/>
      <c r="E168" s="244"/>
      <c r="F168" s="244"/>
      <c r="G168" s="244"/>
      <c r="H168" s="244"/>
      <c r="I168" s="244"/>
      <c r="J168" s="244"/>
      <c r="K168" s="244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</row>
    <row r="169" ht="14.25" customHeight="1">
      <c r="A169" s="244"/>
      <c r="B169" s="244"/>
      <c r="C169" s="244"/>
      <c r="D169" s="244"/>
      <c r="E169" s="244"/>
      <c r="F169" s="244"/>
      <c r="G169" s="244"/>
      <c r="H169" s="244"/>
      <c r="I169" s="244"/>
      <c r="J169" s="244"/>
      <c r="K169" s="244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</row>
    <row r="170" ht="14.25" customHeight="1">
      <c r="A170" s="244"/>
      <c r="B170" s="244"/>
      <c r="C170" s="244"/>
      <c r="D170" s="244"/>
      <c r="E170" s="244"/>
      <c r="F170" s="244"/>
      <c r="G170" s="244"/>
      <c r="H170" s="244"/>
      <c r="I170" s="244"/>
      <c r="J170" s="244"/>
      <c r="K170" s="244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</row>
    <row r="171" ht="14.25" customHeight="1">
      <c r="A171" s="244"/>
      <c r="B171" s="244"/>
      <c r="C171" s="244"/>
      <c r="D171" s="244"/>
      <c r="E171" s="244"/>
      <c r="F171" s="244"/>
      <c r="G171" s="244"/>
      <c r="H171" s="244"/>
      <c r="I171" s="244"/>
      <c r="J171" s="244"/>
      <c r="K171" s="244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</row>
    <row r="172" ht="14.25" customHeight="1">
      <c r="A172" s="244"/>
      <c r="B172" s="244"/>
      <c r="C172" s="244"/>
      <c r="D172" s="244"/>
      <c r="E172" s="244"/>
      <c r="F172" s="244"/>
      <c r="G172" s="244"/>
      <c r="H172" s="244"/>
      <c r="I172" s="244"/>
      <c r="J172" s="244"/>
      <c r="K172" s="244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</row>
    <row r="173" ht="14.25" customHeight="1">
      <c r="A173" s="244"/>
      <c r="B173" s="244"/>
      <c r="C173" s="244"/>
      <c r="D173" s="244"/>
      <c r="E173" s="244"/>
      <c r="F173" s="244"/>
      <c r="G173" s="244"/>
      <c r="H173" s="244"/>
      <c r="I173" s="244"/>
      <c r="J173" s="244"/>
      <c r="K173" s="244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</row>
    <row r="174" ht="14.25" customHeight="1">
      <c r="A174" s="244"/>
      <c r="B174" s="244"/>
      <c r="C174" s="244"/>
      <c r="D174" s="244"/>
      <c r="E174" s="244"/>
      <c r="F174" s="244"/>
      <c r="G174" s="244"/>
      <c r="H174" s="244"/>
      <c r="I174" s="244"/>
      <c r="J174" s="244"/>
      <c r="K174" s="244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</row>
    <row r="175" ht="14.25" customHeight="1">
      <c r="A175" s="244"/>
      <c r="B175" s="244"/>
      <c r="C175" s="244"/>
      <c r="D175" s="244"/>
      <c r="E175" s="244"/>
      <c r="F175" s="244"/>
      <c r="G175" s="244"/>
      <c r="H175" s="244"/>
      <c r="I175" s="244"/>
      <c r="J175" s="244"/>
      <c r="K175" s="244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</row>
    <row r="176" ht="14.25" customHeight="1">
      <c r="A176" s="244"/>
      <c r="B176" s="244"/>
      <c r="C176" s="244"/>
      <c r="D176" s="244"/>
      <c r="E176" s="244"/>
      <c r="F176" s="244"/>
      <c r="G176" s="244"/>
      <c r="H176" s="244"/>
      <c r="I176" s="244"/>
      <c r="J176" s="244"/>
      <c r="K176" s="244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</row>
    <row r="177" ht="14.25" customHeight="1">
      <c r="A177" s="244"/>
      <c r="B177" s="244"/>
      <c r="C177" s="244"/>
      <c r="D177" s="244"/>
      <c r="E177" s="244"/>
      <c r="F177" s="244"/>
      <c r="G177" s="244"/>
      <c r="H177" s="244"/>
      <c r="I177" s="244"/>
      <c r="J177" s="244"/>
      <c r="K177" s="244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</row>
    <row r="178" ht="14.25" customHeight="1">
      <c r="A178" s="244"/>
      <c r="B178" s="244"/>
      <c r="C178" s="244"/>
      <c r="D178" s="244"/>
      <c r="E178" s="244"/>
      <c r="F178" s="244"/>
      <c r="G178" s="244"/>
      <c r="H178" s="244"/>
      <c r="I178" s="244"/>
      <c r="J178" s="244"/>
      <c r="K178" s="244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</row>
    <row r="179" ht="14.25" customHeight="1">
      <c r="A179" s="244"/>
      <c r="B179" s="244"/>
      <c r="C179" s="244"/>
      <c r="D179" s="244"/>
      <c r="E179" s="244"/>
      <c r="F179" s="244"/>
      <c r="G179" s="244"/>
      <c r="H179" s="244"/>
      <c r="I179" s="244"/>
      <c r="J179" s="244"/>
      <c r="K179" s="244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</row>
    <row r="180" ht="14.25" customHeight="1">
      <c r="A180" s="244"/>
      <c r="B180" s="244"/>
      <c r="C180" s="244"/>
      <c r="D180" s="244"/>
      <c r="E180" s="244"/>
      <c r="F180" s="244"/>
      <c r="G180" s="244"/>
      <c r="H180" s="244"/>
      <c r="I180" s="244"/>
      <c r="J180" s="244"/>
      <c r="K180" s="244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</row>
    <row r="181" ht="14.25" customHeight="1">
      <c r="A181" s="244"/>
      <c r="B181" s="244"/>
      <c r="C181" s="244"/>
      <c r="D181" s="244"/>
      <c r="E181" s="244"/>
      <c r="F181" s="244"/>
      <c r="G181" s="244"/>
      <c r="H181" s="244"/>
      <c r="I181" s="244"/>
      <c r="J181" s="244"/>
      <c r="K181" s="244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</row>
    <row r="182" ht="14.25" customHeight="1">
      <c r="A182" s="244"/>
      <c r="B182" s="244"/>
      <c r="C182" s="244"/>
      <c r="D182" s="244"/>
      <c r="E182" s="244"/>
      <c r="F182" s="244"/>
      <c r="G182" s="244"/>
      <c r="H182" s="244"/>
      <c r="I182" s="244"/>
      <c r="J182" s="244"/>
      <c r="K182" s="244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</row>
    <row r="183" ht="14.25" customHeight="1">
      <c r="A183" s="244"/>
      <c r="B183" s="244"/>
      <c r="C183" s="244"/>
      <c r="D183" s="244"/>
      <c r="E183" s="244"/>
      <c r="F183" s="244"/>
      <c r="G183" s="244"/>
      <c r="H183" s="244"/>
      <c r="I183" s="244"/>
      <c r="J183" s="244"/>
      <c r="K183" s="244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</row>
    <row r="184" ht="14.25" customHeight="1">
      <c r="A184" s="244"/>
      <c r="B184" s="244"/>
      <c r="C184" s="244"/>
      <c r="D184" s="244"/>
      <c r="E184" s="244"/>
      <c r="F184" s="244"/>
      <c r="G184" s="244"/>
      <c r="H184" s="244"/>
      <c r="I184" s="244"/>
      <c r="J184" s="244"/>
      <c r="K184" s="244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</row>
    <row r="185" ht="14.25" customHeight="1">
      <c r="A185" s="244"/>
      <c r="B185" s="244"/>
      <c r="C185" s="244"/>
      <c r="D185" s="244"/>
      <c r="E185" s="244"/>
      <c r="F185" s="244"/>
      <c r="G185" s="244"/>
      <c r="H185" s="244"/>
      <c r="I185" s="244"/>
      <c r="J185" s="244"/>
      <c r="K185" s="244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</row>
    <row r="186" ht="14.25" customHeight="1">
      <c r="A186" s="244"/>
      <c r="B186" s="244"/>
      <c r="C186" s="244"/>
      <c r="D186" s="244"/>
      <c r="E186" s="244"/>
      <c r="F186" s="244"/>
      <c r="G186" s="244"/>
      <c r="H186" s="244"/>
      <c r="I186" s="244"/>
      <c r="J186" s="244"/>
      <c r="K186" s="244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</row>
    <row r="187" ht="14.25" customHeight="1">
      <c r="A187" s="244"/>
      <c r="B187" s="244"/>
      <c r="C187" s="244"/>
      <c r="D187" s="244"/>
      <c r="E187" s="244"/>
      <c r="F187" s="244"/>
      <c r="G187" s="244"/>
      <c r="H187" s="244"/>
      <c r="I187" s="244"/>
      <c r="J187" s="244"/>
      <c r="K187" s="244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</row>
    <row r="188" ht="14.25" customHeight="1">
      <c r="A188" s="244"/>
      <c r="B188" s="244"/>
      <c r="C188" s="244"/>
      <c r="D188" s="244"/>
      <c r="E188" s="244"/>
      <c r="F188" s="244"/>
      <c r="G188" s="244"/>
      <c r="H188" s="244"/>
      <c r="I188" s="244"/>
      <c r="J188" s="244"/>
      <c r="K188" s="244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</row>
    <row r="189" ht="14.25" customHeight="1">
      <c r="A189" s="244"/>
      <c r="B189" s="244"/>
      <c r="C189" s="244"/>
      <c r="D189" s="244"/>
      <c r="E189" s="244"/>
      <c r="F189" s="244"/>
      <c r="G189" s="244"/>
      <c r="H189" s="244"/>
      <c r="I189" s="244"/>
      <c r="J189" s="244"/>
      <c r="K189" s="244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</row>
    <row r="190" ht="14.25" customHeight="1">
      <c r="A190" s="244"/>
      <c r="B190" s="244"/>
      <c r="C190" s="244"/>
      <c r="D190" s="244"/>
      <c r="E190" s="244"/>
      <c r="F190" s="244"/>
      <c r="G190" s="244"/>
      <c r="H190" s="244"/>
      <c r="I190" s="244"/>
      <c r="J190" s="244"/>
      <c r="K190" s="244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</row>
    <row r="191" ht="14.25" customHeight="1">
      <c r="A191" s="244"/>
      <c r="B191" s="244"/>
      <c r="C191" s="244"/>
      <c r="D191" s="244"/>
      <c r="E191" s="244"/>
      <c r="F191" s="244"/>
      <c r="G191" s="244"/>
      <c r="H191" s="244"/>
      <c r="I191" s="244"/>
      <c r="J191" s="244"/>
      <c r="K191" s="244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</row>
    <row r="192" ht="14.25" customHeight="1">
      <c r="A192" s="244"/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</row>
    <row r="193" ht="14.25" customHeight="1">
      <c r="A193" s="244"/>
      <c r="B193" s="244"/>
      <c r="C193" s="244"/>
      <c r="D193" s="244"/>
      <c r="E193" s="244"/>
      <c r="F193" s="244"/>
      <c r="G193" s="244"/>
      <c r="H193" s="244"/>
      <c r="I193" s="244"/>
      <c r="J193" s="244"/>
      <c r="K193" s="244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</row>
    <row r="194" ht="14.25" customHeight="1">
      <c r="A194" s="244"/>
      <c r="B194" s="244"/>
      <c r="C194" s="244"/>
      <c r="D194" s="244"/>
      <c r="E194" s="244"/>
      <c r="F194" s="244"/>
      <c r="G194" s="244"/>
      <c r="H194" s="244"/>
      <c r="I194" s="244"/>
      <c r="J194" s="244"/>
      <c r="K194" s="244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</row>
    <row r="195" ht="14.25" customHeight="1">
      <c r="A195" s="244"/>
      <c r="B195" s="244"/>
      <c r="C195" s="244"/>
      <c r="D195" s="244"/>
      <c r="E195" s="244"/>
      <c r="F195" s="244"/>
      <c r="G195" s="244"/>
      <c r="H195" s="244"/>
      <c r="I195" s="244"/>
      <c r="J195" s="244"/>
      <c r="K195" s="244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</row>
    <row r="196" ht="14.25" customHeight="1">
      <c r="A196" s="244"/>
      <c r="B196" s="244"/>
      <c r="C196" s="244"/>
      <c r="D196" s="244"/>
      <c r="E196" s="244"/>
      <c r="F196" s="244"/>
      <c r="G196" s="244"/>
      <c r="H196" s="244"/>
      <c r="I196" s="244"/>
      <c r="J196" s="244"/>
      <c r="K196" s="244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</row>
    <row r="197" ht="14.25" customHeight="1">
      <c r="A197" s="244"/>
      <c r="B197" s="244"/>
      <c r="C197" s="244"/>
      <c r="D197" s="244"/>
      <c r="E197" s="244"/>
      <c r="F197" s="244"/>
      <c r="G197" s="244"/>
      <c r="H197" s="244"/>
      <c r="I197" s="244"/>
      <c r="J197" s="244"/>
      <c r="K197" s="244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</row>
    <row r="198" ht="14.25" customHeight="1">
      <c r="A198" s="244"/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</row>
    <row r="199" ht="14.25" customHeight="1">
      <c r="A199" s="244"/>
      <c r="B199" s="244"/>
      <c r="C199" s="244"/>
      <c r="D199" s="244"/>
      <c r="E199" s="244"/>
      <c r="F199" s="244"/>
      <c r="G199" s="244"/>
      <c r="H199" s="244"/>
      <c r="I199" s="244"/>
      <c r="J199" s="244"/>
      <c r="K199" s="244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</row>
    <row r="200" ht="14.25" customHeight="1">
      <c r="A200" s="244"/>
      <c r="B200" s="244"/>
      <c r="C200" s="244"/>
      <c r="D200" s="244"/>
      <c r="E200" s="244"/>
      <c r="F200" s="244"/>
      <c r="G200" s="244"/>
      <c r="H200" s="244"/>
      <c r="I200" s="244"/>
      <c r="J200" s="244"/>
      <c r="K200" s="244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</row>
    <row r="201" ht="14.25" customHeight="1">
      <c r="A201" s="244"/>
      <c r="B201" s="244"/>
      <c r="C201" s="244"/>
      <c r="D201" s="244"/>
      <c r="E201" s="244"/>
      <c r="F201" s="244"/>
      <c r="G201" s="244"/>
      <c r="H201" s="244"/>
      <c r="I201" s="244"/>
      <c r="J201" s="244"/>
      <c r="K201" s="244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</row>
    <row r="202" ht="14.25" customHeight="1">
      <c r="A202" s="244"/>
      <c r="B202" s="244"/>
      <c r="C202" s="244"/>
      <c r="D202" s="244"/>
      <c r="E202" s="244"/>
      <c r="F202" s="244"/>
      <c r="G202" s="244"/>
      <c r="H202" s="244"/>
      <c r="I202" s="244"/>
      <c r="J202" s="244"/>
      <c r="K202" s="244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</row>
    <row r="203" ht="14.25" customHeight="1">
      <c r="A203" s="244"/>
      <c r="B203" s="244"/>
      <c r="C203" s="244"/>
      <c r="D203" s="244"/>
      <c r="E203" s="244"/>
      <c r="F203" s="244"/>
      <c r="G203" s="244"/>
      <c r="H203" s="244"/>
      <c r="I203" s="244"/>
      <c r="J203" s="244"/>
      <c r="K203" s="244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</row>
    <row r="204" ht="14.25" customHeight="1">
      <c r="A204" s="244"/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</row>
    <row r="205" ht="14.25" customHeight="1">
      <c r="A205" s="244"/>
      <c r="B205" s="244"/>
      <c r="C205" s="244"/>
      <c r="D205" s="244"/>
      <c r="E205" s="244"/>
      <c r="F205" s="244"/>
      <c r="G205" s="244"/>
      <c r="H205" s="244"/>
      <c r="I205" s="244"/>
      <c r="J205" s="244"/>
      <c r="K205" s="244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</row>
    <row r="206" ht="14.25" customHeight="1">
      <c r="A206" s="244"/>
      <c r="B206" s="244"/>
      <c r="C206" s="244"/>
      <c r="D206" s="244"/>
      <c r="E206" s="244"/>
      <c r="F206" s="244"/>
      <c r="G206" s="244"/>
      <c r="H206" s="244"/>
      <c r="I206" s="244"/>
      <c r="J206" s="244"/>
      <c r="K206" s="244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</row>
    <row r="207" ht="14.25" customHeight="1">
      <c r="A207" s="244"/>
      <c r="B207" s="244"/>
      <c r="C207" s="244"/>
      <c r="D207" s="244"/>
      <c r="E207" s="244"/>
      <c r="F207" s="244"/>
      <c r="G207" s="244"/>
      <c r="H207" s="244"/>
      <c r="I207" s="244"/>
      <c r="J207" s="244"/>
      <c r="K207" s="244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</row>
    <row r="208" ht="14.25" customHeight="1">
      <c r="A208" s="244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</row>
    <row r="209" ht="14.25" customHeight="1">
      <c r="A209" s="244"/>
      <c r="B209" s="244"/>
      <c r="C209" s="244"/>
      <c r="D209" s="244"/>
      <c r="E209" s="244"/>
      <c r="F209" s="244"/>
      <c r="G209" s="244"/>
      <c r="H209" s="244"/>
      <c r="I209" s="244"/>
      <c r="J209" s="244"/>
      <c r="K209" s="244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</row>
    <row r="210" ht="14.25" customHeight="1">
      <c r="A210" s="244"/>
      <c r="B210" s="244"/>
      <c r="C210" s="244"/>
      <c r="D210" s="244"/>
      <c r="E210" s="244"/>
      <c r="F210" s="244"/>
      <c r="G210" s="244"/>
      <c r="H210" s="244"/>
      <c r="I210" s="244"/>
      <c r="J210" s="244"/>
      <c r="K210" s="244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</row>
    <row r="211" ht="14.25" customHeight="1">
      <c r="A211" s="244"/>
      <c r="B211" s="244"/>
      <c r="C211" s="244"/>
      <c r="D211" s="244"/>
      <c r="E211" s="244"/>
      <c r="F211" s="244"/>
      <c r="G211" s="244"/>
      <c r="H211" s="244"/>
      <c r="I211" s="244"/>
      <c r="J211" s="244"/>
      <c r="K211" s="244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</row>
    <row r="212" ht="14.25" customHeight="1">
      <c r="A212" s="244"/>
      <c r="B212" s="244"/>
      <c r="C212" s="244"/>
      <c r="D212" s="244"/>
      <c r="E212" s="244"/>
      <c r="F212" s="244"/>
      <c r="G212" s="244"/>
      <c r="H212" s="244"/>
      <c r="I212" s="244"/>
      <c r="J212" s="244"/>
      <c r="K212" s="244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</row>
    <row r="213" ht="14.25" customHeight="1">
      <c r="A213" s="244"/>
      <c r="B213" s="244"/>
      <c r="C213" s="244"/>
      <c r="D213" s="244"/>
      <c r="E213" s="244"/>
      <c r="F213" s="244"/>
      <c r="G213" s="244"/>
      <c r="H213" s="244"/>
      <c r="I213" s="244"/>
      <c r="J213" s="244"/>
      <c r="K213" s="244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</row>
    <row r="214" ht="14.25" customHeight="1">
      <c r="A214" s="244"/>
      <c r="B214" s="244"/>
      <c r="C214" s="244"/>
      <c r="D214" s="244"/>
      <c r="E214" s="244"/>
      <c r="F214" s="244"/>
      <c r="G214" s="244"/>
      <c r="H214" s="244"/>
      <c r="I214" s="244"/>
      <c r="J214" s="244"/>
      <c r="K214" s="244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</row>
    <row r="215" ht="14.25" customHeight="1">
      <c r="A215" s="244"/>
      <c r="B215" s="244"/>
      <c r="C215" s="244"/>
      <c r="D215" s="244"/>
      <c r="E215" s="244"/>
      <c r="F215" s="244"/>
      <c r="G215" s="244"/>
      <c r="H215" s="244"/>
      <c r="I215" s="244"/>
      <c r="J215" s="244"/>
      <c r="K215" s="244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</row>
    <row r="216" ht="14.25" customHeight="1">
      <c r="A216" s="244"/>
      <c r="B216" s="244"/>
      <c r="C216" s="244"/>
      <c r="D216" s="244"/>
      <c r="E216" s="244"/>
      <c r="F216" s="244"/>
      <c r="G216" s="244"/>
      <c r="H216" s="244"/>
      <c r="I216" s="244"/>
      <c r="J216" s="244"/>
      <c r="K216" s="244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</row>
    <row r="217" ht="14.25" customHeight="1">
      <c r="A217" s="244"/>
      <c r="B217" s="244"/>
      <c r="C217" s="244"/>
      <c r="D217" s="244"/>
      <c r="E217" s="244"/>
      <c r="F217" s="244"/>
      <c r="G217" s="244"/>
      <c r="H217" s="244"/>
      <c r="I217" s="244"/>
      <c r="J217" s="244"/>
      <c r="K217" s="244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</row>
    <row r="218" ht="14.25" customHeight="1">
      <c r="A218" s="244"/>
      <c r="B218" s="244"/>
      <c r="C218" s="244"/>
      <c r="D218" s="244"/>
      <c r="E218" s="244"/>
      <c r="F218" s="244"/>
      <c r="G218" s="244"/>
      <c r="H218" s="244"/>
      <c r="I218" s="244"/>
      <c r="J218" s="244"/>
      <c r="K218" s="244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</row>
    <row r="219" ht="14.25" customHeight="1">
      <c r="A219" s="244"/>
      <c r="B219" s="244"/>
      <c r="C219" s="244"/>
      <c r="D219" s="244"/>
      <c r="E219" s="244"/>
      <c r="F219" s="244"/>
      <c r="G219" s="244"/>
      <c r="H219" s="244"/>
      <c r="I219" s="244"/>
      <c r="J219" s="244"/>
      <c r="K219" s="244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</row>
    <row r="220" ht="14.25" customHeight="1">
      <c r="A220" s="244"/>
      <c r="B220" s="244"/>
      <c r="C220" s="244"/>
      <c r="D220" s="244"/>
      <c r="E220" s="244"/>
      <c r="F220" s="244"/>
      <c r="G220" s="244"/>
      <c r="H220" s="244"/>
      <c r="I220" s="244"/>
      <c r="J220" s="244"/>
      <c r="K220" s="244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</row>
    <row r="221" ht="14.25" customHeight="1">
      <c r="A221" s="244"/>
      <c r="B221" s="244"/>
      <c r="C221" s="244"/>
      <c r="D221" s="244"/>
      <c r="E221" s="244"/>
      <c r="F221" s="244"/>
      <c r="G221" s="244"/>
      <c r="H221" s="244"/>
      <c r="I221" s="244"/>
      <c r="J221" s="244"/>
      <c r="K221" s="244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</row>
    <row r="222" ht="14.25" customHeight="1">
      <c r="A222" s="244"/>
      <c r="B222" s="244"/>
      <c r="C222" s="244"/>
      <c r="D222" s="244"/>
      <c r="E222" s="244"/>
      <c r="F222" s="244"/>
      <c r="G222" s="244"/>
      <c r="H222" s="244"/>
      <c r="I222" s="244"/>
      <c r="J222" s="244"/>
      <c r="K222" s="244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</row>
    <row r="223" ht="14.25" customHeight="1">
      <c r="A223" s="244"/>
      <c r="B223" s="244"/>
      <c r="C223" s="244"/>
      <c r="D223" s="244"/>
      <c r="E223" s="244"/>
      <c r="F223" s="244"/>
      <c r="G223" s="244"/>
      <c r="H223" s="244"/>
      <c r="I223" s="244"/>
      <c r="J223" s="244"/>
      <c r="K223" s="244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</row>
    <row r="224" ht="14.25" customHeight="1">
      <c r="A224" s="244"/>
      <c r="B224" s="244"/>
      <c r="C224" s="244"/>
      <c r="D224" s="244"/>
      <c r="E224" s="244"/>
      <c r="F224" s="244"/>
      <c r="G224" s="244"/>
      <c r="H224" s="244"/>
      <c r="I224" s="244"/>
      <c r="J224" s="244"/>
      <c r="K224" s="244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</row>
    <row r="225" ht="14.25" customHeight="1">
      <c r="A225" s="244"/>
      <c r="B225" s="244"/>
      <c r="C225" s="244"/>
      <c r="D225" s="244"/>
      <c r="E225" s="244"/>
      <c r="F225" s="244"/>
      <c r="G225" s="244"/>
      <c r="H225" s="244"/>
      <c r="I225" s="244"/>
      <c r="J225" s="244"/>
      <c r="K225" s="244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</row>
    <row r="226" ht="14.25" customHeight="1">
      <c r="A226" s="244"/>
      <c r="B226" s="244"/>
      <c r="C226" s="244"/>
      <c r="D226" s="244"/>
      <c r="E226" s="244"/>
      <c r="F226" s="244"/>
      <c r="G226" s="244"/>
      <c r="H226" s="244"/>
      <c r="I226" s="244"/>
      <c r="J226" s="244"/>
      <c r="K226" s="244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</row>
    <row r="227" ht="14.25" customHeight="1">
      <c r="A227" s="244"/>
      <c r="B227" s="244"/>
      <c r="C227" s="244"/>
      <c r="D227" s="244"/>
      <c r="E227" s="244"/>
      <c r="F227" s="244"/>
      <c r="G227" s="244"/>
      <c r="H227" s="244"/>
      <c r="I227" s="244"/>
      <c r="J227" s="244"/>
      <c r="K227" s="244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</row>
    <row r="228" ht="14.25" customHeight="1">
      <c r="A228" s="244"/>
      <c r="B228" s="244"/>
      <c r="C228" s="244"/>
      <c r="D228" s="244"/>
      <c r="E228" s="244"/>
      <c r="F228" s="244"/>
      <c r="G228" s="244"/>
      <c r="H228" s="244"/>
      <c r="I228" s="244"/>
      <c r="J228" s="244"/>
      <c r="K228" s="244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</row>
    <row r="229" ht="14.25" customHeight="1">
      <c r="A229" s="244"/>
      <c r="B229" s="244"/>
      <c r="C229" s="244"/>
      <c r="D229" s="244"/>
      <c r="E229" s="244"/>
      <c r="F229" s="244"/>
      <c r="G229" s="244"/>
      <c r="H229" s="244"/>
      <c r="I229" s="244"/>
      <c r="J229" s="244"/>
      <c r="K229" s="244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</row>
    <row r="230" ht="14.25" customHeight="1">
      <c r="A230" s="244"/>
      <c r="B230" s="244"/>
      <c r="C230" s="244"/>
      <c r="D230" s="244"/>
      <c r="E230" s="244"/>
      <c r="F230" s="244"/>
      <c r="G230" s="244"/>
      <c r="H230" s="244"/>
      <c r="I230" s="244"/>
      <c r="J230" s="244"/>
      <c r="K230" s="244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</row>
    <row r="231" ht="14.25" customHeight="1">
      <c r="A231" s="244"/>
      <c r="B231" s="244"/>
      <c r="C231" s="244"/>
      <c r="D231" s="244"/>
      <c r="E231" s="244"/>
      <c r="F231" s="244"/>
      <c r="G231" s="244"/>
      <c r="H231" s="244"/>
      <c r="I231" s="244"/>
      <c r="J231" s="244"/>
      <c r="K231" s="244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</row>
    <row r="232" ht="14.25" customHeight="1">
      <c r="A232" s="244"/>
      <c r="B232" s="244"/>
      <c r="C232" s="244"/>
      <c r="D232" s="244"/>
      <c r="E232" s="244"/>
      <c r="F232" s="244"/>
      <c r="G232" s="244"/>
      <c r="H232" s="244"/>
      <c r="I232" s="244"/>
      <c r="J232" s="244"/>
      <c r="K232" s="244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</row>
    <row r="233" ht="14.25" customHeight="1">
      <c r="A233" s="244"/>
      <c r="B233" s="244"/>
      <c r="C233" s="244"/>
      <c r="D233" s="244"/>
      <c r="E233" s="244"/>
      <c r="F233" s="244"/>
      <c r="G233" s="244"/>
      <c r="H233" s="244"/>
      <c r="I233" s="244"/>
      <c r="J233" s="244"/>
      <c r="K233" s="244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</row>
    <row r="234" ht="14.25" customHeight="1">
      <c r="A234" s="244"/>
      <c r="B234" s="244"/>
      <c r="C234" s="244"/>
      <c r="D234" s="244"/>
      <c r="E234" s="244"/>
      <c r="F234" s="244"/>
      <c r="G234" s="244"/>
      <c r="H234" s="244"/>
      <c r="I234" s="244"/>
      <c r="J234" s="244"/>
      <c r="K234" s="244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</row>
    <row r="235" ht="14.25" customHeight="1">
      <c r="A235" s="244"/>
      <c r="B235" s="244"/>
      <c r="C235" s="244"/>
      <c r="D235" s="244"/>
      <c r="E235" s="244"/>
      <c r="F235" s="244"/>
      <c r="G235" s="244"/>
      <c r="H235" s="244"/>
      <c r="I235" s="244"/>
      <c r="J235" s="244"/>
      <c r="K235" s="244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</row>
    <row r="236" ht="14.25" customHeight="1">
      <c r="A236" s="244"/>
      <c r="B236" s="244"/>
      <c r="C236" s="244"/>
      <c r="D236" s="244"/>
      <c r="E236" s="244"/>
      <c r="F236" s="244"/>
      <c r="G236" s="244"/>
      <c r="H236" s="244"/>
      <c r="I236" s="244"/>
      <c r="J236" s="244"/>
      <c r="K236" s="244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</row>
    <row r="237" ht="14.25" customHeight="1">
      <c r="A237" s="244"/>
      <c r="B237" s="244"/>
      <c r="C237" s="244"/>
      <c r="D237" s="244"/>
      <c r="E237" s="244"/>
      <c r="F237" s="244"/>
      <c r="G237" s="244"/>
      <c r="H237" s="244"/>
      <c r="I237" s="244"/>
      <c r="J237" s="244"/>
      <c r="K237" s="244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</row>
    <row r="238" ht="14.25" customHeight="1">
      <c r="A238" s="244"/>
      <c r="B238" s="244"/>
      <c r="C238" s="244"/>
      <c r="D238" s="244"/>
      <c r="E238" s="244"/>
      <c r="F238" s="244"/>
      <c r="G238" s="244"/>
      <c r="H238" s="244"/>
      <c r="I238" s="244"/>
      <c r="J238" s="244"/>
      <c r="K238" s="244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</row>
    <row r="239" ht="14.25" customHeight="1">
      <c r="A239" s="244"/>
      <c r="B239" s="244"/>
      <c r="C239" s="244"/>
      <c r="D239" s="244"/>
      <c r="E239" s="244"/>
      <c r="F239" s="244"/>
      <c r="G239" s="244"/>
      <c r="H239" s="244"/>
      <c r="I239" s="244"/>
      <c r="J239" s="244"/>
      <c r="K239" s="244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</row>
    <row r="240" ht="14.25" customHeight="1">
      <c r="A240" s="244"/>
      <c r="B240" s="244"/>
      <c r="C240" s="244"/>
      <c r="D240" s="244"/>
      <c r="E240" s="244"/>
      <c r="F240" s="244"/>
      <c r="G240" s="244"/>
      <c r="H240" s="244"/>
      <c r="I240" s="244"/>
      <c r="J240" s="244"/>
      <c r="K240" s="244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</row>
    <row r="241" ht="14.25" customHeight="1">
      <c r="A241" s="244"/>
      <c r="B241" s="244"/>
      <c r="C241" s="244"/>
      <c r="D241" s="244"/>
      <c r="E241" s="244"/>
      <c r="F241" s="244"/>
      <c r="G241" s="244"/>
      <c r="H241" s="244"/>
      <c r="I241" s="244"/>
      <c r="J241" s="244"/>
      <c r="K241" s="244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</row>
    <row r="242" ht="14.25" customHeight="1">
      <c r="A242" s="244"/>
      <c r="B242" s="244"/>
      <c r="C242" s="244"/>
      <c r="D242" s="244"/>
      <c r="E242" s="244"/>
      <c r="F242" s="244"/>
      <c r="G242" s="244"/>
      <c r="H242" s="244"/>
      <c r="I242" s="244"/>
      <c r="J242" s="244"/>
      <c r="K242" s="244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</row>
    <row r="243" ht="14.25" customHeight="1">
      <c r="A243" s="244"/>
      <c r="B243" s="244"/>
      <c r="C243" s="244"/>
      <c r="D243" s="244"/>
      <c r="E243" s="244"/>
      <c r="F243" s="244"/>
      <c r="G243" s="244"/>
      <c r="H243" s="244"/>
      <c r="I243" s="244"/>
      <c r="J243" s="244"/>
      <c r="K243" s="244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</row>
    <row r="244" ht="14.25" customHeight="1">
      <c r="A244" s="244"/>
      <c r="B244" s="244"/>
      <c r="C244" s="244"/>
      <c r="D244" s="244"/>
      <c r="E244" s="244"/>
      <c r="F244" s="244"/>
      <c r="G244" s="244"/>
      <c r="H244" s="244"/>
      <c r="I244" s="244"/>
      <c r="J244" s="244"/>
      <c r="K244" s="244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</row>
    <row r="245" ht="14.25" customHeight="1">
      <c r="A245" s="244"/>
      <c r="B245" s="244"/>
      <c r="C245" s="244"/>
      <c r="D245" s="244"/>
      <c r="E245" s="244"/>
      <c r="F245" s="244"/>
      <c r="G245" s="244"/>
      <c r="H245" s="244"/>
      <c r="I245" s="244"/>
      <c r="J245" s="244"/>
      <c r="K245" s="244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</row>
    <row r="246" ht="14.25" customHeight="1">
      <c r="A246" s="244"/>
      <c r="B246" s="244"/>
      <c r="C246" s="244"/>
      <c r="D246" s="244"/>
      <c r="E246" s="244"/>
      <c r="F246" s="244"/>
      <c r="G246" s="244"/>
      <c r="H246" s="244"/>
      <c r="I246" s="244"/>
      <c r="J246" s="244"/>
      <c r="K246" s="244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</row>
    <row r="247" ht="14.25" customHeight="1">
      <c r="A247" s="244"/>
      <c r="B247" s="244"/>
      <c r="C247" s="244"/>
      <c r="D247" s="244"/>
      <c r="E247" s="244"/>
      <c r="F247" s="244"/>
      <c r="G247" s="244"/>
      <c r="H247" s="244"/>
      <c r="I247" s="244"/>
      <c r="J247" s="244"/>
      <c r="K247" s="244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</row>
    <row r="248" ht="14.25" customHeight="1">
      <c r="A248" s="244"/>
      <c r="B248" s="244"/>
      <c r="C248" s="244"/>
      <c r="D248" s="244"/>
      <c r="E248" s="244"/>
      <c r="F248" s="244"/>
      <c r="G248" s="244"/>
      <c r="H248" s="244"/>
      <c r="I248" s="244"/>
      <c r="J248" s="244"/>
      <c r="K248" s="244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</row>
    <row r="249" ht="14.25" customHeight="1">
      <c r="A249" s="244"/>
      <c r="B249" s="244"/>
      <c r="C249" s="244"/>
      <c r="D249" s="244"/>
      <c r="E249" s="244"/>
      <c r="F249" s="244"/>
      <c r="G249" s="244"/>
      <c r="H249" s="244"/>
      <c r="I249" s="244"/>
      <c r="J249" s="244"/>
      <c r="K249" s="244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</row>
    <row r="250" ht="14.25" customHeight="1">
      <c r="A250" s="244"/>
      <c r="B250" s="244"/>
      <c r="C250" s="244"/>
      <c r="D250" s="244"/>
      <c r="E250" s="244"/>
      <c r="F250" s="244"/>
      <c r="G250" s="244"/>
      <c r="H250" s="244"/>
      <c r="I250" s="244"/>
      <c r="J250" s="244"/>
      <c r="K250" s="244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</row>
    <row r="251" ht="14.25" customHeight="1">
      <c r="A251" s="244"/>
      <c r="B251" s="244"/>
      <c r="C251" s="244"/>
      <c r="D251" s="244"/>
      <c r="E251" s="244"/>
      <c r="F251" s="244"/>
      <c r="G251" s="244"/>
      <c r="H251" s="244"/>
      <c r="I251" s="244"/>
      <c r="J251" s="244"/>
      <c r="K251" s="244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</row>
    <row r="252" ht="14.25" customHeight="1">
      <c r="A252" s="244"/>
      <c r="B252" s="244"/>
      <c r="C252" s="244"/>
      <c r="D252" s="244"/>
      <c r="E252" s="244"/>
      <c r="F252" s="244"/>
      <c r="G252" s="244"/>
      <c r="H252" s="244"/>
      <c r="I252" s="244"/>
      <c r="J252" s="244"/>
      <c r="K252" s="244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</row>
    <row r="253" ht="14.25" customHeight="1">
      <c r="A253" s="244"/>
      <c r="B253" s="244"/>
      <c r="C253" s="244"/>
      <c r="D253" s="244"/>
      <c r="E253" s="244"/>
      <c r="F253" s="244"/>
      <c r="G253" s="244"/>
      <c r="H253" s="244"/>
      <c r="I253" s="244"/>
      <c r="J253" s="244"/>
      <c r="K253" s="244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</row>
    <row r="254" ht="14.25" customHeight="1">
      <c r="A254" s="244"/>
      <c r="B254" s="244"/>
      <c r="C254" s="244"/>
      <c r="D254" s="244"/>
      <c r="E254" s="244"/>
      <c r="F254" s="244"/>
      <c r="G254" s="244"/>
      <c r="H254" s="244"/>
      <c r="I254" s="244"/>
      <c r="J254" s="244"/>
      <c r="K254" s="244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</row>
    <row r="255" ht="14.25" customHeight="1">
      <c r="A255" s="244"/>
      <c r="B255" s="244"/>
      <c r="C255" s="244"/>
      <c r="D255" s="244"/>
      <c r="E255" s="244"/>
      <c r="F255" s="244"/>
      <c r="G255" s="244"/>
      <c r="H255" s="244"/>
      <c r="I255" s="244"/>
      <c r="J255" s="244"/>
      <c r="K255" s="244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</row>
    <row r="256" ht="14.25" customHeight="1">
      <c r="A256" s="244"/>
      <c r="B256" s="244"/>
      <c r="C256" s="244"/>
      <c r="D256" s="244"/>
      <c r="E256" s="244"/>
      <c r="F256" s="244"/>
      <c r="G256" s="244"/>
      <c r="H256" s="244"/>
      <c r="I256" s="244"/>
      <c r="J256" s="244"/>
      <c r="K256" s="244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</row>
    <row r="257" ht="14.25" customHeight="1">
      <c r="A257" s="244"/>
      <c r="B257" s="244"/>
      <c r="C257" s="244"/>
      <c r="D257" s="244"/>
      <c r="E257" s="244"/>
      <c r="F257" s="244"/>
      <c r="G257" s="244"/>
      <c r="H257" s="244"/>
      <c r="I257" s="244"/>
      <c r="J257" s="244"/>
      <c r="K257" s="244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</row>
    <row r="258" ht="14.25" customHeight="1">
      <c r="A258" s="244"/>
      <c r="B258" s="244"/>
      <c r="C258" s="244"/>
      <c r="D258" s="244"/>
      <c r="E258" s="244"/>
      <c r="F258" s="244"/>
      <c r="G258" s="244"/>
      <c r="H258" s="244"/>
      <c r="I258" s="244"/>
      <c r="J258" s="244"/>
      <c r="K258" s="244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</row>
    <row r="259" ht="14.25" customHeight="1">
      <c r="A259" s="244"/>
      <c r="B259" s="244"/>
      <c r="C259" s="244"/>
      <c r="D259" s="244"/>
      <c r="E259" s="244"/>
      <c r="F259" s="244"/>
      <c r="G259" s="244"/>
      <c r="H259" s="244"/>
      <c r="I259" s="244"/>
      <c r="J259" s="244"/>
      <c r="K259" s="244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</row>
    <row r="260" ht="14.25" customHeight="1">
      <c r="A260" s="244"/>
      <c r="B260" s="244"/>
      <c r="C260" s="244"/>
      <c r="D260" s="244"/>
      <c r="E260" s="244"/>
      <c r="F260" s="244"/>
      <c r="G260" s="244"/>
      <c r="H260" s="244"/>
      <c r="I260" s="244"/>
      <c r="J260" s="244"/>
      <c r="K260" s="244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</row>
    <row r="261" ht="14.25" customHeight="1">
      <c r="A261" s="244"/>
      <c r="B261" s="244"/>
      <c r="C261" s="244"/>
      <c r="D261" s="244"/>
      <c r="E261" s="244"/>
      <c r="F261" s="244"/>
      <c r="G261" s="244"/>
      <c r="H261" s="244"/>
      <c r="I261" s="244"/>
      <c r="J261" s="244"/>
      <c r="K261" s="244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</row>
    <row r="262" ht="14.25" customHeight="1">
      <c r="A262" s="244"/>
      <c r="B262" s="244"/>
      <c r="C262" s="244"/>
      <c r="D262" s="244"/>
      <c r="E262" s="244"/>
      <c r="F262" s="244"/>
      <c r="G262" s="244"/>
      <c r="H262" s="244"/>
      <c r="I262" s="244"/>
      <c r="J262" s="244"/>
      <c r="K262" s="244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</row>
    <row r="263" ht="14.25" customHeight="1">
      <c r="A263" s="244"/>
      <c r="B263" s="244"/>
      <c r="C263" s="244"/>
      <c r="D263" s="244"/>
      <c r="E263" s="244"/>
      <c r="F263" s="244"/>
      <c r="G263" s="244"/>
      <c r="H263" s="244"/>
      <c r="I263" s="244"/>
      <c r="J263" s="244"/>
      <c r="K263" s="244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</row>
    <row r="264" ht="14.25" customHeight="1">
      <c r="A264" s="244"/>
      <c r="B264" s="244"/>
      <c r="C264" s="244"/>
      <c r="D264" s="244"/>
      <c r="E264" s="244"/>
      <c r="F264" s="244"/>
      <c r="G264" s="244"/>
      <c r="H264" s="244"/>
      <c r="I264" s="244"/>
      <c r="J264" s="244"/>
      <c r="K264" s="244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</row>
    <row r="265" ht="14.25" customHeight="1">
      <c r="A265" s="244"/>
      <c r="B265" s="244"/>
      <c r="C265" s="244"/>
      <c r="D265" s="244"/>
      <c r="E265" s="244"/>
      <c r="F265" s="244"/>
      <c r="G265" s="244"/>
      <c r="H265" s="244"/>
      <c r="I265" s="244"/>
      <c r="J265" s="244"/>
      <c r="K265" s="244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</row>
    <row r="266" ht="14.25" customHeight="1">
      <c r="A266" s="244"/>
      <c r="B266" s="244"/>
      <c r="C266" s="244"/>
      <c r="D266" s="244"/>
      <c r="E266" s="244"/>
      <c r="F266" s="244"/>
      <c r="G266" s="244"/>
      <c r="H266" s="244"/>
      <c r="I266" s="244"/>
      <c r="J266" s="244"/>
      <c r="K266" s="244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</row>
    <row r="267" ht="14.25" customHeight="1">
      <c r="A267" s="244"/>
      <c r="B267" s="244"/>
      <c r="C267" s="244"/>
      <c r="D267" s="244"/>
      <c r="E267" s="244"/>
      <c r="F267" s="244"/>
      <c r="G267" s="244"/>
      <c r="H267" s="244"/>
      <c r="I267" s="244"/>
      <c r="J267" s="244"/>
      <c r="K267" s="244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</row>
    <row r="268" ht="14.25" customHeight="1">
      <c r="A268" s="244"/>
      <c r="B268" s="244"/>
      <c r="C268" s="244"/>
      <c r="D268" s="244"/>
      <c r="E268" s="244"/>
      <c r="F268" s="244"/>
      <c r="G268" s="244"/>
      <c r="H268" s="244"/>
      <c r="I268" s="244"/>
      <c r="J268" s="244"/>
      <c r="K268" s="244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</row>
    <row r="269" ht="14.25" customHeight="1">
      <c r="A269" s="244"/>
      <c r="B269" s="244"/>
      <c r="C269" s="244"/>
      <c r="D269" s="244"/>
      <c r="E269" s="244"/>
      <c r="F269" s="244"/>
      <c r="G269" s="244"/>
      <c r="H269" s="244"/>
      <c r="I269" s="244"/>
      <c r="J269" s="244"/>
      <c r="K269" s="244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</row>
    <row r="270" ht="14.25" customHeight="1">
      <c r="A270" s="244"/>
      <c r="B270" s="244"/>
      <c r="C270" s="244"/>
      <c r="D270" s="244"/>
      <c r="E270" s="244"/>
      <c r="F270" s="244"/>
      <c r="G270" s="244"/>
      <c r="H270" s="244"/>
      <c r="I270" s="244"/>
      <c r="J270" s="244"/>
      <c r="K270" s="244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</row>
    <row r="271" ht="14.25" customHeight="1">
      <c r="A271" s="244"/>
      <c r="B271" s="244"/>
      <c r="C271" s="244"/>
      <c r="D271" s="244"/>
      <c r="E271" s="244"/>
      <c r="F271" s="244"/>
      <c r="G271" s="244"/>
      <c r="H271" s="244"/>
      <c r="I271" s="244"/>
      <c r="J271" s="244"/>
      <c r="K271" s="244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</row>
    <row r="272" ht="14.25" customHeight="1">
      <c r="A272" s="244"/>
      <c r="B272" s="244"/>
      <c r="C272" s="244"/>
      <c r="D272" s="244"/>
      <c r="E272" s="244"/>
      <c r="F272" s="244"/>
      <c r="G272" s="244"/>
      <c r="H272" s="244"/>
      <c r="I272" s="244"/>
      <c r="J272" s="244"/>
      <c r="K272" s="244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</row>
    <row r="273" ht="14.25" customHeight="1">
      <c r="A273" s="244"/>
      <c r="B273" s="244"/>
      <c r="C273" s="244"/>
      <c r="D273" s="244"/>
      <c r="E273" s="244"/>
      <c r="F273" s="244"/>
      <c r="G273" s="244"/>
      <c r="H273" s="244"/>
      <c r="I273" s="244"/>
      <c r="J273" s="244"/>
      <c r="K273" s="244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</row>
    <row r="274" ht="14.25" customHeight="1">
      <c r="A274" s="244"/>
      <c r="B274" s="244"/>
      <c r="C274" s="244"/>
      <c r="D274" s="244"/>
      <c r="E274" s="244"/>
      <c r="F274" s="244"/>
      <c r="G274" s="244"/>
      <c r="H274" s="244"/>
      <c r="I274" s="244"/>
      <c r="J274" s="244"/>
      <c r="K274" s="244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</row>
    <row r="275" ht="14.25" customHeight="1">
      <c r="A275" s="244"/>
      <c r="B275" s="244"/>
      <c r="C275" s="244"/>
      <c r="D275" s="244"/>
      <c r="E275" s="244"/>
      <c r="F275" s="244"/>
      <c r="G275" s="244"/>
      <c r="H275" s="244"/>
      <c r="I275" s="244"/>
      <c r="J275" s="244"/>
      <c r="K275" s="244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</row>
    <row r="276" ht="14.25" customHeight="1">
      <c r="A276" s="244"/>
      <c r="B276" s="244"/>
      <c r="C276" s="244"/>
      <c r="D276" s="244"/>
      <c r="E276" s="244"/>
      <c r="F276" s="244"/>
      <c r="G276" s="244"/>
      <c r="H276" s="244"/>
      <c r="I276" s="244"/>
      <c r="J276" s="244"/>
      <c r="K276" s="244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</row>
    <row r="277" ht="14.25" customHeight="1">
      <c r="A277" s="244"/>
      <c r="B277" s="244"/>
      <c r="C277" s="244"/>
      <c r="D277" s="244"/>
      <c r="E277" s="244"/>
      <c r="F277" s="244"/>
      <c r="G277" s="244"/>
      <c r="H277" s="244"/>
      <c r="I277" s="244"/>
      <c r="J277" s="244"/>
      <c r="K277" s="244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</row>
    <row r="278" ht="14.25" customHeight="1">
      <c r="A278" s="244"/>
      <c r="B278" s="244"/>
      <c r="C278" s="244"/>
      <c r="D278" s="244"/>
      <c r="E278" s="244"/>
      <c r="F278" s="244"/>
      <c r="G278" s="244"/>
      <c r="H278" s="244"/>
      <c r="I278" s="244"/>
      <c r="J278" s="244"/>
      <c r="K278" s="244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</row>
    <row r="279" ht="14.25" customHeight="1">
      <c r="A279" s="244"/>
      <c r="B279" s="244"/>
      <c r="C279" s="244"/>
      <c r="D279" s="244"/>
      <c r="E279" s="244"/>
      <c r="F279" s="244"/>
      <c r="G279" s="244"/>
      <c r="H279" s="244"/>
      <c r="I279" s="244"/>
      <c r="J279" s="244"/>
      <c r="K279" s="244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</row>
    <row r="280" ht="14.25" customHeight="1">
      <c r="A280" s="244"/>
      <c r="B280" s="244"/>
      <c r="C280" s="244"/>
      <c r="D280" s="244"/>
      <c r="E280" s="244"/>
      <c r="F280" s="244"/>
      <c r="G280" s="244"/>
      <c r="H280" s="244"/>
      <c r="I280" s="244"/>
      <c r="J280" s="244"/>
      <c r="K280" s="244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</row>
    <row r="281" ht="14.25" customHeight="1">
      <c r="A281" s="244"/>
      <c r="B281" s="244"/>
      <c r="C281" s="244"/>
      <c r="D281" s="244"/>
      <c r="E281" s="244"/>
      <c r="F281" s="244"/>
      <c r="G281" s="244"/>
      <c r="H281" s="244"/>
      <c r="I281" s="244"/>
      <c r="J281" s="244"/>
      <c r="K281" s="244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</row>
    <row r="282" ht="14.25" customHeight="1">
      <c r="A282" s="244"/>
      <c r="B282" s="244"/>
      <c r="C282" s="244"/>
      <c r="D282" s="244"/>
      <c r="E282" s="244"/>
      <c r="F282" s="244"/>
      <c r="G282" s="244"/>
      <c r="H282" s="244"/>
      <c r="I282" s="244"/>
      <c r="J282" s="244"/>
      <c r="K282" s="244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</row>
    <row r="283" ht="14.25" customHeight="1">
      <c r="A283" s="244"/>
      <c r="B283" s="244"/>
      <c r="C283" s="244"/>
      <c r="D283" s="244"/>
      <c r="E283" s="244"/>
      <c r="F283" s="244"/>
      <c r="G283" s="244"/>
      <c r="H283" s="244"/>
      <c r="I283" s="244"/>
      <c r="J283" s="244"/>
      <c r="K283" s="244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</row>
    <row r="284" ht="14.25" customHeight="1">
      <c r="A284" s="244"/>
      <c r="B284" s="244"/>
      <c r="C284" s="244"/>
      <c r="D284" s="244"/>
      <c r="E284" s="244"/>
      <c r="F284" s="244"/>
      <c r="G284" s="244"/>
      <c r="H284" s="244"/>
      <c r="I284" s="244"/>
      <c r="J284" s="244"/>
      <c r="K284" s="244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</row>
    <row r="285" ht="14.25" customHeight="1">
      <c r="A285" s="244"/>
      <c r="B285" s="244"/>
      <c r="C285" s="244"/>
      <c r="D285" s="244"/>
      <c r="E285" s="244"/>
      <c r="F285" s="244"/>
      <c r="G285" s="244"/>
      <c r="H285" s="244"/>
      <c r="I285" s="244"/>
      <c r="J285" s="244"/>
      <c r="K285" s="244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</row>
    <row r="286" ht="14.25" customHeight="1">
      <c r="A286" s="244"/>
      <c r="B286" s="244"/>
      <c r="C286" s="244"/>
      <c r="D286" s="244"/>
      <c r="E286" s="244"/>
      <c r="F286" s="244"/>
      <c r="G286" s="244"/>
      <c r="H286" s="244"/>
      <c r="I286" s="244"/>
      <c r="J286" s="244"/>
      <c r="K286" s="244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</row>
    <row r="287" ht="14.25" customHeight="1">
      <c r="A287" s="244"/>
      <c r="B287" s="244"/>
      <c r="C287" s="244"/>
      <c r="D287" s="244"/>
      <c r="E287" s="244"/>
      <c r="F287" s="244"/>
      <c r="G287" s="244"/>
      <c r="H287" s="244"/>
      <c r="I287" s="244"/>
      <c r="J287" s="244"/>
      <c r="K287" s="244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</row>
    <row r="288" ht="14.25" customHeight="1">
      <c r="A288" s="244"/>
      <c r="B288" s="244"/>
      <c r="C288" s="244"/>
      <c r="D288" s="244"/>
      <c r="E288" s="244"/>
      <c r="F288" s="244"/>
      <c r="G288" s="244"/>
      <c r="H288" s="244"/>
      <c r="I288" s="244"/>
      <c r="J288" s="244"/>
      <c r="K288" s="244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</row>
    <row r="289" ht="14.25" customHeight="1">
      <c r="A289" s="244"/>
      <c r="B289" s="244"/>
      <c r="C289" s="244"/>
      <c r="D289" s="244"/>
      <c r="E289" s="244"/>
      <c r="F289" s="244"/>
      <c r="G289" s="244"/>
      <c r="H289" s="244"/>
      <c r="I289" s="244"/>
      <c r="J289" s="244"/>
      <c r="K289" s="244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</row>
    <row r="290" ht="14.25" customHeight="1">
      <c r="A290" s="244"/>
      <c r="B290" s="244"/>
      <c r="C290" s="244"/>
      <c r="D290" s="244"/>
      <c r="E290" s="244"/>
      <c r="F290" s="244"/>
      <c r="G290" s="244"/>
      <c r="H290" s="244"/>
      <c r="I290" s="244"/>
      <c r="J290" s="244"/>
      <c r="K290" s="244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</row>
    <row r="291" ht="14.25" customHeight="1">
      <c r="A291" s="244"/>
      <c r="B291" s="244"/>
      <c r="C291" s="244"/>
      <c r="D291" s="244"/>
      <c r="E291" s="244"/>
      <c r="F291" s="244"/>
      <c r="G291" s="244"/>
      <c r="H291" s="244"/>
      <c r="I291" s="244"/>
      <c r="J291" s="244"/>
      <c r="K291" s="244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</row>
    <row r="292" ht="14.25" customHeight="1">
      <c r="A292" s="244"/>
      <c r="B292" s="244"/>
      <c r="C292" s="244"/>
      <c r="D292" s="244"/>
      <c r="E292" s="244"/>
      <c r="F292" s="244"/>
      <c r="G292" s="244"/>
      <c r="H292" s="244"/>
      <c r="I292" s="244"/>
      <c r="J292" s="244"/>
      <c r="K292" s="244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</row>
    <row r="293" ht="14.25" customHeight="1">
      <c r="A293" s="244"/>
      <c r="B293" s="244"/>
      <c r="C293" s="244"/>
      <c r="D293" s="244"/>
      <c r="E293" s="244"/>
      <c r="F293" s="244"/>
      <c r="G293" s="244"/>
      <c r="H293" s="244"/>
      <c r="I293" s="244"/>
      <c r="J293" s="244"/>
      <c r="K293" s="244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</row>
    <row r="294" ht="14.25" customHeight="1">
      <c r="A294" s="244"/>
      <c r="B294" s="244"/>
      <c r="C294" s="244"/>
      <c r="D294" s="244"/>
      <c r="E294" s="244"/>
      <c r="F294" s="244"/>
      <c r="G294" s="244"/>
      <c r="H294" s="244"/>
      <c r="I294" s="244"/>
      <c r="J294" s="244"/>
      <c r="K294" s="244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</row>
    <row r="295" ht="14.25" customHeight="1">
      <c r="A295" s="244"/>
      <c r="B295" s="244"/>
      <c r="C295" s="244"/>
      <c r="D295" s="244"/>
      <c r="E295" s="244"/>
      <c r="F295" s="244"/>
      <c r="G295" s="244"/>
      <c r="H295" s="244"/>
      <c r="I295" s="244"/>
      <c r="J295" s="244"/>
      <c r="K295" s="244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</row>
    <row r="296" ht="14.25" customHeight="1">
      <c r="A296" s="244"/>
      <c r="B296" s="244"/>
      <c r="C296" s="244"/>
      <c r="D296" s="244"/>
      <c r="E296" s="244"/>
      <c r="F296" s="244"/>
      <c r="G296" s="244"/>
      <c r="H296" s="244"/>
      <c r="I296" s="244"/>
      <c r="J296" s="244"/>
      <c r="K296" s="244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</row>
    <row r="297" ht="14.25" customHeight="1">
      <c r="A297" s="244"/>
      <c r="B297" s="244"/>
      <c r="C297" s="244"/>
      <c r="D297" s="244"/>
      <c r="E297" s="244"/>
      <c r="F297" s="244"/>
      <c r="G297" s="244"/>
      <c r="H297" s="244"/>
      <c r="I297" s="244"/>
      <c r="J297" s="244"/>
      <c r="K297" s="244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</row>
    <row r="298" ht="14.25" customHeight="1">
      <c r="A298" s="244"/>
      <c r="B298" s="244"/>
      <c r="C298" s="244"/>
      <c r="D298" s="244"/>
      <c r="E298" s="244"/>
      <c r="F298" s="244"/>
      <c r="G298" s="244"/>
      <c r="H298" s="244"/>
      <c r="I298" s="244"/>
      <c r="J298" s="244"/>
      <c r="K298" s="244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</row>
    <row r="299" ht="14.25" customHeight="1">
      <c r="A299" s="244"/>
      <c r="B299" s="244"/>
      <c r="C299" s="244"/>
      <c r="D299" s="244"/>
      <c r="E299" s="244"/>
      <c r="F299" s="244"/>
      <c r="G299" s="244"/>
      <c r="H299" s="244"/>
      <c r="I299" s="244"/>
      <c r="J299" s="244"/>
      <c r="K299" s="244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</row>
    <row r="300" ht="14.25" customHeight="1">
      <c r="A300" s="244"/>
      <c r="B300" s="244"/>
      <c r="C300" s="244"/>
      <c r="D300" s="244"/>
      <c r="E300" s="244"/>
      <c r="F300" s="244"/>
      <c r="G300" s="244"/>
      <c r="H300" s="244"/>
      <c r="I300" s="244"/>
      <c r="J300" s="244"/>
      <c r="K300" s="244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</row>
    <row r="301" ht="14.25" customHeight="1">
      <c r="A301" s="244"/>
      <c r="B301" s="244"/>
      <c r="C301" s="244"/>
      <c r="D301" s="244"/>
      <c r="E301" s="244"/>
      <c r="F301" s="244"/>
      <c r="G301" s="244"/>
      <c r="H301" s="244"/>
      <c r="I301" s="244"/>
      <c r="J301" s="244"/>
      <c r="K301" s="244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</row>
    <row r="302" ht="14.25" customHeight="1">
      <c r="A302" s="244"/>
      <c r="B302" s="244"/>
      <c r="C302" s="244"/>
      <c r="D302" s="244"/>
      <c r="E302" s="244"/>
      <c r="F302" s="244"/>
      <c r="G302" s="244"/>
      <c r="H302" s="244"/>
      <c r="I302" s="244"/>
      <c r="J302" s="244"/>
      <c r="K302" s="244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</row>
    <row r="303" ht="14.25" customHeight="1">
      <c r="A303" s="244"/>
      <c r="B303" s="244"/>
      <c r="C303" s="244"/>
      <c r="D303" s="244"/>
      <c r="E303" s="244"/>
      <c r="F303" s="244"/>
      <c r="G303" s="244"/>
      <c r="H303" s="244"/>
      <c r="I303" s="244"/>
      <c r="J303" s="244"/>
      <c r="K303" s="244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</row>
    <row r="304" ht="14.25" customHeight="1">
      <c r="A304" s="244"/>
      <c r="B304" s="244"/>
      <c r="C304" s="244"/>
      <c r="D304" s="244"/>
      <c r="E304" s="244"/>
      <c r="F304" s="244"/>
      <c r="G304" s="244"/>
      <c r="H304" s="244"/>
      <c r="I304" s="244"/>
      <c r="J304" s="244"/>
      <c r="K304" s="244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</row>
    <row r="305" ht="14.25" customHeight="1">
      <c r="A305" s="244"/>
      <c r="B305" s="244"/>
      <c r="C305" s="244"/>
      <c r="D305" s="244"/>
      <c r="E305" s="244"/>
      <c r="F305" s="244"/>
      <c r="G305" s="244"/>
      <c r="H305" s="244"/>
      <c r="I305" s="244"/>
      <c r="J305" s="244"/>
      <c r="K305" s="244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</row>
    <row r="306" ht="14.25" customHeight="1">
      <c r="A306" s="244"/>
      <c r="B306" s="244"/>
      <c r="C306" s="244"/>
      <c r="D306" s="244"/>
      <c r="E306" s="244"/>
      <c r="F306" s="244"/>
      <c r="G306" s="244"/>
      <c r="H306" s="244"/>
      <c r="I306" s="244"/>
      <c r="J306" s="244"/>
      <c r="K306" s="244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</row>
    <row r="307" ht="14.25" customHeight="1">
      <c r="A307" s="244"/>
      <c r="B307" s="244"/>
      <c r="C307" s="244"/>
      <c r="D307" s="244"/>
      <c r="E307" s="244"/>
      <c r="F307" s="244"/>
      <c r="G307" s="244"/>
      <c r="H307" s="244"/>
      <c r="I307" s="244"/>
      <c r="J307" s="244"/>
      <c r="K307" s="244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</row>
    <row r="308" ht="14.25" customHeight="1">
      <c r="A308" s="244"/>
      <c r="B308" s="244"/>
      <c r="C308" s="244"/>
      <c r="D308" s="244"/>
      <c r="E308" s="244"/>
      <c r="F308" s="244"/>
      <c r="G308" s="244"/>
      <c r="H308" s="244"/>
      <c r="I308" s="244"/>
      <c r="J308" s="244"/>
      <c r="K308" s="244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</row>
    <row r="309" ht="14.25" customHeight="1">
      <c r="A309" s="244"/>
      <c r="B309" s="244"/>
      <c r="C309" s="244"/>
      <c r="D309" s="244"/>
      <c r="E309" s="244"/>
      <c r="F309" s="244"/>
      <c r="G309" s="244"/>
      <c r="H309" s="244"/>
      <c r="I309" s="244"/>
      <c r="J309" s="244"/>
      <c r="K309" s="244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</row>
    <row r="310" ht="14.25" customHeight="1">
      <c r="A310" s="244"/>
      <c r="B310" s="244"/>
      <c r="C310" s="244"/>
      <c r="D310" s="244"/>
      <c r="E310" s="244"/>
      <c r="F310" s="244"/>
      <c r="G310" s="244"/>
      <c r="H310" s="244"/>
      <c r="I310" s="244"/>
      <c r="J310" s="244"/>
      <c r="K310" s="244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</row>
    <row r="311" ht="14.25" customHeight="1">
      <c r="A311" s="244"/>
      <c r="B311" s="244"/>
      <c r="C311" s="244"/>
      <c r="D311" s="244"/>
      <c r="E311" s="244"/>
      <c r="F311" s="244"/>
      <c r="G311" s="244"/>
      <c r="H311" s="244"/>
      <c r="I311" s="244"/>
      <c r="J311" s="244"/>
      <c r="K311" s="244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</row>
    <row r="312" ht="14.25" customHeight="1">
      <c r="A312" s="244"/>
      <c r="B312" s="244"/>
      <c r="C312" s="244"/>
      <c r="D312" s="244"/>
      <c r="E312" s="244"/>
      <c r="F312" s="244"/>
      <c r="G312" s="244"/>
      <c r="H312" s="244"/>
      <c r="I312" s="244"/>
      <c r="J312" s="244"/>
      <c r="K312" s="244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</row>
    <row r="313" ht="14.25" customHeight="1">
      <c r="A313" s="244"/>
      <c r="B313" s="244"/>
      <c r="C313" s="244"/>
      <c r="D313" s="244"/>
      <c r="E313" s="244"/>
      <c r="F313" s="244"/>
      <c r="G313" s="244"/>
      <c r="H313" s="244"/>
      <c r="I313" s="244"/>
      <c r="J313" s="244"/>
      <c r="K313" s="244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</row>
    <row r="314" ht="14.25" customHeight="1">
      <c r="A314" s="244"/>
      <c r="B314" s="244"/>
      <c r="C314" s="244"/>
      <c r="D314" s="244"/>
      <c r="E314" s="244"/>
      <c r="F314" s="244"/>
      <c r="G314" s="244"/>
      <c r="H314" s="244"/>
      <c r="I314" s="244"/>
      <c r="J314" s="244"/>
      <c r="K314" s="244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</row>
    <row r="315" ht="14.25" customHeight="1">
      <c r="A315" s="244"/>
      <c r="B315" s="244"/>
      <c r="C315" s="244"/>
      <c r="D315" s="244"/>
      <c r="E315" s="244"/>
      <c r="F315" s="244"/>
      <c r="G315" s="244"/>
      <c r="H315" s="244"/>
      <c r="I315" s="244"/>
      <c r="J315" s="244"/>
      <c r="K315" s="244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</row>
    <row r="316" ht="14.25" customHeight="1">
      <c r="A316" s="244"/>
      <c r="B316" s="244"/>
      <c r="C316" s="244"/>
      <c r="D316" s="244"/>
      <c r="E316" s="244"/>
      <c r="F316" s="244"/>
      <c r="G316" s="244"/>
      <c r="H316" s="244"/>
      <c r="I316" s="244"/>
      <c r="J316" s="244"/>
      <c r="K316" s="244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</row>
    <row r="317" ht="14.25" customHeight="1">
      <c r="A317" s="244"/>
      <c r="B317" s="244"/>
      <c r="C317" s="244"/>
      <c r="D317" s="244"/>
      <c r="E317" s="244"/>
      <c r="F317" s="244"/>
      <c r="G317" s="244"/>
      <c r="H317" s="244"/>
      <c r="I317" s="244"/>
      <c r="J317" s="244"/>
      <c r="K317" s="244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</row>
    <row r="318" ht="14.25" customHeight="1">
      <c r="A318" s="244"/>
      <c r="B318" s="244"/>
      <c r="C318" s="244"/>
      <c r="D318" s="244"/>
      <c r="E318" s="244"/>
      <c r="F318" s="244"/>
      <c r="G318" s="244"/>
      <c r="H318" s="244"/>
      <c r="I318" s="244"/>
      <c r="J318" s="244"/>
      <c r="K318" s="244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</row>
    <row r="319" ht="14.25" customHeight="1">
      <c r="A319" s="244"/>
      <c r="B319" s="244"/>
      <c r="C319" s="244"/>
      <c r="D319" s="244"/>
      <c r="E319" s="244"/>
      <c r="F319" s="244"/>
      <c r="G319" s="244"/>
      <c r="H319" s="244"/>
      <c r="I319" s="244"/>
      <c r="J319" s="244"/>
      <c r="K319" s="244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</row>
    <row r="320" ht="14.25" customHeight="1">
      <c r="A320" s="244"/>
      <c r="B320" s="244"/>
      <c r="C320" s="244"/>
      <c r="D320" s="244"/>
      <c r="E320" s="244"/>
      <c r="F320" s="244"/>
      <c r="G320" s="244"/>
      <c r="H320" s="244"/>
      <c r="I320" s="244"/>
      <c r="J320" s="244"/>
      <c r="K320" s="244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</row>
    <row r="321" ht="14.25" customHeight="1">
      <c r="A321" s="244"/>
      <c r="B321" s="244"/>
      <c r="C321" s="244"/>
      <c r="D321" s="244"/>
      <c r="E321" s="244"/>
      <c r="F321" s="244"/>
      <c r="G321" s="244"/>
      <c r="H321" s="244"/>
      <c r="I321" s="244"/>
      <c r="J321" s="244"/>
      <c r="K321" s="244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</row>
    <row r="322" ht="14.25" customHeight="1">
      <c r="A322" s="244"/>
      <c r="B322" s="244"/>
      <c r="C322" s="244"/>
      <c r="D322" s="244"/>
      <c r="E322" s="244"/>
      <c r="F322" s="244"/>
      <c r="G322" s="244"/>
      <c r="H322" s="244"/>
      <c r="I322" s="244"/>
      <c r="J322" s="244"/>
      <c r="K322" s="244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</row>
    <row r="323" ht="14.25" customHeight="1">
      <c r="A323" s="244"/>
      <c r="B323" s="244"/>
      <c r="C323" s="244"/>
      <c r="D323" s="244"/>
      <c r="E323" s="244"/>
      <c r="F323" s="244"/>
      <c r="G323" s="244"/>
      <c r="H323" s="244"/>
      <c r="I323" s="244"/>
      <c r="J323" s="244"/>
      <c r="K323" s="244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</row>
    <row r="324" ht="14.25" customHeight="1">
      <c r="A324" s="244"/>
      <c r="B324" s="244"/>
      <c r="C324" s="244"/>
      <c r="D324" s="244"/>
      <c r="E324" s="244"/>
      <c r="F324" s="244"/>
      <c r="G324" s="244"/>
      <c r="H324" s="244"/>
      <c r="I324" s="244"/>
      <c r="J324" s="244"/>
      <c r="K324" s="244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</row>
    <row r="325" ht="14.25" customHeight="1">
      <c r="A325" s="244"/>
      <c r="B325" s="244"/>
      <c r="C325" s="244"/>
      <c r="D325" s="244"/>
      <c r="E325" s="244"/>
      <c r="F325" s="244"/>
      <c r="G325" s="244"/>
      <c r="H325" s="244"/>
      <c r="I325" s="244"/>
      <c r="J325" s="244"/>
      <c r="K325" s="244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</row>
    <row r="326" ht="14.25" customHeight="1">
      <c r="A326" s="244"/>
      <c r="B326" s="244"/>
      <c r="C326" s="244"/>
      <c r="D326" s="244"/>
      <c r="E326" s="244"/>
      <c r="F326" s="244"/>
      <c r="G326" s="244"/>
      <c r="H326" s="244"/>
      <c r="I326" s="244"/>
      <c r="J326" s="244"/>
      <c r="K326" s="244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</row>
    <row r="327" ht="14.25" customHeight="1">
      <c r="A327" s="244"/>
      <c r="B327" s="244"/>
      <c r="C327" s="244"/>
      <c r="D327" s="244"/>
      <c r="E327" s="244"/>
      <c r="F327" s="244"/>
      <c r="G327" s="244"/>
      <c r="H327" s="244"/>
      <c r="I327" s="244"/>
      <c r="J327" s="244"/>
      <c r="K327" s="244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</row>
    <row r="328" ht="14.25" customHeight="1">
      <c r="A328" s="244"/>
      <c r="B328" s="244"/>
      <c r="C328" s="244"/>
      <c r="D328" s="244"/>
      <c r="E328" s="244"/>
      <c r="F328" s="244"/>
      <c r="G328" s="244"/>
      <c r="H328" s="244"/>
      <c r="I328" s="244"/>
      <c r="J328" s="244"/>
      <c r="K328" s="244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</row>
    <row r="329" ht="14.25" customHeight="1">
      <c r="A329" s="244"/>
      <c r="B329" s="244"/>
      <c r="C329" s="244"/>
      <c r="D329" s="244"/>
      <c r="E329" s="244"/>
      <c r="F329" s="244"/>
      <c r="G329" s="244"/>
      <c r="H329" s="244"/>
      <c r="I329" s="244"/>
      <c r="J329" s="244"/>
      <c r="K329" s="244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</row>
    <row r="330" ht="14.25" customHeight="1">
      <c r="A330" s="244"/>
      <c r="B330" s="244"/>
      <c r="C330" s="244"/>
      <c r="D330" s="244"/>
      <c r="E330" s="244"/>
      <c r="F330" s="244"/>
      <c r="G330" s="244"/>
      <c r="H330" s="244"/>
      <c r="I330" s="244"/>
      <c r="J330" s="244"/>
      <c r="K330" s="244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</row>
    <row r="331" ht="14.25" customHeight="1">
      <c r="A331" s="244"/>
      <c r="B331" s="244"/>
      <c r="C331" s="244"/>
      <c r="D331" s="244"/>
      <c r="E331" s="244"/>
      <c r="F331" s="244"/>
      <c r="G331" s="244"/>
      <c r="H331" s="244"/>
      <c r="I331" s="244"/>
      <c r="J331" s="244"/>
      <c r="K331" s="244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</row>
    <row r="332" ht="14.25" customHeight="1">
      <c r="A332" s="244"/>
      <c r="B332" s="244"/>
      <c r="C332" s="244"/>
      <c r="D332" s="244"/>
      <c r="E332" s="244"/>
      <c r="F332" s="244"/>
      <c r="G332" s="244"/>
      <c r="H332" s="244"/>
      <c r="I332" s="244"/>
      <c r="J332" s="244"/>
      <c r="K332" s="244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</row>
    <row r="333" ht="14.25" customHeight="1">
      <c r="A333" s="244"/>
      <c r="B333" s="244"/>
      <c r="C333" s="244"/>
      <c r="D333" s="244"/>
      <c r="E333" s="244"/>
      <c r="F333" s="244"/>
      <c r="G333" s="244"/>
      <c r="H333" s="244"/>
      <c r="I333" s="244"/>
      <c r="J333" s="244"/>
      <c r="K333" s="244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</row>
    <row r="334" ht="14.25" customHeight="1">
      <c r="A334" s="244"/>
      <c r="B334" s="244"/>
      <c r="C334" s="244"/>
      <c r="D334" s="244"/>
      <c r="E334" s="244"/>
      <c r="F334" s="244"/>
      <c r="G334" s="244"/>
      <c r="H334" s="244"/>
      <c r="I334" s="244"/>
      <c r="J334" s="244"/>
      <c r="K334" s="244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</row>
    <row r="335" ht="14.25" customHeight="1">
      <c r="A335" s="244"/>
      <c r="B335" s="244"/>
      <c r="C335" s="244"/>
      <c r="D335" s="244"/>
      <c r="E335" s="244"/>
      <c r="F335" s="244"/>
      <c r="G335" s="244"/>
      <c r="H335" s="244"/>
      <c r="I335" s="244"/>
      <c r="J335" s="244"/>
      <c r="K335" s="244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</row>
    <row r="336" ht="14.25" customHeight="1">
      <c r="A336" s="244"/>
      <c r="B336" s="244"/>
      <c r="C336" s="244"/>
      <c r="D336" s="244"/>
      <c r="E336" s="244"/>
      <c r="F336" s="244"/>
      <c r="G336" s="244"/>
      <c r="H336" s="244"/>
      <c r="I336" s="244"/>
      <c r="J336" s="244"/>
      <c r="K336" s="244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</row>
    <row r="337" ht="14.25" customHeight="1">
      <c r="A337" s="244"/>
      <c r="B337" s="244"/>
      <c r="C337" s="244"/>
      <c r="D337" s="244"/>
      <c r="E337" s="244"/>
      <c r="F337" s="244"/>
      <c r="G337" s="244"/>
      <c r="H337" s="244"/>
      <c r="I337" s="244"/>
      <c r="J337" s="244"/>
      <c r="K337" s="244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</row>
    <row r="338" ht="14.25" customHeight="1">
      <c r="A338" s="244"/>
      <c r="B338" s="244"/>
      <c r="C338" s="244"/>
      <c r="D338" s="244"/>
      <c r="E338" s="244"/>
      <c r="F338" s="244"/>
      <c r="G338" s="244"/>
      <c r="H338" s="244"/>
      <c r="I338" s="244"/>
      <c r="J338" s="244"/>
      <c r="K338" s="244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</row>
    <row r="339" ht="14.25" customHeight="1">
      <c r="A339" s="244"/>
      <c r="B339" s="244"/>
      <c r="C339" s="244"/>
      <c r="D339" s="244"/>
      <c r="E339" s="244"/>
      <c r="F339" s="244"/>
      <c r="G339" s="244"/>
      <c r="H339" s="244"/>
      <c r="I339" s="244"/>
      <c r="J339" s="244"/>
      <c r="K339" s="244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</row>
    <row r="340" ht="14.25" customHeight="1">
      <c r="A340" s="244"/>
      <c r="B340" s="244"/>
      <c r="C340" s="244"/>
      <c r="D340" s="244"/>
      <c r="E340" s="244"/>
      <c r="F340" s="244"/>
      <c r="G340" s="244"/>
      <c r="H340" s="244"/>
      <c r="I340" s="244"/>
      <c r="J340" s="244"/>
      <c r="K340" s="244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</row>
    <row r="341" ht="14.25" customHeight="1">
      <c r="A341" s="244"/>
      <c r="B341" s="244"/>
      <c r="C341" s="244"/>
      <c r="D341" s="244"/>
      <c r="E341" s="244"/>
      <c r="F341" s="244"/>
      <c r="G341" s="244"/>
      <c r="H341" s="244"/>
      <c r="I341" s="244"/>
      <c r="J341" s="244"/>
      <c r="K341" s="244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</row>
    <row r="342" ht="14.25" customHeight="1">
      <c r="A342" s="244"/>
      <c r="B342" s="244"/>
      <c r="C342" s="244"/>
      <c r="D342" s="244"/>
      <c r="E342" s="244"/>
      <c r="F342" s="244"/>
      <c r="G342" s="244"/>
      <c r="H342" s="244"/>
      <c r="I342" s="244"/>
      <c r="J342" s="244"/>
      <c r="K342" s="244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</row>
    <row r="343" ht="14.25" customHeight="1">
      <c r="A343" s="244"/>
      <c r="B343" s="244"/>
      <c r="C343" s="244"/>
      <c r="D343" s="244"/>
      <c r="E343" s="244"/>
      <c r="F343" s="244"/>
      <c r="G343" s="244"/>
      <c r="H343" s="244"/>
      <c r="I343" s="244"/>
      <c r="J343" s="244"/>
      <c r="K343" s="244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</row>
    <row r="344" ht="14.25" customHeight="1">
      <c r="A344" s="244"/>
      <c r="B344" s="244"/>
      <c r="C344" s="244"/>
      <c r="D344" s="244"/>
      <c r="E344" s="244"/>
      <c r="F344" s="244"/>
      <c r="G344" s="244"/>
      <c r="H344" s="244"/>
      <c r="I344" s="244"/>
      <c r="J344" s="244"/>
      <c r="K344" s="244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</row>
    <row r="345" ht="14.25" customHeight="1">
      <c r="A345" s="244"/>
      <c r="B345" s="244"/>
      <c r="C345" s="244"/>
      <c r="D345" s="244"/>
      <c r="E345" s="244"/>
      <c r="F345" s="244"/>
      <c r="G345" s="244"/>
      <c r="H345" s="244"/>
      <c r="I345" s="244"/>
      <c r="J345" s="244"/>
      <c r="K345" s="244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</row>
    <row r="346" ht="14.25" customHeight="1">
      <c r="A346" s="244"/>
      <c r="B346" s="244"/>
      <c r="C346" s="244"/>
      <c r="D346" s="244"/>
      <c r="E346" s="244"/>
      <c r="F346" s="244"/>
      <c r="G346" s="244"/>
      <c r="H346" s="244"/>
      <c r="I346" s="244"/>
      <c r="J346" s="244"/>
      <c r="K346" s="244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</row>
    <row r="347" ht="14.25" customHeight="1">
      <c r="A347" s="244"/>
      <c r="B347" s="244"/>
      <c r="C347" s="244"/>
      <c r="D347" s="244"/>
      <c r="E347" s="244"/>
      <c r="F347" s="244"/>
      <c r="G347" s="244"/>
      <c r="H347" s="244"/>
      <c r="I347" s="244"/>
      <c r="J347" s="244"/>
      <c r="K347" s="244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</row>
    <row r="348" ht="14.25" customHeight="1">
      <c r="A348" s="244"/>
      <c r="B348" s="244"/>
      <c r="C348" s="244"/>
      <c r="D348" s="244"/>
      <c r="E348" s="244"/>
      <c r="F348" s="244"/>
      <c r="G348" s="244"/>
      <c r="H348" s="244"/>
      <c r="I348" s="244"/>
      <c r="J348" s="244"/>
      <c r="K348" s="244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</row>
    <row r="349" ht="14.25" customHeight="1">
      <c r="A349" s="244"/>
      <c r="B349" s="244"/>
      <c r="C349" s="244"/>
      <c r="D349" s="244"/>
      <c r="E349" s="244"/>
      <c r="F349" s="244"/>
      <c r="G349" s="244"/>
      <c r="H349" s="244"/>
      <c r="I349" s="244"/>
      <c r="J349" s="244"/>
      <c r="K349" s="244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</row>
    <row r="350" ht="14.25" customHeight="1">
      <c r="A350" s="244"/>
      <c r="B350" s="244"/>
      <c r="C350" s="244"/>
      <c r="D350" s="244"/>
      <c r="E350" s="244"/>
      <c r="F350" s="244"/>
      <c r="G350" s="244"/>
      <c r="H350" s="244"/>
      <c r="I350" s="244"/>
      <c r="J350" s="244"/>
      <c r="K350" s="244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</row>
    <row r="351" ht="14.25" customHeight="1">
      <c r="A351" s="244"/>
      <c r="B351" s="244"/>
      <c r="C351" s="244"/>
      <c r="D351" s="244"/>
      <c r="E351" s="244"/>
      <c r="F351" s="244"/>
      <c r="G351" s="244"/>
      <c r="H351" s="244"/>
      <c r="I351" s="244"/>
      <c r="J351" s="244"/>
      <c r="K351" s="244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</row>
    <row r="352" ht="14.25" customHeight="1">
      <c r="A352" s="244"/>
      <c r="B352" s="244"/>
      <c r="C352" s="244"/>
      <c r="D352" s="244"/>
      <c r="E352" s="244"/>
      <c r="F352" s="244"/>
      <c r="G352" s="244"/>
      <c r="H352" s="244"/>
      <c r="I352" s="244"/>
      <c r="J352" s="244"/>
      <c r="K352" s="244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</row>
    <row r="353" ht="14.25" customHeight="1">
      <c r="A353" s="244"/>
      <c r="B353" s="244"/>
      <c r="C353" s="244"/>
      <c r="D353" s="244"/>
      <c r="E353" s="244"/>
      <c r="F353" s="244"/>
      <c r="G353" s="244"/>
      <c r="H353" s="244"/>
      <c r="I353" s="244"/>
      <c r="J353" s="244"/>
      <c r="K353" s="244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</row>
    <row r="354" ht="14.25" customHeight="1">
      <c r="A354" s="244"/>
      <c r="B354" s="244"/>
      <c r="C354" s="244"/>
      <c r="D354" s="244"/>
      <c r="E354" s="244"/>
      <c r="F354" s="244"/>
      <c r="G354" s="244"/>
      <c r="H354" s="244"/>
      <c r="I354" s="244"/>
      <c r="J354" s="244"/>
      <c r="K354" s="244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</row>
    <row r="355" ht="14.25" customHeight="1">
      <c r="A355" s="244"/>
      <c r="B355" s="244"/>
      <c r="C355" s="244"/>
      <c r="D355" s="244"/>
      <c r="E355" s="244"/>
      <c r="F355" s="244"/>
      <c r="G355" s="244"/>
      <c r="H355" s="244"/>
      <c r="I355" s="244"/>
      <c r="J355" s="244"/>
      <c r="K355" s="244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</row>
    <row r="356" ht="14.25" customHeight="1">
      <c r="A356" s="244"/>
      <c r="B356" s="244"/>
      <c r="C356" s="244"/>
      <c r="D356" s="244"/>
      <c r="E356" s="244"/>
      <c r="F356" s="244"/>
      <c r="G356" s="244"/>
      <c r="H356" s="244"/>
      <c r="I356" s="244"/>
      <c r="J356" s="244"/>
      <c r="K356" s="244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</row>
    <row r="357" ht="14.25" customHeight="1">
      <c r="A357" s="244"/>
      <c r="B357" s="244"/>
      <c r="C357" s="244"/>
      <c r="D357" s="244"/>
      <c r="E357" s="244"/>
      <c r="F357" s="244"/>
      <c r="G357" s="244"/>
      <c r="H357" s="244"/>
      <c r="I357" s="244"/>
      <c r="J357" s="244"/>
      <c r="K357" s="244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</row>
    <row r="358" ht="14.25" customHeight="1">
      <c r="A358" s="244"/>
      <c r="B358" s="244"/>
      <c r="C358" s="244"/>
      <c r="D358" s="244"/>
      <c r="E358" s="244"/>
      <c r="F358" s="244"/>
      <c r="G358" s="244"/>
      <c r="H358" s="244"/>
      <c r="I358" s="244"/>
      <c r="J358" s="244"/>
      <c r="K358" s="244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</row>
    <row r="359" ht="14.25" customHeight="1">
      <c r="A359" s="244"/>
      <c r="B359" s="244"/>
      <c r="C359" s="244"/>
      <c r="D359" s="244"/>
      <c r="E359" s="244"/>
      <c r="F359" s="244"/>
      <c r="G359" s="244"/>
      <c r="H359" s="244"/>
      <c r="I359" s="244"/>
      <c r="J359" s="244"/>
      <c r="K359" s="244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</row>
    <row r="360" ht="14.25" customHeight="1">
      <c r="A360" s="244"/>
      <c r="B360" s="244"/>
      <c r="C360" s="244"/>
      <c r="D360" s="244"/>
      <c r="E360" s="244"/>
      <c r="F360" s="244"/>
      <c r="G360" s="244"/>
      <c r="H360" s="244"/>
      <c r="I360" s="244"/>
      <c r="J360" s="244"/>
      <c r="K360" s="244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</row>
    <row r="361" ht="14.25" customHeight="1">
      <c r="A361" s="244"/>
      <c r="B361" s="244"/>
      <c r="C361" s="244"/>
      <c r="D361" s="244"/>
      <c r="E361" s="244"/>
      <c r="F361" s="244"/>
      <c r="G361" s="244"/>
      <c r="H361" s="244"/>
      <c r="I361" s="244"/>
      <c r="J361" s="244"/>
      <c r="K361" s="244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</row>
    <row r="362" ht="14.25" customHeight="1">
      <c r="A362" s="244"/>
      <c r="B362" s="244"/>
      <c r="C362" s="244"/>
      <c r="D362" s="244"/>
      <c r="E362" s="244"/>
      <c r="F362" s="244"/>
      <c r="G362" s="244"/>
      <c r="H362" s="244"/>
      <c r="I362" s="244"/>
      <c r="J362" s="244"/>
      <c r="K362" s="244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</row>
    <row r="363" ht="14.25" customHeight="1">
      <c r="A363" s="244"/>
      <c r="B363" s="244"/>
      <c r="C363" s="244"/>
      <c r="D363" s="244"/>
      <c r="E363" s="244"/>
      <c r="F363" s="244"/>
      <c r="G363" s="244"/>
      <c r="H363" s="244"/>
      <c r="I363" s="244"/>
      <c r="J363" s="244"/>
      <c r="K363" s="244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</row>
    <row r="364" ht="14.25" customHeight="1">
      <c r="A364" s="244"/>
      <c r="B364" s="244"/>
      <c r="C364" s="244"/>
      <c r="D364" s="244"/>
      <c r="E364" s="244"/>
      <c r="F364" s="244"/>
      <c r="G364" s="244"/>
      <c r="H364" s="244"/>
      <c r="I364" s="244"/>
      <c r="J364" s="244"/>
      <c r="K364" s="244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</row>
    <row r="365" ht="14.25" customHeight="1">
      <c r="A365" s="244"/>
      <c r="B365" s="244"/>
      <c r="C365" s="244"/>
      <c r="D365" s="244"/>
      <c r="E365" s="244"/>
      <c r="F365" s="244"/>
      <c r="G365" s="244"/>
      <c r="H365" s="244"/>
      <c r="I365" s="244"/>
      <c r="J365" s="244"/>
      <c r="K365" s="244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</row>
    <row r="366" ht="14.25" customHeight="1">
      <c r="A366" s="244"/>
      <c r="B366" s="244"/>
      <c r="C366" s="244"/>
      <c r="D366" s="244"/>
      <c r="E366" s="244"/>
      <c r="F366" s="244"/>
      <c r="G366" s="244"/>
      <c r="H366" s="244"/>
      <c r="I366" s="244"/>
      <c r="J366" s="244"/>
      <c r="K366" s="244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</row>
    <row r="367" ht="14.25" customHeight="1">
      <c r="A367" s="244"/>
      <c r="B367" s="244"/>
      <c r="C367" s="244"/>
      <c r="D367" s="244"/>
      <c r="E367" s="244"/>
      <c r="F367" s="244"/>
      <c r="G367" s="244"/>
      <c r="H367" s="244"/>
      <c r="I367" s="244"/>
      <c r="J367" s="244"/>
      <c r="K367" s="244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</row>
    <row r="368" ht="14.25" customHeight="1">
      <c r="A368" s="244"/>
      <c r="B368" s="244"/>
      <c r="C368" s="244"/>
      <c r="D368" s="244"/>
      <c r="E368" s="244"/>
      <c r="F368" s="244"/>
      <c r="G368" s="244"/>
      <c r="H368" s="244"/>
      <c r="I368" s="244"/>
      <c r="J368" s="244"/>
      <c r="K368" s="244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</row>
    <row r="369" ht="14.25" customHeight="1">
      <c r="A369" s="244"/>
      <c r="B369" s="244"/>
      <c r="C369" s="244"/>
      <c r="D369" s="244"/>
      <c r="E369" s="244"/>
      <c r="F369" s="244"/>
      <c r="G369" s="244"/>
      <c r="H369" s="244"/>
      <c r="I369" s="244"/>
      <c r="J369" s="244"/>
      <c r="K369" s="244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</row>
    <row r="370" ht="14.25" customHeight="1">
      <c r="A370" s="244"/>
      <c r="B370" s="244"/>
      <c r="C370" s="244"/>
      <c r="D370" s="244"/>
      <c r="E370" s="244"/>
      <c r="F370" s="244"/>
      <c r="G370" s="244"/>
      <c r="H370" s="244"/>
      <c r="I370" s="244"/>
      <c r="J370" s="244"/>
      <c r="K370" s="244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</row>
    <row r="371" ht="14.25" customHeight="1">
      <c r="A371" s="244"/>
      <c r="B371" s="244"/>
      <c r="C371" s="244"/>
      <c r="D371" s="244"/>
      <c r="E371" s="244"/>
      <c r="F371" s="244"/>
      <c r="G371" s="244"/>
      <c r="H371" s="244"/>
      <c r="I371" s="244"/>
      <c r="J371" s="244"/>
      <c r="K371" s="244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</row>
    <row r="372" ht="14.25" customHeight="1">
      <c r="A372" s="244"/>
      <c r="B372" s="244"/>
      <c r="C372" s="244"/>
      <c r="D372" s="244"/>
      <c r="E372" s="244"/>
      <c r="F372" s="244"/>
      <c r="G372" s="244"/>
      <c r="H372" s="244"/>
      <c r="I372" s="244"/>
      <c r="J372" s="244"/>
      <c r="K372" s="244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</row>
    <row r="373" ht="14.25" customHeight="1">
      <c r="A373" s="244"/>
      <c r="B373" s="244"/>
      <c r="C373" s="244"/>
      <c r="D373" s="244"/>
      <c r="E373" s="244"/>
      <c r="F373" s="244"/>
      <c r="G373" s="244"/>
      <c r="H373" s="244"/>
      <c r="I373" s="244"/>
      <c r="J373" s="244"/>
      <c r="K373" s="244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</row>
    <row r="374" ht="14.25" customHeight="1">
      <c r="A374" s="244"/>
      <c r="B374" s="244"/>
      <c r="C374" s="244"/>
      <c r="D374" s="244"/>
      <c r="E374" s="244"/>
      <c r="F374" s="244"/>
      <c r="G374" s="244"/>
      <c r="H374" s="244"/>
      <c r="I374" s="244"/>
      <c r="J374" s="244"/>
      <c r="K374" s="244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</row>
    <row r="375" ht="14.25" customHeight="1">
      <c r="A375" s="244"/>
      <c r="B375" s="244"/>
      <c r="C375" s="244"/>
      <c r="D375" s="244"/>
      <c r="E375" s="244"/>
      <c r="F375" s="244"/>
      <c r="G375" s="244"/>
      <c r="H375" s="244"/>
      <c r="I375" s="244"/>
      <c r="J375" s="244"/>
      <c r="K375" s="244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</row>
    <row r="376" ht="14.25" customHeight="1">
      <c r="A376" s="244"/>
      <c r="B376" s="244"/>
      <c r="C376" s="244"/>
      <c r="D376" s="244"/>
      <c r="E376" s="244"/>
      <c r="F376" s="244"/>
      <c r="G376" s="244"/>
      <c r="H376" s="244"/>
      <c r="I376" s="244"/>
      <c r="J376" s="244"/>
      <c r="K376" s="244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</row>
    <row r="377" ht="14.25" customHeight="1">
      <c r="A377" s="244"/>
      <c r="B377" s="244"/>
      <c r="C377" s="244"/>
      <c r="D377" s="244"/>
      <c r="E377" s="244"/>
      <c r="F377" s="244"/>
      <c r="G377" s="244"/>
      <c r="H377" s="244"/>
      <c r="I377" s="244"/>
      <c r="J377" s="244"/>
      <c r="K377" s="244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</row>
    <row r="378" ht="14.25" customHeight="1">
      <c r="A378" s="244"/>
      <c r="B378" s="244"/>
      <c r="C378" s="244"/>
      <c r="D378" s="244"/>
      <c r="E378" s="244"/>
      <c r="F378" s="244"/>
      <c r="G378" s="244"/>
      <c r="H378" s="244"/>
      <c r="I378" s="244"/>
      <c r="J378" s="244"/>
      <c r="K378" s="244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</row>
    <row r="379" ht="14.25" customHeight="1">
      <c r="A379" s="244"/>
      <c r="B379" s="244"/>
      <c r="C379" s="244"/>
      <c r="D379" s="244"/>
      <c r="E379" s="244"/>
      <c r="F379" s="244"/>
      <c r="G379" s="244"/>
      <c r="H379" s="244"/>
      <c r="I379" s="244"/>
      <c r="J379" s="244"/>
      <c r="K379" s="244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</row>
    <row r="380" ht="14.25" customHeight="1">
      <c r="A380" s="244"/>
      <c r="B380" s="244"/>
      <c r="C380" s="244"/>
      <c r="D380" s="244"/>
      <c r="E380" s="244"/>
      <c r="F380" s="244"/>
      <c r="G380" s="244"/>
      <c r="H380" s="244"/>
      <c r="I380" s="244"/>
      <c r="J380" s="244"/>
      <c r="K380" s="244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</row>
    <row r="381" ht="14.25" customHeight="1">
      <c r="A381" s="244"/>
      <c r="B381" s="244"/>
      <c r="C381" s="244"/>
      <c r="D381" s="244"/>
      <c r="E381" s="244"/>
      <c r="F381" s="244"/>
      <c r="G381" s="244"/>
      <c r="H381" s="244"/>
      <c r="I381" s="244"/>
      <c r="J381" s="244"/>
      <c r="K381" s="244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</row>
    <row r="382" ht="14.25" customHeight="1">
      <c r="A382" s="244"/>
      <c r="B382" s="244"/>
      <c r="C382" s="244"/>
      <c r="D382" s="244"/>
      <c r="E382" s="244"/>
      <c r="F382" s="244"/>
      <c r="G382" s="244"/>
      <c r="H382" s="244"/>
      <c r="I382" s="244"/>
      <c r="J382" s="244"/>
      <c r="K382" s="244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</row>
    <row r="383" ht="14.25" customHeight="1">
      <c r="A383" s="244"/>
      <c r="B383" s="244"/>
      <c r="C383" s="244"/>
      <c r="D383" s="244"/>
      <c r="E383" s="244"/>
      <c r="F383" s="244"/>
      <c r="G383" s="244"/>
      <c r="H383" s="244"/>
      <c r="I383" s="244"/>
      <c r="J383" s="244"/>
      <c r="K383" s="244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</row>
    <row r="384" ht="14.25" customHeight="1">
      <c r="A384" s="244"/>
      <c r="B384" s="244"/>
      <c r="C384" s="244"/>
      <c r="D384" s="244"/>
      <c r="E384" s="244"/>
      <c r="F384" s="244"/>
      <c r="G384" s="244"/>
      <c r="H384" s="244"/>
      <c r="I384" s="244"/>
      <c r="J384" s="244"/>
      <c r="K384" s="244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</row>
    <row r="385" ht="14.25" customHeight="1">
      <c r="A385" s="244"/>
      <c r="B385" s="244"/>
      <c r="C385" s="244"/>
      <c r="D385" s="244"/>
      <c r="E385" s="244"/>
      <c r="F385" s="244"/>
      <c r="G385" s="244"/>
      <c r="H385" s="244"/>
      <c r="I385" s="244"/>
      <c r="J385" s="244"/>
      <c r="K385" s="244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</row>
    <row r="386" ht="14.25" customHeight="1">
      <c r="A386" s="244"/>
      <c r="B386" s="244"/>
      <c r="C386" s="244"/>
      <c r="D386" s="244"/>
      <c r="E386" s="244"/>
      <c r="F386" s="244"/>
      <c r="G386" s="244"/>
      <c r="H386" s="244"/>
      <c r="I386" s="244"/>
      <c r="J386" s="244"/>
      <c r="K386" s="244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</row>
    <row r="387" ht="14.25" customHeight="1">
      <c r="A387" s="244"/>
      <c r="B387" s="244"/>
      <c r="C387" s="244"/>
      <c r="D387" s="244"/>
      <c r="E387" s="244"/>
      <c r="F387" s="244"/>
      <c r="G387" s="244"/>
      <c r="H387" s="244"/>
      <c r="I387" s="244"/>
      <c r="J387" s="244"/>
      <c r="K387" s="244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</row>
    <row r="388" ht="14.25" customHeight="1">
      <c r="A388" s="244"/>
      <c r="B388" s="244"/>
      <c r="C388" s="244"/>
      <c r="D388" s="244"/>
      <c r="E388" s="244"/>
      <c r="F388" s="244"/>
      <c r="G388" s="244"/>
      <c r="H388" s="244"/>
      <c r="I388" s="244"/>
      <c r="J388" s="244"/>
      <c r="K388" s="244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</row>
    <row r="389" ht="14.25" customHeight="1">
      <c r="A389" s="244"/>
      <c r="B389" s="244"/>
      <c r="C389" s="244"/>
      <c r="D389" s="244"/>
      <c r="E389" s="244"/>
      <c r="F389" s="244"/>
      <c r="G389" s="244"/>
      <c r="H389" s="244"/>
      <c r="I389" s="244"/>
      <c r="J389" s="244"/>
      <c r="K389" s="244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</row>
    <row r="390" ht="14.25" customHeight="1">
      <c r="A390" s="244"/>
      <c r="B390" s="244"/>
      <c r="C390" s="244"/>
      <c r="D390" s="244"/>
      <c r="E390" s="244"/>
      <c r="F390" s="244"/>
      <c r="G390" s="244"/>
      <c r="H390" s="244"/>
      <c r="I390" s="244"/>
      <c r="J390" s="244"/>
      <c r="K390" s="244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</row>
    <row r="391" ht="14.25" customHeight="1">
      <c r="A391" s="244"/>
      <c r="B391" s="244"/>
      <c r="C391" s="244"/>
      <c r="D391" s="244"/>
      <c r="E391" s="244"/>
      <c r="F391" s="244"/>
      <c r="G391" s="244"/>
      <c r="H391" s="244"/>
      <c r="I391" s="244"/>
      <c r="J391" s="244"/>
      <c r="K391" s="244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</row>
    <row r="392" ht="14.25" customHeight="1">
      <c r="A392" s="244"/>
      <c r="B392" s="244"/>
      <c r="C392" s="244"/>
      <c r="D392" s="244"/>
      <c r="E392" s="244"/>
      <c r="F392" s="244"/>
      <c r="G392" s="244"/>
      <c r="H392" s="244"/>
      <c r="I392" s="244"/>
      <c r="J392" s="244"/>
      <c r="K392" s="244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</row>
    <row r="393" ht="14.25" customHeight="1">
      <c r="A393" s="244"/>
      <c r="B393" s="244"/>
      <c r="C393" s="244"/>
      <c r="D393" s="244"/>
      <c r="E393" s="244"/>
      <c r="F393" s="244"/>
      <c r="G393" s="244"/>
      <c r="H393" s="244"/>
      <c r="I393" s="244"/>
      <c r="J393" s="244"/>
      <c r="K393" s="244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</row>
    <row r="394" ht="14.25" customHeight="1">
      <c r="A394" s="244"/>
      <c r="B394" s="244"/>
      <c r="C394" s="244"/>
      <c r="D394" s="244"/>
      <c r="E394" s="244"/>
      <c r="F394" s="244"/>
      <c r="G394" s="244"/>
      <c r="H394" s="244"/>
      <c r="I394" s="244"/>
      <c r="J394" s="244"/>
      <c r="K394" s="244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</row>
    <row r="395" ht="14.25" customHeight="1">
      <c r="A395" s="244"/>
      <c r="B395" s="244"/>
      <c r="C395" s="244"/>
      <c r="D395" s="244"/>
      <c r="E395" s="244"/>
      <c r="F395" s="244"/>
      <c r="G395" s="244"/>
      <c r="H395" s="244"/>
      <c r="I395" s="244"/>
      <c r="J395" s="244"/>
      <c r="K395" s="244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</row>
    <row r="396" ht="14.25" customHeight="1">
      <c r="A396" s="244"/>
      <c r="B396" s="244"/>
      <c r="C396" s="244"/>
      <c r="D396" s="244"/>
      <c r="E396" s="244"/>
      <c r="F396" s="244"/>
      <c r="G396" s="244"/>
      <c r="H396" s="244"/>
      <c r="I396" s="244"/>
      <c r="J396" s="244"/>
      <c r="K396" s="244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</row>
    <row r="397" ht="14.25" customHeight="1">
      <c r="A397" s="244"/>
      <c r="B397" s="244"/>
      <c r="C397" s="244"/>
      <c r="D397" s="244"/>
      <c r="E397" s="244"/>
      <c r="F397" s="244"/>
      <c r="G397" s="244"/>
      <c r="H397" s="244"/>
      <c r="I397" s="244"/>
      <c r="J397" s="244"/>
      <c r="K397" s="244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</row>
    <row r="398" ht="14.25" customHeight="1">
      <c r="A398" s="244"/>
      <c r="B398" s="244"/>
      <c r="C398" s="244"/>
      <c r="D398" s="244"/>
      <c r="E398" s="244"/>
      <c r="F398" s="244"/>
      <c r="G398" s="244"/>
      <c r="H398" s="244"/>
      <c r="I398" s="244"/>
      <c r="J398" s="244"/>
      <c r="K398" s="244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</row>
    <row r="399" ht="14.25" customHeight="1">
      <c r="A399" s="244"/>
      <c r="B399" s="244"/>
      <c r="C399" s="244"/>
      <c r="D399" s="244"/>
      <c r="E399" s="244"/>
      <c r="F399" s="244"/>
      <c r="G399" s="244"/>
      <c r="H399" s="244"/>
      <c r="I399" s="244"/>
      <c r="J399" s="244"/>
      <c r="K399" s="244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</row>
    <row r="400" ht="14.25" customHeight="1">
      <c r="A400" s="244"/>
      <c r="B400" s="244"/>
      <c r="C400" s="244"/>
      <c r="D400" s="244"/>
      <c r="E400" s="244"/>
      <c r="F400" s="244"/>
      <c r="G400" s="244"/>
      <c r="H400" s="244"/>
      <c r="I400" s="244"/>
      <c r="J400" s="244"/>
      <c r="K400" s="244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</row>
    <row r="401" ht="14.25" customHeight="1">
      <c r="A401" s="244"/>
      <c r="B401" s="244"/>
      <c r="C401" s="244"/>
      <c r="D401" s="244"/>
      <c r="E401" s="244"/>
      <c r="F401" s="244"/>
      <c r="G401" s="244"/>
      <c r="H401" s="244"/>
      <c r="I401" s="244"/>
      <c r="J401" s="244"/>
      <c r="K401" s="244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</row>
    <row r="402" ht="14.25" customHeight="1">
      <c r="A402" s="244"/>
      <c r="B402" s="244"/>
      <c r="C402" s="244"/>
      <c r="D402" s="244"/>
      <c r="E402" s="244"/>
      <c r="F402" s="244"/>
      <c r="G402" s="244"/>
      <c r="H402" s="244"/>
      <c r="I402" s="244"/>
      <c r="J402" s="244"/>
      <c r="K402" s="244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</row>
    <row r="403" ht="14.25" customHeight="1">
      <c r="A403" s="244"/>
      <c r="B403" s="244"/>
      <c r="C403" s="244"/>
      <c r="D403" s="244"/>
      <c r="E403" s="244"/>
      <c r="F403" s="244"/>
      <c r="G403" s="244"/>
      <c r="H403" s="244"/>
      <c r="I403" s="244"/>
      <c r="J403" s="244"/>
      <c r="K403" s="244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</row>
    <row r="404" ht="14.25" customHeight="1">
      <c r="A404" s="244"/>
      <c r="B404" s="244"/>
      <c r="C404" s="244"/>
      <c r="D404" s="244"/>
      <c r="E404" s="244"/>
      <c r="F404" s="244"/>
      <c r="G404" s="244"/>
      <c r="H404" s="244"/>
      <c r="I404" s="244"/>
      <c r="J404" s="244"/>
      <c r="K404" s="244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</row>
    <row r="405" ht="14.25" customHeight="1">
      <c r="A405" s="244"/>
      <c r="B405" s="244"/>
      <c r="C405" s="244"/>
      <c r="D405" s="244"/>
      <c r="E405" s="244"/>
      <c r="F405" s="244"/>
      <c r="G405" s="244"/>
      <c r="H405" s="244"/>
      <c r="I405" s="244"/>
      <c r="J405" s="244"/>
      <c r="K405" s="244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</row>
    <row r="406" ht="14.25" customHeight="1">
      <c r="A406" s="244"/>
      <c r="B406" s="244"/>
      <c r="C406" s="244"/>
      <c r="D406" s="244"/>
      <c r="E406" s="244"/>
      <c r="F406" s="244"/>
      <c r="G406" s="244"/>
      <c r="H406" s="244"/>
      <c r="I406" s="244"/>
      <c r="J406" s="244"/>
      <c r="K406" s="244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</row>
    <row r="407" ht="14.25" customHeight="1">
      <c r="A407" s="244"/>
      <c r="B407" s="244"/>
      <c r="C407" s="244"/>
      <c r="D407" s="244"/>
      <c r="E407" s="244"/>
      <c r="F407" s="244"/>
      <c r="G407" s="244"/>
      <c r="H407" s="244"/>
      <c r="I407" s="244"/>
      <c r="J407" s="244"/>
      <c r="K407" s="244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</row>
    <row r="408" ht="14.25" customHeight="1">
      <c r="A408" s="244"/>
      <c r="B408" s="244"/>
      <c r="C408" s="244"/>
      <c r="D408" s="244"/>
      <c r="E408" s="244"/>
      <c r="F408" s="244"/>
      <c r="G408" s="244"/>
      <c r="H408" s="244"/>
      <c r="I408" s="244"/>
      <c r="J408" s="244"/>
      <c r="K408" s="244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</row>
    <row r="409" ht="14.25" customHeight="1">
      <c r="A409" s="244"/>
      <c r="B409" s="244"/>
      <c r="C409" s="244"/>
      <c r="D409" s="244"/>
      <c r="E409" s="244"/>
      <c r="F409" s="244"/>
      <c r="G409" s="244"/>
      <c r="H409" s="244"/>
      <c r="I409" s="244"/>
      <c r="J409" s="244"/>
      <c r="K409" s="244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</row>
    <row r="410" ht="14.25" customHeight="1">
      <c r="A410" s="244"/>
      <c r="B410" s="244"/>
      <c r="C410" s="244"/>
      <c r="D410" s="244"/>
      <c r="E410" s="244"/>
      <c r="F410" s="244"/>
      <c r="G410" s="244"/>
      <c r="H410" s="244"/>
      <c r="I410" s="244"/>
      <c r="J410" s="244"/>
      <c r="K410" s="244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</row>
    <row r="411" ht="14.25" customHeight="1">
      <c r="A411" s="244"/>
      <c r="B411" s="244"/>
      <c r="C411" s="244"/>
      <c r="D411" s="244"/>
      <c r="E411" s="244"/>
      <c r="F411" s="244"/>
      <c r="G411" s="244"/>
      <c r="H411" s="244"/>
      <c r="I411" s="244"/>
      <c r="J411" s="244"/>
      <c r="K411" s="244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</row>
    <row r="412" ht="14.25" customHeight="1">
      <c r="A412" s="244"/>
      <c r="B412" s="244"/>
      <c r="C412" s="244"/>
      <c r="D412" s="244"/>
      <c r="E412" s="244"/>
      <c r="F412" s="244"/>
      <c r="G412" s="244"/>
      <c r="H412" s="244"/>
      <c r="I412" s="244"/>
      <c r="J412" s="244"/>
      <c r="K412" s="244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</row>
    <row r="413" ht="14.25" customHeight="1">
      <c r="A413" s="244"/>
      <c r="B413" s="244"/>
      <c r="C413" s="244"/>
      <c r="D413" s="244"/>
      <c r="E413" s="244"/>
      <c r="F413" s="244"/>
      <c r="G413" s="244"/>
      <c r="H413" s="244"/>
      <c r="I413" s="244"/>
      <c r="J413" s="244"/>
      <c r="K413" s="244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</row>
    <row r="414" ht="14.25" customHeight="1">
      <c r="A414" s="244"/>
      <c r="B414" s="244"/>
      <c r="C414" s="244"/>
      <c r="D414" s="244"/>
      <c r="E414" s="244"/>
      <c r="F414" s="244"/>
      <c r="G414" s="244"/>
      <c r="H414" s="244"/>
      <c r="I414" s="244"/>
      <c r="J414" s="244"/>
      <c r="K414" s="244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</row>
    <row r="415" ht="14.25" customHeight="1">
      <c r="A415" s="244"/>
      <c r="B415" s="244"/>
      <c r="C415" s="244"/>
      <c r="D415" s="244"/>
      <c r="E415" s="244"/>
      <c r="F415" s="244"/>
      <c r="G415" s="244"/>
      <c r="H415" s="244"/>
      <c r="I415" s="244"/>
      <c r="J415" s="244"/>
      <c r="K415" s="244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</row>
    <row r="416" ht="14.25" customHeight="1">
      <c r="A416" s="244"/>
      <c r="B416" s="244"/>
      <c r="C416" s="244"/>
      <c r="D416" s="244"/>
      <c r="E416" s="244"/>
      <c r="F416" s="244"/>
      <c r="G416" s="244"/>
      <c r="H416" s="244"/>
      <c r="I416" s="244"/>
      <c r="J416" s="244"/>
      <c r="K416" s="244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</row>
    <row r="417" ht="14.25" customHeight="1">
      <c r="A417" s="244"/>
      <c r="B417" s="244"/>
      <c r="C417" s="244"/>
      <c r="D417" s="244"/>
      <c r="E417" s="244"/>
      <c r="F417" s="244"/>
      <c r="G417" s="244"/>
      <c r="H417" s="244"/>
      <c r="I417" s="244"/>
      <c r="J417" s="244"/>
      <c r="K417" s="244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</row>
    <row r="418" ht="14.25" customHeight="1">
      <c r="A418" s="244"/>
      <c r="B418" s="244"/>
      <c r="C418" s="244"/>
      <c r="D418" s="244"/>
      <c r="E418" s="244"/>
      <c r="F418" s="244"/>
      <c r="G418" s="244"/>
      <c r="H418" s="244"/>
      <c r="I418" s="244"/>
      <c r="J418" s="244"/>
      <c r="K418" s="244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</row>
    <row r="419" ht="14.25" customHeight="1">
      <c r="A419" s="244"/>
      <c r="B419" s="244"/>
      <c r="C419" s="244"/>
      <c r="D419" s="244"/>
      <c r="E419" s="244"/>
      <c r="F419" s="244"/>
      <c r="G419" s="244"/>
      <c r="H419" s="244"/>
      <c r="I419" s="244"/>
      <c r="J419" s="244"/>
      <c r="K419" s="244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</row>
    <row r="420" ht="14.25" customHeight="1">
      <c r="A420" s="244"/>
      <c r="B420" s="244"/>
      <c r="C420" s="244"/>
      <c r="D420" s="244"/>
      <c r="E420" s="244"/>
      <c r="F420" s="244"/>
      <c r="G420" s="244"/>
      <c r="H420" s="244"/>
      <c r="I420" s="244"/>
      <c r="J420" s="244"/>
      <c r="K420" s="244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</row>
    <row r="421" ht="14.25" customHeight="1">
      <c r="A421" s="244"/>
      <c r="B421" s="244"/>
      <c r="C421" s="244"/>
      <c r="D421" s="244"/>
      <c r="E421" s="244"/>
      <c r="F421" s="244"/>
      <c r="G421" s="244"/>
      <c r="H421" s="244"/>
      <c r="I421" s="244"/>
      <c r="J421" s="244"/>
      <c r="K421" s="244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</row>
    <row r="422" ht="14.25" customHeight="1">
      <c r="A422" s="244"/>
      <c r="B422" s="244"/>
      <c r="C422" s="244"/>
      <c r="D422" s="244"/>
      <c r="E422" s="244"/>
      <c r="F422" s="244"/>
      <c r="G422" s="244"/>
      <c r="H422" s="244"/>
      <c r="I422" s="244"/>
      <c r="J422" s="244"/>
      <c r="K422" s="244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</row>
    <row r="423" ht="14.25" customHeight="1">
      <c r="A423" s="244"/>
      <c r="B423" s="244"/>
      <c r="C423" s="244"/>
      <c r="D423" s="244"/>
      <c r="E423" s="244"/>
      <c r="F423" s="244"/>
      <c r="G423" s="244"/>
      <c r="H423" s="244"/>
      <c r="I423" s="244"/>
      <c r="J423" s="244"/>
      <c r="K423" s="244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</row>
    <row r="424" ht="14.25" customHeight="1">
      <c r="A424" s="244"/>
      <c r="B424" s="244"/>
      <c r="C424" s="244"/>
      <c r="D424" s="244"/>
      <c r="E424" s="244"/>
      <c r="F424" s="244"/>
      <c r="G424" s="244"/>
      <c r="H424" s="244"/>
      <c r="I424" s="244"/>
      <c r="J424" s="244"/>
      <c r="K424" s="244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</row>
    <row r="425" ht="14.25" customHeight="1">
      <c r="A425" s="244"/>
      <c r="B425" s="244"/>
      <c r="C425" s="244"/>
      <c r="D425" s="244"/>
      <c r="E425" s="244"/>
      <c r="F425" s="244"/>
      <c r="G425" s="244"/>
      <c r="H425" s="244"/>
      <c r="I425" s="244"/>
      <c r="J425" s="244"/>
      <c r="K425" s="244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</row>
    <row r="426" ht="14.25" customHeight="1">
      <c r="A426" s="244"/>
      <c r="B426" s="244"/>
      <c r="C426" s="244"/>
      <c r="D426" s="244"/>
      <c r="E426" s="244"/>
      <c r="F426" s="244"/>
      <c r="G426" s="244"/>
      <c r="H426" s="244"/>
      <c r="I426" s="244"/>
      <c r="J426" s="244"/>
      <c r="K426" s="244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</row>
    <row r="427" ht="14.25" customHeight="1">
      <c r="A427" s="244"/>
      <c r="B427" s="244"/>
      <c r="C427" s="244"/>
      <c r="D427" s="244"/>
      <c r="E427" s="244"/>
      <c r="F427" s="244"/>
      <c r="G427" s="244"/>
      <c r="H427" s="244"/>
      <c r="I427" s="244"/>
      <c r="J427" s="244"/>
      <c r="K427" s="244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</row>
    <row r="428" ht="14.25" customHeight="1">
      <c r="A428" s="244"/>
      <c r="B428" s="244"/>
      <c r="C428" s="244"/>
      <c r="D428" s="244"/>
      <c r="E428" s="244"/>
      <c r="F428" s="244"/>
      <c r="G428" s="244"/>
      <c r="H428" s="244"/>
      <c r="I428" s="244"/>
      <c r="J428" s="244"/>
      <c r="K428" s="244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</row>
    <row r="429" ht="14.25" customHeight="1">
      <c r="A429" s="244"/>
      <c r="B429" s="244"/>
      <c r="C429" s="244"/>
      <c r="D429" s="244"/>
      <c r="E429" s="244"/>
      <c r="F429" s="244"/>
      <c r="G429" s="244"/>
      <c r="H429" s="244"/>
      <c r="I429" s="244"/>
      <c r="J429" s="244"/>
      <c r="K429" s="244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</row>
    <row r="430" ht="14.25" customHeight="1">
      <c r="A430" s="244"/>
      <c r="B430" s="244"/>
      <c r="C430" s="244"/>
      <c r="D430" s="244"/>
      <c r="E430" s="244"/>
      <c r="F430" s="244"/>
      <c r="G430" s="244"/>
      <c r="H430" s="244"/>
      <c r="I430" s="244"/>
      <c r="J430" s="244"/>
      <c r="K430" s="244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</row>
    <row r="431" ht="14.25" customHeight="1">
      <c r="A431" s="244"/>
      <c r="B431" s="244"/>
      <c r="C431" s="244"/>
      <c r="D431" s="244"/>
      <c r="E431" s="244"/>
      <c r="F431" s="244"/>
      <c r="G431" s="244"/>
      <c r="H431" s="244"/>
      <c r="I431" s="244"/>
      <c r="J431" s="244"/>
      <c r="K431" s="244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</row>
    <row r="432" ht="14.25" customHeight="1">
      <c r="A432" s="244"/>
      <c r="B432" s="244"/>
      <c r="C432" s="244"/>
      <c r="D432" s="244"/>
      <c r="E432" s="244"/>
      <c r="F432" s="244"/>
      <c r="G432" s="244"/>
      <c r="H432" s="244"/>
      <c r="I432" s="244"/>
      <c r="J432" s="244"/>
      <c r="K432" s="244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</row>
    <row r="433" ht="14.25" customHeight="1">
      <c r="A433" s="244"/>
      <c r="B433" s="244"/>
      <c r="C433" s="244"/>
      <c r="D433" s="244"/>
      <c r="E433" s="244"/>
      <c r="F433" s="244"/>
      <c r="G433" s="244"/>
      <c r="H433" s="244"/>
      <c r="I433" s="244"/>
      <c r="J433" s="244"/>
      <c r="K433" s="244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</row>
    <row r="434" ht="14.25" customHeight="1">
      <c r="A434" s="244"/>
      <c r="B434" s="244"/>
      <c r="C434" s="244"/>
      <c r="D434" s="244"/>
      <c r="E434" s="244"/>
      <c r="F434" s="244"/>
      <c r="G434" s="244"/>
      <c r="H434" s="244"/>
      <c r="I434" s="244"/>
      <c r="J434" s="244"/>
      <c r="K434" s="244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</row>
    <row r="435" ht="14.25" customHeight="1">
      <c r="A435" s="244"/>
      <c r="B435" s="244"/>
      <c r="C435" s="244"/>
      <c r="D435" s="244"/>
      <c r="E435" s="244"/>
      <c r="F435" s="244"/>
      <c r="G435" s="244"/>
      <c r="H435" s="244"/>
      <c r="I435" s="244"/>
      <c r="J435" s="244"/>
      <c r="K435" s="244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</row>
    <row r="436" ht="14.25" customHeight="1">
      <c r="A436" s="244"/>
      <c r="B436" s="244"/>
      <c r="C436" s="244"/>
      <c r="D436" s="244"/>
      <c r="E436" s="244"/>
      <c r="F436" s="244"/>
      <c r="G436" s="244"/>
      <c r="H436" s="244"/>
      <c r="I436" s="244"/>
      <c r="J436" s="244"/>
      <c r="K436" s="244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</row>
    <row r="437" ht="14.25" customHeight="1">
      <c r="A437" s="244"/>
      <c r="B437" s="244"/>
      <c r="C437" s="244"/>
      <c r="D437" s="244"/>
      <c r="E437" s="244"/>
      <c r="F437" s="244"/>
      <c r="G437" s="244"/>
      <c r="H437" s="244"/>
      <c r="I437" s="244"/>
      <c r="J437" s="244"/>
      <c r="K437" s="244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</row>
    <row r="438" ht="14.25" customHeight="1">
      <c r="A438" s="244"/>
      <c r="B438" s="244"/>
      <c r="C438" s="244"/>
      <c r="D438" s="244"/>
      <c r="E438" s="244"/>
      <c r="F438" s="244"/>
      <c r="G438" s="244"/>
      <c r="H438" s="244"/>
      <c r="I438" s="244"/>
      <c r="J438" s="244"/>
      <c r="K438" s="244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</row>
    <row r="439" ht="14.25" customHeight="1">
      <c r="A439" s="244"/>
      <c r="B439" s="244"/>
      <c r="C439" s="244"/>
      <c r="D439" s="244"/>
      <c r="E439" s="244"/>
      <c r="F439" s="244"/>
      <c r="G439" s="244"/>
      <c r="H439" s="244"/>
      <c r="I439" s="244"/>
      <c r="J439" s="244"/>
      <c r="K439" s="244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</row>
    <row r="440" ht="14.25" customHeight="1">
      <c r="A440" s="244"/>
      <c r="B440" s="244"/>
      <c r="C440" s="244"/>
      <c r="D440" s="244"/>
      <c r="E440" s="244"/>
      <c r="F440" s="244"/>
      <c r="G440" s="244"/>
      <c r="H440" s="244"/>
      <c r="I440" s="244"/>
      <c r="J440" s="244"/>
      <c r="K440" s="244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</row>
    <row r="441" ht="14.25" customHeight="1">
      <c r="A441" s="244"/>
      <c r="B441" s="244"/>
      <c r="C441" s="244"/>
      <c r="D441" s="244"/>
      <c r="E441" s="244"/>
      <c r="F441" s="244"/>
      <c r="G441" s="244"/>
      <c r="H441" s="244"/>
      <c r="I441" s="244"/>
      <c r="J441" s="244"/>
      <c r="K441" s="244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</row>
    <row r="442" ht="14.25" customHeight="1">
      <c r="A442" s="244"/>
      <c r="B442" s="244"/>
      <c r="C442" s="244"/>
      <c r="D442" s="244"/>
      <c r="E442" s="244"/>
      <c r="F442" s="244"/>
      <c r="G442" s="244"/>
      <c r="H442" s="244"/>
      <c r="I442" s="244"/>
      <c r="J442" s="244"/>
      <c r="K442" s="244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</row>
    <row r="443" ht="14.25" customHeight="1">
      <c r="A443" s="244"/>
      <c r="B443" s="244"/>
      <c r="C443" s="244"/>
      <c r="D443" s="244"/>
      <c r="E443" s="244"/>
      <c r="F443" s="244"/>
      <c r="G443" s="244"/>
      <c r="H443" s="244"/>
      <c r="I443" s="244"/>
      <c r="J443" s="244"/>
      <c r="K443" s="244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</row>
    <row r="444" ht="14.25" customHeight="1">
      <c r="A444" s="244"/>
      <c r="B444" s="244"/>
      <c r="C444" s="244"/>
      <c r="D444" s="244"/>
      <c r="E444" s="244"/>
      <c r="F444" s="244"/>
      <c r="G444" s="244"/>
      <c r="H444" s="244"/>
      <c r="I444" s="244"/>
      <c r="J444" s="244"/>
      <c r="K444" s="244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</row>
    <row r="445" ht="14.25" customHeight="1">
      <c r="A445" s="244"/>
      <c r="B445" s="244"/>
      <c r="C445" s="244"/>
      <c r="D445" s="244"/>
      <c r="E445" s="244"/>
      <c r="F445" s="244"/>
      <c r="G445" s="244"/>
      <c r="H445" s="244"/>
      <c r="I445" s="244"/>
      <c r="J445" s="244"/>
      <c r="K445" s="244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</row>
    <row r="446" ht="14.25" customHeight="1">
      <c r="A446" s="244"/>
      <c r="B446" s="244"/>
      <c r="C446" s="244"/>
      <c r="D446" s="244"/>
      <c r="E446" s="244"/>
      <c r="F446" s="244"/>
      <c r="G446" s="244"/>
      <c r="H446" s="244"/>
      <c r="I446" s="244"/>
      <c r="J446" s="244"/>
      <c r="K446" s="244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</row>
    <row r="447" ht="14.25" customHeight="1">
      <c r="A447" s="244"/>
      <c r="B447" s="244"/>
      <c r="C447" s="244"/>
      <c r="D447" s="244"/>
      <c r="E447" s="244"/>
      <c r="F447" s="244"/>
      <c r="G447" s="244"/>
      <c r="H447" s="244"/>
      <c r="I447" s="244"/>
      <c r="J447" s="244"/>
      <c r="K447" s="244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</row>
    <row r="448" ht="14.25" customHeight="1">
      <c r="A448" s="244"/>
      <c r="B448" s="244"/>
      <c r="C448" s="244"/>
      <c r="D448" s="244"/>
      <c r="E448" s="244"/>
      <c r="F448" s="244"/>
      <c r="G448" s="244"/>
      <c r="H448" s="244"/>
      <c r="I448" s="244"/>
      <c r="J448" s="244"/>
      <c r="K448" s="244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</row>
    <row r="449" ht="14.25" customHeight="1">
      <c r="A449" s="244"/>
      <c r="B449" s="244"/>
      <c r="C449" s="244"/>
      <c r="D449" s="244"/>
      <c r="E449" s="244"/>
      <c r="F449" s="244"/>
      <c r="G449" s="244"/>
      <c r="H449" s="244"/>
      <c r="I449" s="244"/>
      <c r="J449" s="244"/>
      <c r="K449" s="244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</row>
    <row r="450" ht="14.25" customHeight="1">
      <c r="A450" s="244"/>
      <c r="B450" s="244"/>
      <c r="C450" s="244"/>
      <c r="D450" s="244"/>
      <c r="E450" s="244"/>
      <c r="F450" s="244"/>
      <c r="G450" s="244"/>
      <c r="H450" s="244"/>
      <c r="I450" s="244"/>
      <c r="J450" s="244"/>
      <c r="K450" s="244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</row>
    <row r="451" ht="14.25" customHeight="1">
      <c r="A451" s="244"/>
      <c r="B451" s="244"/>
      <c r="C451" s="244"/>
      <c r="D451" s="244"/>
      <c r="E451" s="244"/>
      <c r="F451" s="244"/>
      <c r="G451" s="244"/>
      <c r="H451" s="244"/>
      <c r="I451" s="244"/>
      <c r="J451" s="244"/>
      <c r="K451" s="244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</row>
    <row r="452" ht="14.25" customHeight="1">
      <c r="A452" s="244"/>
      <c r="B452" s="244"/>
      <c r="C452" s="244"/>
      <c r="D452" s="244"/>
      <c r="E452" s="244"/>
      <c r="F452" s="244"/>
      <c r="G452" s="244"/>
      <c r="H452" s="244"/>
      <c r="I452" s="244"/>
      <c r="J452" s="244"/>
      <c r="K452" s="244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</row>
    <row r="453" ht="14.25" customHeight="1">
      <c r="A453" s="244"/>
      <c r="B453" s="244"/>
      <c r="C453" s="244"/>
      <c r="D453" s="244"/>
      <c r="E453" s="244"/>
      <c r="F453" s="244"/>
      <c r="G453" s="244"/>
      <c r="H453" s="244"/>
      <c r="I453" s="244"/>
      <c r="J453" s="244"/>
      <c r="K453" s="244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</row>
    <row r="454" ht="14.25" customHeight="1">
      <c r="A454" s="244"/>
      <c r="B454" s="244"/>
      <c r="C454" s="244"/>
      <c r="D454" s="244"/>
      <c r="E454" s="244"/>
      <c r="F454" s="244"/>
      <c r="G454" s="244"/>
      <c r="H454" s="244"/>
      <c r="I454" s="244"/>
      <c r="J454" s="244"/>
      <c r="K454" s="244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</row>
    <row r="455" ht="14.25" customHeight="1">
      <c r="A455" s="244"/>
      <c r="B455" s="244"/>
      <c r="C455" s="244"/>
      <c r="D455" s="244"/>
      <c r="E455" s="244"/>
      <c r="F455" s="244"/>
      <c r="G455" s="244"/>
      <c r="H455" s="244"/>
      <c r="I455" s="244"/>
      <c r="J455" s="244"/>
      <c r="K455" s="244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</row>
    <row r="456" ht="14.25" customHeight="1">
      <c r="A456" s="244"/>
      <c r="B456" s="244"/>
      <c r="C456" s="244"/>
      <c r="D456" s="244"/>
      <c r="E456" s="244"/>
      <c r="F456" s="244"/>
      <c r="G456" s="244"/>
      <c r="H456" s="244"/>
      <c r="I456" s="244"/>
      <c r="J456" s="244"/>
      <c r="K456" s="244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</row>
    <row r="457" ht="14.25" customHeight="1">
      <c r="A457" s="244"/>
      <c r="B457" s="244"/>
      <c r="C457" s="244"/>
      <c r="D457" s="244"/>
      <c r="E457" s="244"/>
      <c r="F457" s="244"/>
      <c r="G457" s="244"/>
      <c r="H457" s="244"/>
      <c r="I457" s="244"/>
      <c r="J457" s="244"/>
      <c r="K457" s="244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</row>
    <row r="458" ht="14.25" customHeight="1">
      <c r="A458" s="244"/>
      <c r="B458" s="244"/>
      <c r="C458" s="244"/>
      <c r="D458" s="244"/>
      <c r="E458" s="244"/>
      <c r="F458" s="244"/>
      <c r="G458" s="244"/>
      <c r="H458" s="244"/>
      <c r="I458" s="244"/>
      <c r="J458" s="244"/>
      <c r="K458" s="244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</row>
    <row r="459" ht="14.25" customHeight="1">
      <c r="A459" s="244"/>
      <c r="B459" s="244"/>
      <c r="C459" s="244"/>
      <c r="D459" s="244"/>
      <c r="E459" s="244"/>
      <c r="F459" s="244"/>
      <c r="G459" s="244"/>
      <c r="H459" s="244"/>
      <c r="I459" s="244"/>
      <c r="J459" s="244"/>
      <c r="K459" s="244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</row>
    <row r="460" ht="14.25" customHeight="1">
      <c r="A460" s="244"/>
      <c r="B460" s="244"/>
      <c r="C460" s="244"/>
      <c r="D460" s="244"/>
      <c r="E460" s="244"/>
      <c r="F460" s="244"/>
      <c r="G460" s="244"/>
      <c r="H460" s="244"/>
      <c r="I460" s="244"/>
      <c r="J460" s="244"/>
      <c r="K460" s="244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</row>
    <row r="461" ht="14.25" customHeight="1">
      <c r="A461" s="244"/>
      <c r="B461" s="244"/>
      <c r="C461" s="244"/>
      <c r="D461" s="244"/>
      <c r="E461" s="244"/>
      <c r="F461" s="244"/>
      <c r="G461" s="244"/>
      <c r="H461" s="244"/>
      <c r="I461" s="244"/>
      <c r="J461" s="244"/>
      <c r="K461" s="244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</row>
    <row r="462" ht="14.25" customHeight="1">
      <c r="A462" s="244"/>
      <c r="B462" s="244"/>
      <c r="C462" s="244"/>
      <c r="D462" s="244"/>
      <c r="E462" s="244"/>
      <c r="F462" s="244"/>
      <c r="G462" s="244"/>
      <c r="H462" s="244"/>
      <c r="I462" s="244"/>
      <c r="J462" s="244"/>
      <c r="K462" s="244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</row>
    <row r="463" ht="14.25" customHeight="1">
      <c r="A463" s="244"/>
      <c r="B463" s="244"/>
      <c r="C463" s="244"/>
      <c r="D463" s="244"/>
      <c r="E463" s="244"/>
      <c r="F463" s="244"/>
      <c r="G463" s="244"/>
      <c r="H463" s="244"/>
      <c r="I463" s="244"/>
      <c r="J463" s="244"/>
      <c r="K463" s="244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</row>
    <row r="464" ht="14.25" customHeight="1">
      <c r="A464" s="244"/>
      <c r="B464" s="244"/>
      <c r="C464" s="244"/>
      <c r="D464" s="244"/>
      <c r="E464" s="244"/>
      <c r="F464" s="244"/>
      <c r="G464" s="244"/>
      <c r="H464" s="244"/>
      <c r="I464" s="244"/>
      <c r="J464" s="244"/>
      <c r="K464" s="244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</row>
    <row r="465" ht="14.25" customHeight="1">
      <c r="A465" s="244"/>
      <c r="B465" s="244"/>
      <c r="C465" s="244"/>
      <c r="D465" s="244"/>
      <c r="E465" s="244"/>
      <c r="F465" s="244"/>
      <c r="G465" s="244"/>
      <c r="H465" s="244"/>
      <c r="I465" s="244"/>
      <c r="J465" s="244"/>
      <c r="K465" s="244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</row>
    <row r="466" ht="14.25" customHeight="1">
      <c r="A466" s="244"/>
      <c r="B466" s="244"/>
      <c r="C466" s="244"/>
      <c r="D466" s="244"/>
      <c r="E466" s="244"/>
      <c r="F466" s="244"/>
      <c r="G466" s="244"/>
      <c r="H466" s="244"/>
      <c r="I466" s="244"/>
      <c r="J466" s="244"/>
      <c r="K466" s="244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</row>
    <row r="467" ht="14.25" customHeight="1">
      <c r="A467" s="244"/>
      <c r="B467" s="244"/>
      <c r="C467" s="244"/>
      <c r="D467" s="244"/>
      <c r="E467" s="244"/>
      <c r="F467" s="244"/>
      <c r="G467" s="244"/>
      <c r="H467" s="244"/>
      <c r="I467" s="244"/>
      <c r="J467" s="244"/>
      <c r="K467" s="244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</row>
    <row r="468" ht="14.25" customHeight="1">
      <c r="A468" s="244"/>
      <c r="B468" s="244"/>
      <c r="C468" s="244"/>
      <c r="D468" s="244"/>
      <c r="E468" s="244"/>
      <c r="F468" s="244"/>
      <c r="G468" s="244"/>
      <c r="H468" s="244"/>
      <c r="I468" s="244"/>
      <c r="J468" s="244"/>
      <c r="K468" s="244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</row>
    <row r="469" ht="14.25" customHeight="1">
      <c r="A469" s="244"/>
      <c r="B469" s="244"/>
      <c r="C469" s="244"/>
      <c r="D469" s="244"/>
      <c r="E469" s="244"/>
      <c r="F469" s="244"/>
      <c r="G469" s="244"/>
      <c r="H469" s="244"/>
      <c r="I469" s="244"/>
      <c r="J469" s="244"/>
      <c r="K469" s="244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</row>
    <row r="470" ht="14.25" customHeight="1">
      <c r="A470" s="244"/>
      <c r="B470" s="244"/>
      <c r="C470" s="244"/>
      <c r="D470" s="244"/>
      <c r="E470" s="244"/>
      <c r="F470" s="244"/>
      <c r="G470" s="244"/>
      <c r="H470" s="244"/>
      <c r="I470" s="244"/>
      <c r="J470" s="244"/>
      <c r="K470" s="244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</row>
    <row r="471" ht="14.25" customHeight="1">
      <c r="A471" s="244"/>
      <c r="B471" s="244"/>
      <c r="C471" s="244"/>
      <c r="D471" s="244"/>
      <c r="E471" s="244"/>
      <c r="F471" s="244"/>
      <c r="G471" s="244"/>
      <c r="H471" s="244"/>
      <c r="I471" s="244"/>
      <c r="J471" s="244"/>
      <c r="K471" s="244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</row>
    <row r="472" ht="14.25" customHeight="1">
      <c r="A472" s="244"/>
      <c r="B472" s="244"/>
      <c r="C472" s="244"/>
      <c r="D472" s="244"/>
      <c r="E472" s="244"/>
      <c r="F472" s="244"/>
      <c r="G472" s="244"/>
      <c r="H472" s="244"/>
      <c r="I472" s="244"/>
      <c r="J472" s="244"/>
      <c r="K472" s="244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</row>
    <row r="473" ht="14.25" customHeight="1">
      <c r="A473" s="244"/>
      <c r="B473" s="244"/>
      <c r="C473" s="244"/>
      <c r="D473" s="244"/>
      <c r="E473" s="244"/>
      <c r="F473" s="244"/>
      <c r="G473" s="244"/>
      <c r="H473" s="244"/>
      <c r="I473" s="244"/>
      <c r="J473" s="244"/>
      <c r="K473" s="244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</row>
    <row r="474" ht="14.25" customHeight="1">
      <c r="A474" s="244"/>
      <c r="B474" s="244"/>
      <c r="C474" s="244"/>
      <c r="D474" s="244"/>
      <c r="E474" s="244"/>
      <c r="F474" s="244"/>
      <c r="G474" s="244"/>
      <c r="H474" s="244"/>
      <c r="I474" s="244"/>
      <c r="J474" s="244"/>
      <c r="K474" s="244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</row>
    <row r="475" ht="14.25" customHeight="1">
      <c r="A475" s="244"/>
      <c r="B475" s="244"/>
      <c r="C475" s="244"/>
      <c r="D475" s="244"/>
      <c r="E475" s="244"/>
      <c r="F475" s="244"/>
      <c r="G475" s="244"/>
      <c r="H475" s="244"/>
      <c r="I475" s="244"/>
      <c r="J475" s="244"/>
      <c r="K475" s="244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</row>
    <row r="476" ht="14.25" customHeight="1">
      <c r="A476" s="244"/>
      <c r="B476" s="244"/>
      <c r="C476" s="244"/>
      <c r="D476" s="244"/>
      <c r="E476" s="244"/>
      <c r="F476" s="244"/>
      <c r="G476" s="244"/>
      <c r="H476" s="244"/>
      <c r="I476" s="244"/>
      <c r="J476" s="244"/>
      <c r="K476" s="244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</row>
    <row r="477" ht="14.25" customHeight="1">
      <c r="A477" s="244"/>
      <c r="B477" s="244"/>
      <c r="C477" s="244"/>
      <c r="D477" s="244"/>
      <c r="E477" s="244"/>
      <c r="F477" s="244"/>
      <c r="G477" s="244"/>
      <c r="H477" s="244"/>
      <c r="I477" s="244"/>
      <c r="J477" s="244"/>
      <c r="K477" s="244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</row>
    <row r="478" ht="14.25" customHeight="1">
      <c r="A478" s="244"/>
      <c r="B478" s="244"/>
      <c r="C478" s="244"/>
      <c r="D478" s="244"/>
      <c r="E478" s="244"/>
      <c r="F478" s="244"/>
      <c r="G478" s="244"/>
      <c r="H478" s="244"/>
      <c r="I478" s="244"/>
      <c r="J478" s="244"/>
      <c r="K478" s="244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</row>
    <row r="479" ht="14.25" customHeight="1">
      <c r="A479" s="244"/>
      <c r="B479" s="244"/>
      <c r="C479" s="244"/>
      <c r="D479" s="244"/>
      <c r="E479" s="244"/>
      <c r="F479" s="244"/>
      <c r="G479" s="244"/>
      <c r="H479" s="244"/>
      <c r="I479" s="244"/>
      <c r="J479" s="244"/>
      <c r="K479" s="244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</row>
    <row r="480" ht="14.25" customHeight="1">
      <c r="A480" s="244"/>
      <c r="B480" s="244"/>
      <c r="C480" s="244"/>
      <c r="D480" s="244"/>
      <c r="E480" s="244"/>
      <c r="F480" s="244"/>
      <c r="G480" s="244"/>
      <c r="H480" s="244"/>
      <c r="I480" s="244"/>
      <c r="J480" s="244"/>
      <c r="K480" s="244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</row>
    <row r="481" ht="14.25" customHeight="1">
      <c r="A481" s="244"/>
      <c r="B481" s="244"/>
      <c r="C481" s="244"/>
      <c r="D481" s="244"/>
      <c r="E481" s="244"/>
      <c r="F481" s="244"/>
      <c r="G481" s="244"/>
      <c r="H481" s="244"/>
      <c r="I481" s="244"/>
      <c r="J481" s="244"/>
      <c r="K481" s="244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</row>
    <row r="482" ht="14.25" customHeight="1">
      <c r="A482" s="244"/>
      <c r="B482" s="244"/>
      <c r="C482" s="244"/>
      <c r="D482" s="244"/>
      <c r="E482" s="244"/>
      <c r="F482" s="244"/>
      <c r="G482" s="244"/>
      <c r="H482" s="244"/>
      <c r="I482" s="244"/>
      <c r="J482" s="244"/>
      <c r="K482" s="244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</row>
    <row r="483" ht="14.25" customHeight="1">
      <c r="A483" s="244"/>
      <c r="B483" s="244"/>
      <c r="C483" s="244"/>
      <c r="D483" s="244"/>
      <c r="E483" s="244"/>
      <c r="F483" s="244"/>
      <c r="G483" s="244"/>
      <c r="H483" s="244"/>
      <c r="I483" s="244"/>
      <c r="J483" s="244"/>
      <c r="K483" s="244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</row>
    <row r="484" ht="14.25" customHeight="1">
      <c r="A484" s="244"/>
      <c r="B484" s="244"/>
      <c r="C484" s="244"/>
      <c r="D484" s="244"/>
      <c r="E484" s="244"/>
      <c r="F484" s="244"/>
      <c r="G484" s="244"/>
      <c r="H484" s="244"/>
      <c r="I484" s="244"/>
      <c r="J484" s="244"/>
      <c r="K484" s="244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</row>
    <row r="485" ht="14.25" customHeight="1">
      <c r="A485" s="244"/>
      <c r="B485" s="244"/>
      <c r="C485" s="244"/>
      <c r="D485" s="244"/>
      <c r="E485" s="244"/>
      <c r="F485" s="244"/>
      <c r="G485" s="244"/>
      <c r="H485" s="244"/>
      <c r="I485" s="244"/>
      <c r="J485" s="244"/>
      <c r="K485" s="244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</row>
    <row r="486" ht="14.25" customHeight="1">
      <c r="A486" s="244"/>
      <c r="B486" s="244"/>
      <c r="C486" s="244"/>
      <c r="D486" s="244"/>
      <c r="E486" s="244"/>
      <c r="F486" s="244"/>
      <c r="G486" s="244"/>
      <c r="H486" s="244"/>
      <c r="I486" s="244"/>
      <c r="J486" s="244"/>
      <c r="K486" s="244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</row>
    <row r="487" ht="14.25" customHeight="1">
      <c r="A487" s="244"/>
      <c r="B487" s="244"/>
      <c r="C487" s="244"/>
      <c r="D487" s="244"/>
      <c r="E487" s="244"/>
      <c r="F487" s="244"/>
      <c r="G487" s="244"/>
      <c r="H487" s="244"/>
      <c r="I487" s="244"/>
      <c r="J487" s="244"/>
      <c r="K487" s="244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</row>
    <row r="488" ht="14.25" customHeight="1">
      <c r="A488" s="244"/>
      <c r="B488" s="244"/>
      <c r="C488" s="244"/>
      <c r="D488" s="244"/>
      <c r="E488" s="244"/>
      <c r="F488" s="244"/>
      <c r="G488" s="244"/>
      <c r="H488" s="244"/>
      <c r="I488" s="244"/>
      <c r="J488" s="244"/>
      <c r="K488" s="244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</row>
    <row r="489" ht="14.25" customHeight="1">
      <c r="A489" s="244"/>
      <c r="B489" s="244"/>
      <c r="C489" s="244"/>
      <c r="D489" s="244"/>
      <c r="E489" s="244"/>
      <c r="F489" s="244"/>
      <c r="G489" s="244"/>
      <c r="H489" s="244"/>
      <c r="I489" s="244"/>
      <c r="J489" s="244"/>
      <c r="K489" s="244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</row>
    <row r="490" ht="14.25" customHeight="1">
      <c r="A490" s="244"/>
      <c r="B490" s="244"/>
      <c r="C490" s="244"/>
      <c r="D490" s="244"/>
      <c r="E490" s="244"/>
      <c r="F490" s="244"/>
      <c r="G490" s="244"/>
      <c r="H490" s="244"/>
      <c r="I490" s="244"/>
      <c r="J490" s="244"/>
      <c r="K490" s="244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</row>
    <row r="491" ht="14.25" customHeight="1">
      <c r="A491" s="244"/>
      <c r="B491" s="244"/>
      <c r="C491" s="244"/>
      <c r="D491" s="244"/>
      <c r="E491" s="244"/>
      <c r="F491" s="244"/>
      <c r="G491" s="244"/>
      <c r="H491" s="244"/>
      <c r="I491" s="244"/>
      <c r="J491" s="244"/>
      <c r="K491" s="244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</row>
    <row r="492" ht="14.25" customHeight="1">
      <c r="A492" s="244"/>
      <c r="B492" s="244"/>
      <c r="C492" s="244"/>
      <c r="D492" s="244"/>
      <c r="E492" s="244"/>
      <c r="F492" s="244"/>
      <c r="G492" s="244"/>
      <c r="H492" s="244"/>
      <c r="I492" s="244"/>
      <c r="J492" s="244"/>
      <c r="K492" s="244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</row>
    <row r="493" ht="14.25" customHeight="1">
      <c r="A493" s="244"/>
      <c r="B493" s="244"/>
      <c r="C493" s="244"/>
      <c r="D493" s="244"/>
      <c r="E493" s="244"/>
      <c r="F493" s="244"/>
      <c r="G493" s="244"/>
      <c r="H493" s="244"/>
      <c r="I493" s="244"/>
      <c r="J493" s="244"/>
      <c r="K493" s="244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</row>
    <row r="494" ht="14.25" customHeight="1">
      <c r="A494" s="244"/>
      <c r="B494" s="244"/>
      <c r="C494" s="244"/>
      <c r="D494" s="244"/>
      <c r="E494" s="244"/>
      <c r="F494" s="244"/>
      <c r="G494" s="244"/>
      <c r="H494" s="244"/>
      <c r="I494" s="244"/>
      <c r="J494" s="244"/>
      <c r="K494" s="244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</row>
    <row r="495" ht="14.25" customHeight="1">
      <c r="A495" s="244"/>
      <c r="B495" s="244"/>
      <c r="C495" s="244"/>
      <c r="D495" s="244"/>
      <c r="E495" s="244"/>
      <c r="F495" s="244"/>
      <c r="G495" s="244"/>
      <c r="H495" s="244"/>
      <c r="I495" s="244"/>
      <c r="J495" s="244"/>
      <c r="K495" s="244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</row>
    <row r="496" ht="14.25" customHeight="1">
      <c r="A496" s="244"/>
      <c r="B496" s="244"/>
      <c r="C496" s="244"/>
      <c r="D496" s="244"/>
      <c r="E496" s="244"/>
      <c r="F496" s="244"/>
      <c r="G496" s="244"/>
      <c r="H496" s="244"/>
      <c r="I496" s="244"/>
      <c r="J496" s="244"/>
      <c r="K496" s="244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</row>
    <row r="497" ht="14.25" customHeight="1">
      <c r="A497" s="244"/>
      <c r="B497" s="244"/>
      <c r="C497" s="244"/>
      <c r="D497" s="244"/>
      <c r="E497" s="244"/>
      <c r="F497" s="244"/>
      <c r="G497" s="244"/>
      <c r="H497" s="244"/>
      <c r="I497" s="244"/>
      <c r="J497" s="244"/>
      <c r="K497" s="244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</row>
    <row r="498" ht="14.25" customHeight="1">
      <c r="A498" s="244"/>
      <c r="B498" s="244"/>
      <c r="C498" s="244"/>
      <c r="D498" s="244"/>
      <c r="E498" s="244"/>
      <c r="F498" s="244"/>
      <c r="G498" s="244"/>
      <c r="H498" s="244"/>
      <c r="I498" s="244"/>
      <c r="J498" s="244"/>
      <c r="K498" s="244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</row>
    <row r="499" ht="14.25" customHeight="1">
      <c r="A499" s="244"/>
      <c r="B499" s="244"/>
      <c r="C499" s="244"/>
      <c r="D499" s="244"/>
      <c r="E499" s="244"/>
      <c r="F499" s="244"/>
      <c r="G499" s="244"/>
      <c r="H499" s="244"/>
      <c r="I499" s="244"/>
      <c r="J499" s="244"/>
      <c r="K499" s="244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</row>
    <row r="500" ht="14.25" customHeight="1">
      <c r="A500" s="244"/>
      <c r="B500" s="244"/>
      <c r="C500" s="244"/>
      <c r="D500" s="244"/>
      <c r="E500" s="244"/>
      <c r="F500" s="244"/>
      <c r="G500" s="244"/>
      <c r="H500" s="244"/>
      <c r="I500" s="244"/>
      <c r="J500" s="244"/>
      <c r="K500" s="244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</row>
    <row r="501" ht="14.25" customHeight="1">
      <c r="A501" s="244"/>
      <c r="B501" s="244"/>
      <c r="C501" s="244"/>
      <c r="D501" s="244"/>
      <c r="E501" s="244"/>
      <c r="F501" s="244"/>
      <c r="G501" s="244"/>
      <c r="H501" s="244"/>
      <c r="I501" s="244"/>
      <c r="J501" s="244"/>
      <c r="K501" s="244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</row>
    <row r="502" ht="14.25" customHeight="1">
      <c r="A502" s="244"/>
      <c r="B502" s="244"/>
      <c r="C502" s="244"/>
      <c r="D502" s="244"/>
      <c r="E502" s="244"/>
      <c r="F502" s="244"/>
      <c r="G502" s="244"/>
      <c r="H502" s="244"/>
      <c r="I502" s="244"/>
      <c r="J502" s="244"/>
      <c r="K502" s="244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</row>
    <row r="503" ht="14.25" customHeight="1">
      <c r="A503" s="244"/>
      <c r="B503" s="244"/>
      <c r="C503" s="244"/>
      <c r="D503" s="244"/>
      <c r="E503" s="244"/>
      <c r="F503" s="244"/>
      <c r="G503" s="244"/>
      <c r="H503" s="244"/>
      <c r="I503" s="244"/>
      <c r="J503" s="244"/>
      <c r="K503" s="244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</row>
    <row r="504" ht="14.25" customHeight="1">
      <c r="A504" s="244"/>
      <c r="B504" s="244"/>
      <c r="C504" s="244"/>
      <c r="D504" s="244"/>
      <c r="E504" s="244"/>
      <c r="F504" s="244"/>
      <c r="G504" s="244"/>
      <c r="H504" s="244"/>
      <c r="I504" s="244"/>
      <c r="J504" s="244"/>
      <c r="K504" s="244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</row>
    <row r="505" ht="14.25" customHeight="1">
      <c r="A505" s="244"/>
      <c r="B505" s="244"/>
      <c r="C505" s="244"/>
      <c r="D505" s="244"/>
      <c r="E505" s="244"/>
      <c r="F505" s="244"/>
      <c r="G505" s="244"/>
      <c r="H505" s="244"/>
      <c r="I505" s="244"/>
      <c r="J505" s="244"/>
      <c r="K505" s="244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</row>
    <row r="506" ht="14.25" customHeight="1">
      <c r="A506" s="244"/>
      <c r="B506" s="244"/>
      <c r="C506" s="244"/>
      <c r="D506" s="244"/>
      <c r="E506" s="244"/>
      <c r="F506" s="244"/>
      <c r="G506" s="244"/>
      <c r="H506" s="244"/>
      <c r="I506" s="244"/>
      <c r="J506" s="244"/>
      <c r="K506" s="244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</row>
    <row r="507" ht="14.25" customHeight="1">
      <c r="A507" s="244"/>
      <c r="B507" s="244"/>
      <c r="C507" s="244"/>
      <c r="D507" s="244"/>
      <c r="E507" s="244"/>
      <c r="F507" s="244"/>
      <c r="G507" s="244"/>
      <c r="H507" s="244"/>
      <c r="I507" s="244"/>
      <c r="J507" s="244"/>
      <c r="K507" s="244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</row>
    <row r="508" ht="14.25" customHeight="1">
      <c r="A508" s="244"/>
      <c r="B508" s="244"/>
      <c r="C508" s="244"/>
      <c r="D508" s="244"/>
      <c r="E508" s="244"/>
      <c r="F508" s="244"/>
      <c r="G508" s="244"/>
      <c r="H508" s="244"/>
      <c r="I508" s="244"/>
      <c r="J508" s="244"/>
      <c r="K508" s="244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</row>
    <row r="509" ht="14.25" customHeight="1">
      <c r="A509" s="244"/>
      <c r="B509" s="244"/>
      <c r="C509" s="244"/>
      <c r="D509" s="244"/>
      <c r="E509" s="244"/>
      <c r="F509" s="244"/>
      <c r="G509" s="244"/>
      <c r="H509" s="244"/>
      <c r="I509" s="244"/>
      <c r="J509" s="244"/>
      <c r="K509" s="244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</row>
    <row r="510" ht="14.25" customHeight="1">
      <c r="A510" s="244"/>
      <c r="B510" s="244"/>
      <c r="C510" s="244"/>
      <c r="D510" s="244"/>
      <c r="E510" s="244"/>
      <c r="F510" s="244"/>
      <c r="G510" s="244"/>
      <c r="H510" s="244"/>
      <c r="I510" s="244"/>
      <c r="J510" s="244"/>
      <c r="K510" s="244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</row>
    <row r="511" ht="14.25" customHeight="1">
      <c r="A511" s="244"/>
      <c r="B511" s="244"/>
      <c r="C511" s="244"/>
      <c r="D511" s="244"/>
      <c r="E511" s="244"/>
      <c r="F511" s="244"/>
      <c r="G511" s="244"/>
      <c r="H511" s="244"/>
      <c r="I511" s="244"/>
      <c r="J511" s="244"/>
      <c r="K511" s="244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</row>
    <row r="512" ht="14.25" customHeight="1">
      <c r="A512" s="244"/>
      <c r="B512" s="244"/>
      <c r="C512" s="244"/>
      <c r="D512" s="244"/>
      <c r="E512" s="244"/>
      <c r="F512" s="244"/>
      <c r="G512" s="244"/>
      <c r="H512" s="244"/>
      <c r="I512" s="244"/>
      <c r="J512" s="244"/>
      <c r="K512" s="244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</row>
    <row r="513" ht="14.25" customHeight="1">
      <c r="A513" s="244"/>
      <c r="B513" s="244"/>
      <c r="C513" s="244"/>
      <c r="D513" s="244"/>
      <c r="E513" s="244"/>
      <c r="F513" s="244"/>
      <c r="G513" s="244"/>
      <c r="H513" s="244"/>
      <c r="I513" s="244"/>
      <c r="J513" s="244"/>
      <c r="K513" s="244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</row>
    <row r="514" ht="14.25" customHeight="1">
      <c r="A514" s="244"/>
      <c r="B514" s="244"/>
      <c r="C514" s="244"/>
      <c r="D514" s="244"/>
      <c r="E514" s="244"/>
      <c r="F514" s="244"/>
      <c r="G514" s="244"/>
      <c r="H514" s="244"/>
      <c r="I514" s="244"/>
      <c r="J514" s="244"/>
      <c r="K514" s="244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</row>
    <row r="515" ht="14.25" customHeight="1">
      <c r="A515" s="244"/>
      <c r="B515" s="244"/>
      <c r="C515" s="244"/>
      <c r="D515" s="244"/>
      <c r="E515" s="244"/>
      <c r="F515" s="244"/>
      <c r="G515" s="244"/>
      <c r="H515" s="244"/>
      <c r="I515" s="244"/>
      <c r="J515" s="244"/>
      <c r="K515" s="244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</row>
    <row r="516" ht="14.25" customHeight="1">
      <c r="A516" s="244"/>
      <c r="B516" s="244"/>
      <c r="C516" s="244"/>
      <c r="D516" s="244"/>
      <c r="E516" s="244"/>
      <c r="F516" s="244"/>
      <c r="G516" s="244"/>
      <c r="H516" s="244"/>
      <c r="I516" s="244"/>
      <c r="J516" s="244"/>
      <c r="K516" s="244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</row>
    <row r="517" ht="14.25" customHeight="1">
      <c r="A517" s="244"/>
      <c r="B517" s="244"/>
      <c r="C517" s="244"/>
      <c r="D517" s="244"/>
      <c r="E517" s="244"/>
      <c r="F517" s="244"/>
      <c r="G517" s="244"/>
      <c r="H517" s="244"/>
      <c r="I517" s="244"/>
      <c r="J517" s="244"/>
      <c r="K517" s="244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</row>
    <row r="518" ht="14.25" customHeight="1">
      <c r="A518" s="244"/>
      <c r="B518" s="244"/>
      <c r="C518" s="244"/>
      <c r="D518" s="244"/>
      <c r="E518" s="244"/>
      <c r="F518" s="244"/>
      <c r="G518" s="244"/>
      <c r="H518" s="244"/>
      <c r="I518" s="244"/>
      <c r="J518" s="244"/>
      <c r="K518" s="244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</row>
    <row r="519" ht="14.25" customHeight="1">
      <c r="A519" s="244"/>
      <c r="B519" s="244"/>
      <c r="C519" s="244"/>
      <c r="D519" s="244"/>
      <c r="E519" s="244"/>
      <c r="F519" s="244"/>
      <c r="G519" s="244"/>
      <c r="H519" s="244"/>
      <c r="I519" s="244"/>
      <c r="J519" s="244"/>
      <c r="K519" s="244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</row>
    <row r="520" ht="14.25" customHeight="1">
      <c r="A520" s="244"/>
      <c r="B520" s="244"/>
      <c r="C520" s="244"/>
      <c r="D520" s="244"/>
      <c r="E520" s="244"/>
      <c r="F520" s="244"/>
      <c r="G520" s="244"/>
      <c r="H520" s="244"/>
      <c r="I520" s="244"/>
      <c r="J520" s="244"/>
      <c r="K520" s="244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</row>
    <row r="521" ht="14.25" customHeight="1">
      <c r="A521" s="244"/>
      <c r="B521" s="244"/>
      <c r="C521" s="244"/>
      <c r="D521" s="244"/>
      <c r="E521" s="244"/>
      <c r="F521" s="244"/>
      <c r="G521" s="244"/>
      <c r="H521" s="244"/>
      <c r="I521" s="244"/>
      <c r="J521" s="244"/>
      <c r="K521" s="244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</row>
    <row r="522" ht="14.25" customHeight="1">
      <c r="A522" s="244"/>
      <c r="B522" s="244"/>
      <c r="C522" s="244"/>
      <c r="D522" s="244"/>
      <c r="E522" s="244"/>
      <c r="F522" s="244"/>
      <c r="G522" s="244"/>
      <c r="H522" s="244"/>
      <c r="I522" s="244"/>
      <c r="J522" s="244"/>
      <c r="K522" s="244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</row>
    <row r="523" ht="14.25" customHeight="1">
      <c r="A523" s="244"/>
      <c r="B523" s="244"/>
      <c r="C523" s="244"/>
      <c r="D523" s="244"/>
      <c r="E523" s="244"/>
      <c r="F523" s="244"/>
      <c r="G523" s="244"/>
      <c r="H523" s="244"/>
      <c r="I523" s="244"/>
      <c r="J523" s="244"/>
      <c r="K523" s="244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</row>
    <row r="524" ht="14.25" customHeight="1">
      <c r="A524" s="244"/>
      <c r="B524" s="244"/>
      <c r="C524" s="244"/>
      <c r="D524" s="244"/>
      <c r="E524" s="244"/>
      <c r="F524" s="244"/>
      <c r="G524" s="244"/>
      <c r="H524" s="244"/>
      <c r="I524" s="244"/>
      <c r="J524" s="244"/>
      <c r="K524" s="244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</row>
    <row r="525" ht="14.25" customHeight="1">
      <c r="A525" s="244"/>
      <c r="B525" s="244"/>
      <c r="C525" s="244"/>
      <c r="D525" s="244"/>
      <c r="E525" s="244"/>
      <c r="F525" s="244"/>
      <c r="G525" s="244"/>
      <c r="H525" s="244"/>
      <c r="I525" s="244"/>
      <c r="J525" s="244"/>
      <c r="K525" s="244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</row>
    <row r="526" ht="14.25" customHeight="1">
      <c r="A526" s="244"/>
      <c r="B526" s="244"/>
      <c r="C526" s="244"/>
      <c r="D526" s="244"/>
      <c r="E526" s="244"/>
      <c r="F526" s="244"/>
      <c r="G526" s="244"/>
      <c r="H526" s="244"/>
      <c r="I526" s="244"/>
      <c r="J526" s="244"/>
      <c r="K526" s="244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</row>
    <row r="527" ht="14.25" customHeight="1">
      <c r="A527" s="244"/>
      <c r="B527" s="244"/>
      <c r="C527" s="244"/>
      <c r="D527" s="244"/>
      <c r="E527" s="244"/>
      <c r="F527" s="244"/>
      <c r="G527" s="244"/>
      <c r="H527" s="244"/>
      <c r="I527" s="244"/>
      <c r="J527" s="244"/>
      <c r="K527" s="244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</row>
    <row r="528" ht="14.25" customHeight="1">
      <c r="A528" s="244"/>
      <c r="B528" s="244"/>
      <c r="C528" s="244"/>
      <c r="D528" s="244"/>
      <c r="E528" s="244"/>
      <c r="F528" s="244"/>
      <c r="G528" s="244"/>
      <c r="H528" s="244"/>
      <c r="I528" s="244"/>
      <c r="J528" s="244"/>
      <c r="K528" s="244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</row>
    <row r="529" ht="14.25" customHeight="1">
      <c r="A529" s="244"/>
      <c r="B529" s="244"/>
      <c r="C529" s="244"/>
      <c r="D529" s="244"/>
      <c r="E529" s="244"/>
      <c r="F529" s="244"/>
      <c r="G529" s="244"/>
      <c r="H529" s="244"/>
      <c r="I529" s="244"/>
      <c r="J529" s="244"/>
      <c r="K529" s="244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</row>
    <row r="530" ht="14.25" customHeight="1">
      <c r="A530" s="244"/>
      <c r="B530" s="244"/>
      <c r="C530" s="244"/>
      <c r="D530" s="244"/>
      <c r="E530" s="244"/>
      <c r="F530" s="244"/>
      <c r="G530" s="244"/>
      <c r="H530" s="244"/>
      <c r="I530" s="244"/>
      <c r="J530" s="244"/>
      <c r="K530" s="244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</row>
    <row r="531" ht="14.25" customHeight="1">
      <c r="A531" s="244"/>
      <c r="B531" s="244"/>
      <c r="C531" s="244"/>
      <c r="D531" s="244"/>
      <c r="E531" s="244"/>
      <c r="F531" s="244"/>
      <c r="G531" s="244"/>
      <c r="H531" s="244"/>
      <c r="I531" s="244"/>
      <c r="J531" s="244"/>
      <c r="K531" s="244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</row>
    <row r="532" ht="14.25" customHeight="1">
      <c r="A532" s="244"/>
      <c r="B532" s="244"/>
      <c r="C532" s="244"/>
      <c r="D532" s="244"/>
      <c r="E532" s="244"/>
      <c r="F532" s="244"/>
      <c r="G532" s="244"/>
      <c r="H532" s="244"/>
      <c r="I532" s="244"/>
      <c r="J532" s="244"/>
      <c r="K532" s="244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</row>
    <row r="533" ht="14.25" customHeight="1">
      <c r="A533" s="244"/>
      <c r="B533" s="244"/>
      <c r="C533" s="244"/>
      <c r="D533" s="244"/>
      <c r="E533" s="244"/>
      <c r="F533" s="244"/>
      <c r="G533" s="244"/>
      <c r="H533" s="244"/>
      <c r="I533" s="244"/>
      <c r="J533" s="244"/>
      <c r="K533" s="244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</row>
    <row r="534" ht="14.25" customHeight="1">
      <c r="A534" s="244"/>
      <c r="B534" s="244"/>
      <c r="C534" s="244"/>
      <c r="D534" s="244"/>
      <c r="E534" s="244"/>
      <c r="F534" s="244"/>
      <c r="G534" s="244"/>
      <c r="H534" s="244"/>
      <c r="I534" s="244"/>
      <c r="J534" s="244"/>
      <c r="K534" s="244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</row>
    <row r="535" ht="14.25" customHeight="1">
      <c r="A535" s="244"/>
      <c r="B535" s="244"/>
      <c r="C535" s="244"/>
      <c r="D535" s="244"/>
      <c r="E535" s="244"/>
      <c r="F535" s="244"/>
      <c r="G535" s="244"/>
      <c r="H535" s="244"/>
      <c r="I535" s="244"/>
      <c r="J535" s="244"/>
      <c r="K535" s="244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</row>
    <row r="536" ht="14.25" customHeight="1">
      <c r="A536" s="244"/>
      <c r="B536" s="244"/>
      <c r="C536" s="244"/>
      <c r="D536" s="244"/>
      <c r="E536" s="244"/>
      <c r="F536" s="244"/>
      <c r="G536" s="244"/>
      <c r="H536" s="244"/>
      <c r="I536" s="244"/>
      <c r="J536" s="244"/>
      <c r="K536" s="244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</row>
    <row r="537" ht="14.25" customHeight="1">
      <c r="A537" s="244"/>
      <c r="B537" s="244"/>
      <c r="C537" s="244"/>
      <c r="D537" s="244"/>
      <c r="E537" s="244"/>
      <c r="F537" s="244"/>
      <c r="G537" s="244"/>
      <c r="H537" s="244"/>
      <c r="I537" s="244"/>
      <c r="J537" s="244"/>
      <c r="K537" s="244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</row>
    <row r="538" ht="14.25" customHeight="1">
      <c r="A538" s="244"/>
      <c r="B538" s="244"/>
      <c r="C538" s="244"/>
      <c r="D538" s="244"/>
      <c r="E538" s="244"/>
      <c r="F538" s="244"/>
      <c r="G538" s="244"/>
      <c r="H538" s="244"/>
      <c r="I538" s="244"/>
      <c r="J538" s="244"/>
      <c r="K538" s="244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</row>
    <row r="539" ht="14.25" customHeight="1">
      <c r="A539" s="244"/>
      <c r="B539" s="244"/>
      <c r="C539" s="244"/>
      <c r="D539" s="244"/>
      <c r="E539" s="244"/>
      <c r="F539" s="244"/>
      <c r="G539" s="244"/>
      <c r="H539" s="244"/>
      <c r="I539" s="244"/>
      <c r="J539" s="244"/>
      <c r="K539" s="244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</row>
    <row r="540" ht="14.25" customHeight="1">
      <c r="A540" s="244"/>
      <c r="B540" s="244"/>
      <c r="C540" s="244"/>
      <c r="D540" s="244"/>
      <c r="E540" s="244"/>
      <c r="F540" s="244"/>
      <c r="G540" s="244"/>
      <c r="H540" s="244"/>
      <c r="I540" s="244"/>
      <c r="J540" s="244"/>
      <c r="K540" s="244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</row>
    <row r="541" ht="14.25" customHeight="1">
      <c r="A541" s="244"/>
      <c r="B541" s="244"/>
      <c r="C541" s="244"/>
      <c r="D541" s="244"/>
      <c r="E541" s="244"/>
      <c r="F541" s="244"/>
      <c r="G541" s="244"/>
      <c r="H541" s="244"/>
      <c r="I541" s="244"/>
      <c r="J541" s="244"/>
      <c r="K541" s="244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</row>
    <row r="542" ht="14.25" customHeight="1">
      <c r="A542" s="244"/>
      <c r="B542" s="244"/>
      <c r="C542" s="244"/>
      <c r="D542" s="244"/>
      <c r="E542" s="244"/>
      <c r="F542" s="244"/>
      <c r="G542" s="244"/>
      <c r="H542" s="244"/>
      <c r="I542" s="244"/>
      <c r="J542" s="244"/>
      <c r="K542" s="244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</row>
    <row r="543" ht="14.25" customHeight="1">
      <c r="A543" s="244"/>
      <c r="B543" s="244"/>
      <c r="C543" s="244"/>
      <c r="D543" s="244"/>
      <c r="E543" s="244"/>
      <c r="F543" s="244"/>
      <c r="G543" s="244"/>
      <c r="H543" s="244"/>
      <c r="I543" s="244"/>
      <c r="J543" s="244"/>
      <c r="K543" s="244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</row>
    <row r="544" ht="14.25" customHeight="1">
      <c r="A544" s="244"/>
      <c r="B544" s="244"/>
      <c r="C544" s="244"/>
      <c r="D544" s="244"/>
      <c r="E544" s="244"/>
      <c r="F544" s="244"/>
      <c r="G544" s="244"/>
      <c r="H544" s="244"/>
      <c r="I544" s="244"/>
      <c r="J544" s="244"/>
      <c r="K544" s="244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</row>
    <row r="545" ht="14.25" customHeight="1">
      <c r="A545" s="244"/>
      <c r="B545" s="244"/>
      <c r="C545" s="244"/>
      <c r="D545" s="244"/>
      <c r="E545" s="244"/>
      <c r="F545" s="244"/>
      <c r="G545" s="244"/>
      <c r="H545" s="244"/>
      <c r="I545" s="244"/>
      <c r="J545" s="244"/>
      <c r="K545" s="244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</row>
    <row r="546" ht="14.25" customHeight="1">
      <c r="A546" s="244"/>
      <c r="B546" s="244"/>
      <c r="C546" s="244"/>
      <c r="D546" s="244"/>
      <c r="E546" s="244"/>
      <c r="F546" s="244"/>
      <c r="G546" s="244"/>
      <c r="H546" s="244"/>
      <c r="I546" s="244"/>
      <c r="J546" s="244"/>
      <c r="K546" s="244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</row>
    <row r="547" ht="14.25" customHeight="1">
      <c r="A547" s="244"/>
      <c r="B547" s="244"/>
      <c r="C547" s="244"/>
      <c r="D547" s="244"/>
      <c r="E547" s="244"/>
      <c r="F547" s="244"/>
      <c r="G547" s="244"/>
      <c r="H547" s="244"/>
      <c r="I547" s="244"/>
      <c r="J547" s="244"/>
      <c r="K547" s="244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</row>
    <row r="548" ht="14.25" customHeight="1">
      <c r="A548" s="244"/>
      <c r="B548" s="244"/>
      <c r="C548" s="244"/>
      <c r="D548" s="244"/>
      <c r="E548" s="244"/>
      <c r="F548" s="244"/>
      <c r="G548" s="244"/>
      <c r="H548" s="244"/>
      <c r="I548" s="244"/>
      <c r="J548" s="244"/>
      <c r="K548" s="244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</row>
    <row r="549" ht="14.25" customHeight="1">
      <c r="A549" s="244"/>
      <c r="B549" s="244"/>
      <c r="C549" s="244"/>
      <c r="D549" s="244"/>
      <c r="E549" s="244"/>
      <c r="F549" s="244"/>
      <c r="G549" s="244"/>
      <c r="H549" s="244"/>
      <c r="I549" s="244"/>
      <c r="J549" s="244"/>
      <c r="K549" s="244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</row>
    <row r="550" ht="14.25" customHeight="1">
      <c r="A550" s="244"/>
      <c r="B550" s="244"/>
      <c r="C550" s="244"/>
      <c r="D550" s="244"/>
      <c r="E550" s="244"/>
      <c r="F550" s="244"/>
      <c r="G550" s="244"/>
      <c r="H550" s="244"/>
      <c r="I550" s="244"/>
      <c r="J550" s="244"/>
      <c r="K550" s="244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</row>
    <row r="551" ht="14.25" customHeight="1">
      <c r="A551" s="244"/>
      <c r="B551" s="244"/>
      <c r="C551" s="244"/>
      <c r="D551" s="244"/>
      <c r="E551" s="244"/>
      <c r="F551" s="244"/>
      <c r="G551" s="244"/>
      <c r="H551" s="244"/>
      <c r="I551" s="244"/>
      <c r="J551" s="244"/>
      <c r="K551" s="244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</row>
    <row r="552" ht="14.25" customHeight="1">
      <c r="A552" s="244"/>
      <c r="B552" s="244"/>
      <c r="C552" s="244"/>
      <c r="D552" s="244"/>
      <c r="E552" s="244"/>
      <c r="F552" s="244"/>
      <c r="G552" s="244"/>
      <c r="H552" s="244"/>
      <c r="I552" s="244"/>
      <c r="J552" s="244"/>
      <c r="K552" s="244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</row>
    <row r="553" ht="14.25" customHeight="1">
      <c r="A553" s="244"/>
      <c r="B553" s="244"/>
      <c r="C553" s="244"/>
      <c r="D553" s="244"/>
      <c r="E553" s="244"/>
      <c r="F553" s="244"/>
      <c r="G553" s="244"/>
      <c r="H553" s="244"/>
      <c r="I553" s="244"/>
      <c r="J553" s="244"/>
      <c r="K553" s="244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</row>
    <row r="554" ht="14.25" customHeight="1">
      <c r="A554" s="244"/>
      <c r="B554" s="244"/>
      <c r="C554" s="244"/>
      <c r="D554" s="244"/>
      <c r="E554" s="244"/>
      <c r="F554" s="244"/>
      <c r="G554" s="244"/>
      <c r="H554" s="244"/>
      <c r="I554" s="244"/>
      <c r="J554" s="244"/>
      <c r="K554" s="244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</row>
    <row r="555" ht="14.25" customHeight="1">
      <c r="A555" s="244"/>
      <c r="B555" s="244"/>
      <c r="C555" s="244"/>
      <c r="D555" s="244"/>
      <c r="E555" s="244"/>
      <c r="F555" s="244"/>
      <c r="G555" s="244"/>
      <c r="H555" s="244"/>
      <c r="I555" s="244"/>
      <c r="J555" s="244"/>
      <c r="K555" s="244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</row>
    <row r="556" ht="14.25" customHeight="1">
      <c r="A556" s="244"/>
      <c r="B556" s="244"/>
      <c r="C556" s="244"/>
      <c r="D556" s="244"/>
      <c r="E556" s="244"/>
      <c r="F556" s="244"/>
      <c r="G556" s="244"/>
      <c r="H556" s="244"/>
      <c r="I556" s="244"/>
      <c r="J556" s="244"/>
      <c r="K556" s="244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</row>
    <row r="557" ht="14.25" customHeight="1">
      <c r="A557" s="244"/>
      <c r="B557" s="244"/>
      <c r="C557" s="244"/>
      <c r="D557" s="244"/>
      <c r="E557" s="244"/>
      <c r="F557" s="244"/>
      <c r="G557" s="244"/>
      <c r="H557" s="244"/>
      <c r="I557" s="244"/>
      <c r="J557" s="244"/>
      <c r="K557" s="244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</row>
    <row r="558" ht="14.25" customHeight="1">
      <c r="A558" s="244"/>
      <c r="B558" s="244"/>
      <c r="C558" s="244"/>
      <c r="D558" s="244"/>
      <c r="E558" s="244"/>
      <c r="F558" s="244"/>
      <c r="G558" s="244"/>
      <c r="H558" s="244"/>
      <c r="I558" s="244"/>
      <c r="J558" s="244"/>
      <c r="K558" s="244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</row>
    <row r="559" ht="14.25" customHeight="1">
      <c r="A559" s="244"/>
      <c r="B559" s="244"/>
      <c r="C559" s="244"/>
      <c r="D559" s="244"/>
      <c r="E559" s="244"/>
      <c r="F559" s="244"/>
      <c r="G559" s="244"/>
      <c r="H559" s="244"/>
      <c r="I559" s="244"/>
      <c r="J559" s="244"/>
      <c r="K559" s="244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</row>
    <row r="560" ht="14.25" customHeight="1">
      <c r="A560" s="244"/>
      <c r="B560" s="244"/>
      <c r="C560" s="244"/>
      <c r="D560" s="244"/>
      <c r="E560" s="244"/>
      <c r="F560" s="244"/>
      <c r="G560" s="244"/>
      <c r="H560" s="244"/>
      <c r="I560" s="244"/>
      <c r="J560" s="244"/>
      <c r="K560" s="244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</row>
    <row r="561" ht="14.25" customHeight="1">
      <c r="A561" s="244"/>
      <c r="B561" s="244"/>
      <c r="C561" s="244"/>
      <c r="D561" s="244"/>
      <c r="E561" s="244"/>
      <c r="F561" s="244"/>
      <c r="G561" s="244"/>
      <c r="H561" s="244"/>
      <c r="I561" s="244"/>
      <c r="J561" s="244"/>
      <c r="K561" s="244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</row>
    <row r="562" ht="14.25" customHeight="1">
      <c r="A562" s="244"/>
      <c r="B562" s="244"/>
      <c r="C562" s="244"/>
      <c r="D562" s="244"/>
      <c r="E562" s="244"/>
      <c r="F562" s="244"/>
      <c r="G562" s="244"/>
      <c r="H562" s="244"/>
      <c r="I562" s="244"/>
      <c r="J562" s="244"/>
      <c r="K562" s="244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</row>
    <row r="563" ht="14.25" customHeight="1">
      <c r="A563" s="244"/>
      <c r="B563" s="244"/>
      <c r="C563" s="244"/>
      <c r="D563" s="244"/>
      <c r="E563" s="244"/>
      <c r="F563" s="244"/>
      <c r="G563" s="244"/>
      <c r="H563" s="244"/>
      <c r="I563" s="244"/>
      <c r="J563" s="244"/>
      <c r="K563" s="244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</row>
    <row r="564" ht="14.25" customHeight="1">
      <c r="A564" s="244"/>
      <c r="B564" s="244"/>
      <c r="C564" s="244"/>
      <c r="D564" s="244"/>
      <c r="E564" s="244"/>
      <c r="F564" s="244"/>
      <c r="G564" s="244"/>
      <c r="H564" s="244"/>
      <c r="I564" s="244"/>
      <c r="J564" s="244"/>
      <c r="K564" s="244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</row>
    <row r="565" ht="14.25" customHeight="1">
      <c r="A565" s="244"/>
      <c r="B565" s="244"/>
      <c r="C565" s="244"/>
      <c r="D565" s="244"/>
      <c r="E565" s="244"/>
      <c r="F565" s="244"/>
      <c r="G565" s="244"/>
      <c r="H565" s="244"/>
      <c r="I565" s="244"/>
      <c r="J565" s="244"/>
      <c r="K565" s="244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</row>
    <row r="566" ht="14.25" customHeight="1">
      <c r="A566" s="244"/>
      <c r="B566" s="244"/>
      <c r="C566" s="244"/>
      <c r="D566" s="244"/>
      <c r="E566" s="244"/>
      <c r="F566" s="244"/>
      <c r="G566" s="244"/>
      <c r="H566" s="244"/>
      <c r="I566" s="244"/>
      <c r="J566" s="244"/>
      <c r="K566" s="244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</row>
    <row r="567" ht="14.25" customHeight="1">
      <c r="A567" s="244"/>
      <c r="B567" s="244"/>
      <c r="C567" s="244"/>
      <c r="D567" s="244"/>
      <c r="E567" s="244"/>
      <c r="F567" s="244"/>
      <c r="G567" s="244"/>
      <c r="H567" s="244"/>
      <c r="I567" s="244"/>
      <c r="J567" s="244"/>
      <c r="K567" s="244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</row>
    <row r="568" ht="14.25" customHeight="1">
      <c r="A568" s="244"/>
      <c r="B568" s="244"/>
      <c r="C568" s="244"/>
      <c r="D568" s="244"/>
      <c r="E568" s="244"/>
      <c r="F568" s="244"/>
      <c r="G568" s="244"/>
      <c r="H568" s="244"/>
      <c r="I568" s="244"/>
      <c r="J568" s="244"/>
      <c r="K568" s="244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</row>
    <row r="569" ht="14.25" customHeight="1">
      <c r="A569" s="244"/>
      <c r="B569" s="244"/>
      <c r="C569" s="244"/>
      <c r="D569" s="244"/>
      <c r="E569" s="244"/>
      <c r="F569" s="244"/>
      <c r="G569" s="244"/>
      <c r="H569" s="244"/>
      <c r="I569" s="244"/>
      <c r="J569" s="244"/>
      <c r="K569" s="244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</row>
    <row r="570" ht="14.25" customHeight="1">
      <c r="A570" s="244"/>
      <c r="B570" s="244"/>
      <c r="C570" s="244"/>
      <c r="D570" s="244"/>
      <c r="E570" s="244"/>
      <c r="F570" s="244"/>
      <c r="G570" s="244"/>
      <c r="H570" s="244"/>
      <c r="I570" s="244"/>
      <c r="J570" s="244"/>
      <c r="K570" s="244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</row>
    <row r="571" ht="14.25" customHeight="1">
      <c r="A571" s="244"/>
      <c r="B571" s="244"/>
      <c r="C571" s="244"/>
      <c r="D571" s="244"/>
      <c r="E571" s="244"/>
      <c r="F571" s="244"/>
      <c r="G571" s="244"/>
      <c r="H571" s="244"/>
      <c r="I571" s="244"/>
      <c r="J571" s="244"/>
      <c r="K571" s="244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</row>
    <row r="572" ht="14.25" customHeight="1">
      <c r="A572" s="244"/>
      <c r="B572" s="244"/>
      <c r="C572" s="244"/>
      <c r="D572" s="244"/>
      <c r="E572" s="244"/>
      <c r="F572" s="244"/>
      <c r="G572" s="244"/>
      <c r="H572" s="244"/>
      <c r="I572" s="244"/>
      <c r="J572" s="244"/>
      <c r="K572" s="244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</row>
    <row r="573" ht="14.25" customHeight="1">
      <c r="A573" s="244"/>
      <c r="B573" s="244"/>
      <c r="C573" s="244"/>
      <c r="D573" s="244"/>
      <c r="E573" s="244"/>
      <c r="F573" s="244"/>
      <c r="G573" s="244"/>
      <c r="H573" s="244"/>
      <c r="I573" s="244"/>
      <c r="J573" s="244"/>
      <c r="K573" s="244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</row>
    <row r="574" ht="14.25" customHeight="1">
      <c r="A574" s="244"/>
      <c r="B574" s="244"/>
      <c r="C574" s="244"/>
      <c r="D574" s="244"/>
      <c r="E574" s="244"/>
      <c r="F574" s="244"/>
      <c r="G574" s="244"/>
      <c r="H574" s="244"/>
      <c r="I574" s="244"/>
      <c r="J574" s="244"/>
      <c r="K574" s="244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</row>
    <row r="575" ht="14.25" customHeight="1">
      <c r="A575" s="244"/>
      <c r="B575" s="244"/>
      <c r="C575" s="244"/>
      <c r="D575" s="244"/>
      <c r="E575" s="244"/>
      <c r="F575" s="244"/>
      <c r="G575" s="244"/>
      <c r="H575" s="244"/>
      <c r="I575" s="244"/>
      <c r="J575" s="244"/>
      <c r="K575" s="244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</row>
    <row r="576" ht="14.25" customHeight="1">
      <c r="A576" s="244"/>
      <c r="B576" s="244"/>
      <c r="C576" s="244"/>
      <c r="D576" s="244"/>
      <c r="E576" s="244"/>
      <c r="F576" s="244"/>
      <c r="G576" s="244"/>
      <c r="H576" s="244"/>
      <c r="I576" s="244"/>
      <c r="J576" s="244"/>
      <c r="K576" s="244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</row>
    <row r="577" ht="14.25" customHeight="1">
      <c r="A577" s="244"/>
      <c r="B577" s="244"/>
      <c r="C577" s="244"/>
      <c r="D577" s="244"/>
      <c r="E577" s="244"/>
      <c r="F577" s="244"/>
      <c r="G577" s="244"/>
      <c r="H577" s="244"/>
      <c r="I577" s="244"/>
      <c r="J577" s="244"/>
      <c r="K577" s="244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</row>
    <row r="578" ht="14.25" customHeight="1">
      <c r="A578" s="244"/>
      <c r="B578" s="244"/>
      <c r="C578" s="244"/>
      <c r="D578" s="244"/>
      <c r="E578" s="244"/>
      <c r="F578" s="244"/>
      <c r="G578" s="244"/>
      <c r="H578" s="244"/>
      <c r="I578" s="244"/>
      <c r="J578" s="244"/>
      <c r="K578" s="244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</row>
    <row r="579" ht="14.25" customHeight="1">
      <c r="A579" s="244"/>
      <c r="B579" s="244"/>
      <c r="C579" s="244"/>
      <c r="D579" s="244"/>
      <c r="E579" s="244"/>
      <c r="F579" s="244"/>
      <c r="G579" s="244"/>
      <c r="H579" s="244"/>
      <c r="I579" s="244"/>
      <c r="J579" s="244"/>
      <c r="K579" s="244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</row>
    <row r="580" ht="14.25" customHeight="1">
      <c r="A580" s="244"/>
      <c r="B580" s="244"/>
      <c r="C580" s="244"/>
      <c r="D580" s="244"/>
      <c r="E580" s="244"/>
      <c r="F580" s="244"/>
      <c r="G580" s="244"/>
      <c r="H580" s="244"/>
      <c r="I580" s="244"/>
      <c r="J580" s="244"/>
      <c r="K580" s="244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</row>
    <row r="581" ht="14.25" customHeight="1">
      <c r="A581" s="244"/>
      <c r="B581" s="244"/>
      <c r="C581" s="244"/>
      <c r="D581" s="244"/>
      <c r="E581" s="244"/>
      <c r="F581" s="244"/>
      <c r="G581" s="244"/>
      <c r="H581" s="244"/>
      <c r="I581" s="244"/>
      <c r="J581" s="244"/>
      <c r="K581" s="244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</row>
    <row r="582" ht="14.25" customHeight="1">
      <c r="A582" s="244"/>
      <c r="B582" s="244"/>
      <c r="C582" s="244"/>
      <c r="D582" s="244"/>
      <c r="E582" s="244"/>
      <c r="F582" s="244"/>
      <c r="G582" s="244"/>
      <c r="H582" s="244"/>
      <c r="I582" s="244"/>
      <c r="J582" s="244"/>
      <c r="K582" s="244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</row>
    <row r="583" ht="14.25" customHeight="1">
      <c r="A583" s="244"/>
      <c r="B583" s="244"/>
      <c r="C583" s="244"/>
      <c r="D583" s="244"/>
      <c r="E583" s="244"/>
      <c r="F583" s="244"/>
      <c r="G583" s="244"/>
      <c r="H583" s="244"/>
      <c r="I583" s="244"/>
      <c r="J583" s="244"/>
      <c r="K583" s="244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</row>
    <row r="584" ht="14.25" customHeight="1">
      <c r="A584" s="244"/>
      <c r="B584" s="244"/>
      <c r="C584" s="244"/>
      <c r="D584" s="244"/>
      <c r="E584" s="244"/>
      <c r="F584" s="244"/>
      <c r="G584" s="244"/>
      <c r="H584" s="244"/>
      <c r="I584" s="244"/>
      <c r="J584" s="244"/>
      <c r="K584" s="244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</row>
    <row r="585" ht="14.25" customHeight="1">
      <c r="A585" s="244"/>
      <c r="B585" s="244"/>
      <c r="C585" s="244"/>
      <c r="D585" s="244"/>
      <c r="E585" s="244"/>
      <c r="F585" s="244"/>
      <c r="G585" s="244"/>
      <c r="H585" s="244"/>
      <c r="I585" s="244"/>
      <c r="J585" s="244"/>
      <c r="K585" s="244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</row>
    <row r="586" ht="14.25" customHeight="1">
      <c r="A586" s="244"/>
      <c r="B586" s="244"/>
      <c r="C586" s="244"/>
      <c r="D586" s="244"/>
      <c r="E586" s="244"/>
      <c r="F586" s="244"/>
      <c r="G586" s="244"/>
      <c r="H586" s="244"/>
      <c r="I586" s="244"/>
      <c r="J586" s="244"/>
      <c r="K586" s="244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</row>
    <row r="587" ht="14.25" customHeight="1">
      <c r="A587" s="244"/>
      <c r="B587" s="244"/>
      <c r="C587" s="244"/>
      <c r="D587" s="244"/>
      <c r="E587" s="244"/>
      <c r="F587" s="244"/>
      <c r="G587" s="244"/>
      <c r="H587" s="244"/>
      <c r="I587" s="244"/>
      <c r="J587" s="244"/>
      <c r="K587" s="244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</row>
    <row r="588" ht="14.25" customHeight="1">
      <c r="A588" s="244"/>
      <c r="B588" s="244"/>
      <c r="C588" s="244"/>
      <c r="D588" s="244"/>
      <c r="E588" s="244"/>
      <c r="F588" s="244"/>
      <c r="G588" s="244"/>
      <c r="H588" s="244"/>
      <c r="I588" s="244"/>
      <c r="J588" s="244"/>
      <c r="K588" s="244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</row>
    <row r="589" ht="14.25" customHeight="1">
      <c r="A589" s="244"/>
      <c r="B589" s="244"/>
      <c r="C589" s="244"/>
      <c r="D589" s="244"/>
      <c r="E589" s="244"/>
      <c r="F589" s="244"/>
      <c r="G589" s="244"/>
      <c r="H589" s="244"/>
      <c r="I589" s="244"/>
      <c r="J589" s="244"/>
      <c r="K589" s="244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</row>
    <row r="590" ht="14.25" customHeight="1">
      <c r="A590" s="244"/>
      <c r="B590" s="244"/>
      <c r="C590" s="244"/>
      <c r="D590" s="244"/>
      <c r="E590" s="244"/>
      <c r="F590" s="244"/>
      <c r="G590" s="244"/>
      <c r="H590" s="244"/>
      <c r="I590" s="244"/>
      <c r="J590" s="244"/>
      <c r="K590" s="244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</row>
    <row r="591" ht="14.25" customHeight="1">
      <c r="A591" s="244"/>
      <c r="B591" s="244"/>
      <c r="C591" s="244"/>
      <c r="D591" s="244"/>
      <c r="E591" s="244"/>
      <c r="F591" s="244"/>
      <c r="G591" s="244"/>
      <c r="H591" s="244"/>
      <c r="I591" s="244"/>
      <c r="J591" s="244"/>
      <c r="K591" s="244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</row>
    <row r="592" ht="14.25" customHeight="1">
      <c r="A592" s="244"/>
      <c r="B592" s="244"/>
      <c r="C592" s="244"/>
      <c r="D592" s="244"/>
      <c r="E592" s="244"/>
      <c r="F592" s="244"/>
      <c r="G592" s="244"/>
      <c r="H592" s="244"/>
      <c r="I592" s="244"/>
      <c r="J592" s="244"/>
      <c r="K592" s="244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</row>
    <row r="593" ht="14.25" customHeight="1">
      <c r="A593" s="244"/>
      <c r="B593" s="244"/>
      <c r="C593" s="244"/>
      <c r="D593" s="244"/>
      <c r="E593" s="244"/>
      <c r="F593" s="244"/>
      <c r="G593" s="244"/>
      <c r="H593" s="244"/>
      <c r="I593" s="244"/>
      <c r="J593" s="244"/>
      <c r="K593" s="244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</row>
    <row r="594" ht="14.25" customHeight="1">
      <c r="A594" s="244"/>
      <c r="B594" s="244"/>
      <c r="C594" s="244"/>
      <c r="D594" s="244"/>
      <c r="E594" s="244"/>
      <c r="F594" s="244"/>
      <c r="G594" s="244"/>
      <c r="H594" s="244"/>
      <c r="I594" s="244"/>
      <c r="J594" s="244"/>
      <c r="K594" s="244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</row>
    <row r="595" ht="14.25" customHeight="1">
      <c r="A595" s="244"/>
      <c r="B595" s="244"/>
      <c r="C595" s="244"/>
      <c r="D595" s="244"/>
      <c r="E595" s="244"/>
      <c r="F595" s="244"/>
      <c r="G595" s="244"/>
      <c r="H595" s="244"/>
      <c r="I595" s="244"/>
      <c r="J595" s="244"/>
      <c r="K595" s="244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</row>
    <row r="596" ht="14.25" customHeight="1">
      <c r="A596" s="244"/>
      <c r="B596" s="244"/>
      <c r="C596" s="244"/>
      <c r="D596" s="244"/>
      <c r="E596" s="244"/>
      <c r="F596" s="244"/>
      <c r="G596" s="244"/>
      <c r="H596" s="244"/>
      <c r="I596" s="244"/>
      <c r="J596" s="244"/>
      <c r="K596" s="244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</row>
    <row r="597" ht="14.25" customHeight="1">
      <c r="A597" s="244"/>
      <c r="B597" s="244"/>
      <c r="C597" s="244"/>
      <c r="D597" s="244"/>
      <c r="E597" s="244"/>
      <c r="F597" s="244"/>
      <c r="G597" s="244"/>
      <c r="H597" s="244"/>
      <c r="I597" s="244"/>
      <c r="J597" s="244"/>
      <c r="K597" s="244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</row>
    <row r="598" ht="14.25" customHeight="1">
      <c r="A598" s="244"/>
      <c r="B598" s="244"/>
      <c r="C598" s="244"/>
      <c r="D598" s="244"/>
      <c r="E598" s="244"/>
      <c r="F598" s="244"/>
      <c r="G598" s="244"/>
      <c r="H598" s="244"/>
      <c r="I598" s="244"/>
      <c r="J598" s="244"/>
      <c r="K598" s="244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</row>
    <row r="599" ht="14.25" customHeight="1">
      <c r="A599" s="244"/>
      <c r="B599" s="244"/>
      <c r="C599" s="244"/>
      <c r="D599" s="244"/>
      <c r="E599" s="244"/>
      <c r="F599" s="244"/>
      <c r="G599" s="244"/>
      <c r="H599" s="244"/>
      <c r="I599" s="244"/>
      <c r="J599" s="244"/>
      <c r="K599" s="244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</row>
    <row r="600" ht="14.25" customHeight="1">
      <c r="A600" s="244"/>
      <c r="B600" s="244"/>
      <c r="C600" s="244"/>
      <c r="D600" s="244"/>
      <c r="E600" s="244"/>
      <c r="F600" s="244"/>
      <c r="G600" s="244"/>
      <c r="H600" s="244"/>
      <c r="I600" s="244"/>
      <c r="J600" s="244"/>
      <c r="K600" s="244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</row>
    <row r="601" ht="14.25" customHeight="1">
      <c r="A601" s="244"/>
      <c r="B601" s="244"/>
      <c r="C601" s="244"/>
      <c r="D601" s="244"/>
      <c r="E601" s="244"/>
      <c r="F601" s="244"/>
      <c r="G601" s="244"/>
      <c r="H601" s="244"/>
      <c r="I601" s="244"/>
      <c r="J601" s="244"/>
      <c r="K601" s="244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</row>
    <row r="602" ht="14.25" customHeight="1">
      <c r="A602" s="244"/>
      <c r="B602" s="244"/>
      <c r="C602" s="244"/>
      <c r="D602" s="244"/>
      <c r="E602" s="244"/>
      <c r="F602" s="244"/>
      <c r="G602" s="244"/>
      <c r="H602" s="244"/>
      <c r="I602" s="244"/>
      <c r="J602" s="244"/>
      <c r="K602" s="244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</row>
    <row r="603" ht="14.25" customHeight="1">
      <c r="A603" s="244"/>
      <c r="B603" s="244"/>
      <c r="C603" s="244"/>
      <c r="D603" s="244"/>
      <c r="E603" s="244"/>
      <c r="F603" s="244"/>
      <c r="G603" s="244"/>
      <c r="H603" s="244"/>
      <c r="I603" s="244"/>
      <c r="J603" s="244"/>
      <c r="K603" s="244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</row>
    <row r="604" ht="14.25" customHeight="1">
      <c r="A604" s="244"/>
      <c r="B604" s="244"/>
      <c r="C604" s="244"/>
      <c r="D604" s="244"/>
      <c r="E604" s="244"/>
      <c r="F604" s="244"/>
      <c r="G604" s="244"/>
      <c r="H604" s="244"/>
      <c r="I604" s="244"/>
      <c r="J604" s="244"/>
      <c r="K604" s="244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</row>
    <row r="605" ht="14.25" customHeight="1">
      <c r="A605" s="244"/>
      <c r="B605" s="244"/>
      <c r="C605" s="244"/>
      <c r="D605" s="244"/>
      <c r="E605" s="244"/>
      <c r="F605" s="244"/>
      <c r="G605" s="244"/>
      <c r="H605" s="244"/>
      <c r="I605" s="244"/>
      <c r="J605" s="244"/>
      <c r="K605" s="244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</row>
    <row r="606" ht="14.25" customHeight="1">
      <c r="A606" s="244"/>
      <c r="B606" s="244"/>
      <c r="C606" s="244"/>
      <c r="D606" s="244"/>
      <c r="E606" s="244"/>
      <c r="F606" s="244"/>
      <c r="G606" s="244"/>
      <c r="H606" s="244"/>
      <c r="I606" s="244"/>
      <c r="J606" s="244"/>
      <c r="K606" s="244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</row>
    <row r="607" ht="14.25" customHeight="1">
      <c r="A607" s="244"/>
      <c r="B607" s="244"/>
      <c r="C607" s="244"/>
      <c r="D607" s="244"/>
      <c r="E607" s="244"/>
      <c r="F607" s="244"/>
      <c r="G607" s="244"/>
      <c r="H607" s="244"/>
      <c r="I607" s="244"/>
      <c r="J607" s="244"/>
      <c r="K607" s="244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</row>
    <row r="608" ht="14.25" customHeight="1">
      <c r="A608" s="244"/>
      <c r="B608" s="244"/>
      <c r="C608" s="244"/>
      <c r="D608" s="244"/>
      <c r="E608" s="244"/>
      <c r="F608" s="244"/>
      <c r="G608" s="244"/>
      <c r="H608" s="244"/>
      <c r="I608" s="244"/>
      <c r="J608" s="244"/>
      <c r="K608" s="244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</row>
    <row r="609" ht="14.25" customHeight="1">
      <c r="A609" s="244"/>
      <c r="B609" s="244"/>
      <c r="C609" s="244"/>
      <c r="D609" s="244"/>
      <c r="E609" s="244"/>
      <c r="F609" s="244"/>
      <c r="G609" s="244"/>
      <c r="H609" s="244"/>
      <c r="I609" s="244"/>
      <c r="J609" s="244"/>
      <c r="K609" s="244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</row>
    <row r="610" ht="14.25" customHeight="1">
      <c r="A610" s="244"/>
      <c r="B610" s="244"/>
      <c r="C610" s="244"/>
      <c r="D610" s="244"/>
      <c r="E610" s="244"/>
      <c r="F610" s="244"/>
      <c r="G610" s="244"/>
      <c r="H610" s="244"/>
      <c r="I610" s="244"/>
      <c r="J610" s="244"/>
      <c r="K610" s="244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</row>
    <row r="611" ht="14.25" customHeight="1">
      <c r="A611" s="244"/>
      <c r="B611" s="244"/>
      <c r="C611" s="244"/>
      <c r="D611" s="244"/>
      <c r="E611" s="244"/>
      <c r="F611" s="244"/>
      <c r="G611" s="244"/>
      <c r="H611" s="244"/>
      <c r="I611" s="244"/>
      <c r="J611" s="244"/>
      <c r="K611" s="244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</row>
    <row r="612" ht="14.25" customHeight="1">
      <c r="A612" s="244"/>
      <c r="B612" s="244"/>
      <c r="C612" s="244"/>
      <c r="D612" s="244"/>
      <c r="E612" s="244"/>
      <c r="F612" s="244"/>
      <c r="G612" s="244"/>
      <c r="H612" s="244"/>
      <c r="I612" s="244"/>
      <c r="J612" s="244"/>
      <c r="K612" s="244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</row>
    <row r="613" ht="14.25" customHeight="1">
      <c r="A613" s="244"/>
      <c r="B613" s="244"/>
      <c r="C613" s="244"/>
      <c r="D613" s="244"/>
      <c r="E613" s="244"/>
      <c r="F613" s="244"/>
      <c r="G613" s="244"/>
      <c r="H613" s="244"/>
      <c r="I613" s="244"/>
      <c r="J613" s="244"/>
      <c r="K613" s="244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</row>
    <row r="614" ht="14.25" customHeight="1">
      <c r="A614" s="244"/>
      <c r="B614" s="244"/>
      <c r="C614" s="244"/>
      <c r="D614" s="244"/>
      <c r="E614" s="244"/>
      <c r="F614" s="244"/>
      <c r="G614" s="244"/>
      <c r="H614" s="244"/>
      <c r="I614" s="244"/>
      <c r="J614" s="244"/>
      <c r="K614" s="244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</row>
    <row r="615" ht="14.25" customHeight="1">
      <c r="A615" s="244"/>
      <c r="B615" s="244"/>
      <c r="C615" s="244"/>
      <c r="D615" s="244"/>
      <c r="E615" s="244"/>
      <c r="F615" s="244"/>
      <c r="G615" s="244"/>
      <c r="H615" s="244"/>
      <c r="I615" s="244"/>
      <c r="J615" s="244"/>
      <c r="K615" s="244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</row>
    <row r="616" ht="14.25" customHeight="1">
      <c r="A616" s="244"/>
      <c r="B616" s="244"/>
      <c r="C616" s="244"/>
      <c r="D616" s="244"/>
      <c r="E616" s="244"/>
      <c r="F616" s="244"/>
      <c r="G616" s="244"/>
      <c r="H616" s="244"/>
      <c r="I616" s="244"/>
      <c r="J616" s="244"/>
      <c r="K616" s="244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</row>
    <row r="617" ht="14.25" customHeight="1">
      <c r="A617" s="244"/>
      <c r="B617" s="244"/>
      <c r="C617" s="244"/>
      <c r="D617" s="244"/>
      <c r="E617" s="244"/>
      <c r="F617" s="244"/>
      <c r="G617" s="244"/>
      <c r="H617" s="244"/>
      <c r="I617" s="244"/>
      <c r="J617" s="244"/>
      <c r="K617" s="244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</row>
    <row r="618" ht="14.25" customHeight="1">
      <c r="A618" s="244"/>
      <c r="B618" s="244"/>
      <c r="C618" s="244"/>
      <c r="D618" s="244"/>
      <c r="E618" s="244"/>
      <c r="F618" s="244"/>
      <c r="G618" s="244"/>
      <c r="H618" s="244"/>
      <c r="I618" s="244"/>
      <c r="J618" s="244"/>
      <c r="K618" s="244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</row>
    <row r="619" ht="14.25" customHeight="1">
      <c r="A619" s="244"/>
      <c r="B619" s="244"/>
      <c r="C619" s="244"/>
      <c r="D619" s="244"/>
      <c r="E619" s="244"/>
      <c r="F619" s="244"/>
      <c r="G619" s="244"/>
      <c r="H619" s="244"/>
      <c r="I619" s="244"/>
      <c r="J619" s="244"/>
      <c r="K619" s="244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</row>
    <row r="620" ht="14.25" customHeight="1">
      <c r="A620" s="244"/>
      <c r="B620" s="244"/>
      <c r="C620" s="244"/>
      <c r="D620" s="244"/>
      <c r="E620" s="244"/>
      <c r="F620" s="244"/>
      <c r="G620" s="244"/>
      <c r="H620" s="244"/>
      <c r="I620" s="244"/>
      <c r="J620" s="244"/>
      <c r="K620" s="244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</row>
    <row r="621" ht="14.25" customHeight="1">
      <c r="A621" s="244"/>
      <c r="B621" s="244"/>
      <c r="C621" s="244"/>
      <c r="D621" s="244"/>
      <c r="E621" s="244"/>
      <c r="F621" s="244"/>
      <c r="G621" s="244"/>
      <c r="H621" s="244"/>
      <c r="I621" s="244"/>
      <c r="J621" s="244"/>
      <c r="K621" s="244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</row>
    <row r="622" ht="14.25" customHeight="1">
      <c r="A622" s="244"/>
      <c r="B622" s="244"/>
      <c r="C622" s="244"/>
      <c r="D622" s="244"/>
      <c r="E622" s="244"/>
      <c r="F622" s="244"/>
      <c r="G622" s="244"/>
      <c r="H622" s="244"/>
      <c r="I622" s="244"/>
      <c r="J622" s="244"/>
      <c r="K622" s="244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</row>
    <row r="623" ht="14.25" customHeight="1">
      <c r="A623" s="244"/>
      <c r="B623" s="244"/>
      <c r="C623" s="244"/>
      <c r="D623" s="244"/>
      <c r="E623" s="244"/>
      <c r="F623" s="244"/>
      <c r="G623" s="244"/>
      <c r="H623" s="244"/>
      <c r="I623" s="244"/>
      <c r="J623" s="244"/>
      <c r="K623" s="244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</row>
    <row r="624" ht="14.25" customHeight="1">
      <c r="A624" s="244"/>
      <c r="B624" s="244"/>
      <c r="C624" s="244"/>
      <c r="D624" s="244"/>
      <c r="E624" s="244"/>
      <c r="F624" s="244"/>
      <c r="G624" s="244"/>
      <c r="H624" s="244"/>
      <c r="I624" s="244"/>
      <c r="J624" s="244"/>
      <c r="K624" s="244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</row>
    <row r="625" ht="14.25" customHeight="1">
      <c r="A625" s="244"/>
      <c r="B625" s="244"/>
      <c r="C625" s="244"/>
      <c r="D625" s="244"/>
      <c r="E625" s="244"/>
      <c r="F625" s="244"/>
      <c r="G625" s="244"/>
      <c r="H625" s="244"/>
      <c r="I625" s="244"/>
      <c r="J625" s="244"/>
      <c r="K625" s="244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</row>
    <row r="626" ht="14.25" customHeight="1">
      <c r="A626" s="244"/>
      <c r="B626" s="244"/>
      <c r="C626" s="244"/>
      <c r="D626" s="244"/>
      <c r="E626" s="244"/>
      <c r="F626" s="244"/>
      <c r="G626" s="244"/>
      <c r="H626" s="244"/>
      <c r="I626" s="244"/>
      <c r="J626" s="244"/>
      <c r="K626" s="244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</row>
    <row r="627" ht="14.25" customHeight="1">
      <c r="A627" s="244"/>
      <c r="B627" s="244"/>
      <c r="C627" s="244"/>
      <c r="D627" s="244"/>
      <c r="E627" s="244"/>
      <c r="F627" s="244"/>
      <c r="G627" s="244"/>
      <c r="H627" s="244"/>
      <c r="I627" s="244"/>
      <c r="J627" s="244"/>
      <c r="K627" s="244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</row>
    <row r="628" ht="14.25" customHeight="1">
      <c r="A628" s="244"/>
      <c r="B628" s="244"/>
      <c r="C628" s="244"/>
      <c r="D628" s="244"/>
      <c r="E628" s="244"/>
      <c r="F628" s="244"/>
      <c r="G628" s="244"/>
      <c r="H628" s="244"/>
      <c r="I628" s="244"/>
      <c r="J628" s="244"/>
      <c r="K628" s="244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</row>
    <row r="629" ht="14.25" customHeight="1">
      <c r="A629" s="244"/>
      <c r="B629" s="244"/>
      <c r="C629" s="244"/>
      <c r="D629" s="244"/>
      <c r="E629" s="244"/>
      <c r="F629" s="244"/>
      <c r="G629" s="244"/>
      <c r="H629" s="244"/>
      <c r="I629" s="244"/>
      <c r="J629" s="244"/>
      <c r="K629" s="244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</row>
    <row r="630" ht="14.25" customHeight="1">
      <c r="A630" s="244"/>
      <c r="B630" s="244"/>
      <c r="C630" s="244"/>
      <c r="D630" s="244"/>
      <c r="E630" s="244"/>
      <c r="F630" s="244"/>
      <c r="G630" s="244"/>
      <c r="H630" s="244"/>
      <c r="I630" s="244"/>
      <c r="J630" s="244"/>
      <c r="K630" s="244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</row>
    <row r="631" ht="14.25" customHeight="1">
      <c r="A631" s="244"/>
      <c r="B631" s="244"/>
      <c r="C631" s="244"/>
      <c r="D631" s="244"/>
      <c r="E631" s="244"/>
      <c r="F631" s="244"/>
      <c r="G631" s="244"/>
      <c r="H631" s="244"/>
      <c r="I631" s="244"/>
      <c r="J631" s="244"/>
      <c r="K631" s="244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</row>
    <row r="632" ht="14.25" customHeight="1">
      <c r="A632" s="244"/>
      <c r="B632" s="244"/>
      <c r="C632" s="244"/>
      <c r="D632" s="244"/>
      <c r="E632" s="244"/>
      <c r="F632" s="244"/>
      <c r="G632" s="244"/>
      <c r="H632" s="244"/>
      <c r="I632" s="244"/>
      <c r="J632" s="244"/>
      <c r="K632" s="244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</row>
    <row r="633" ht="14.25" customHeight="1">
      <c r="A633" s="244"/>
      <c r="B633" s="244"/>
      <c r="C633" s="244"/>
      <c r="D633" s="244"/>
      <c r="E633" s="244"/>
      <c r="F633" s="244"/>
      <c r="G633" s="244"/>
      <c r="H633" s="244"/>
      <c r="I633" s="244"/>
      <c r="J633" s="244"/>
      <c r="K633" s="244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</row>
    <row r="634" ht="14.25" customHeight="1">
      <c r="A634" s="244"/>
      <c r="B634" s="244"/>
      <c r="C634" s="244"/>
      <c r="D634" s="244"/>
      <c r="E634" s="244"/>
      <c r="F634" s="244"/>
      <c r="G634" s="244"/>
      <c r="H634" s="244"/>
      <c r="I634" s="244"/>
      <c r="J634" s="244"/>
      <c r="K634" s="244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</row>
    <row r="635" ht="14.25" customHeight="1">
      <c r="A635" s="244"/>
      <c r="B635" s="244"/>
      <c r="C635" s="244"/>
      <c r="D635" s="244"/>
      <c r="E635" s="244"/>
      <c r="F635" s="244"/>
      <c r="G635" s="244"/>
      <c r="H635" s="244"/>
      <c r="I635" s="244"/>
      <c r="J635" s="244"/>
      <c r="K635" s="244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</row>
    <row r="636" ht="14.25" customHeight="1">
      <c r="A636" s="244"/>
      <c r="B636" s="244"/>
      <c r="C636" s="244"/>
      <c r="D636" s="244"/>
      <c r="E636" s="244"/>
      <c r="F636" s="244"/>
      <c r="G636" s="244"/>
      <c r="H636" s="244"/>
      <c r="I636" s="244"/>
      <c r="J636" s="244"/>
      <c r="K636" s="244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</row>
    <row r="637" ht="14.25" customHeight="1">
      <c r="A637" s="244"/>
      <c r="B637" s="244"/>
      <c r="C637" s="244"/>
      <c r="D637" s="244"/>
      <c r="E637" s="244"/>
      <c r="F637" s="244"/>
      <c r="G637" s="244"/>
      <c r="H637" s="244"/>
      <c r="I637" s="244"/>
      <c r="J637" s="244"/>
      <c r="K637" s="244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</row>
    <row r="638" ht="14.25" customHeight="1">
      <c r="A638" s="244"/>
      <c r="B638" s="244"/>
      <c r="C638" s="244"/>
      <c r="D638" s="244"/>
      <c r="E638" s="244"/>
      <c r="F638" s="244"/>
      <c r="G638" s="244"/>
      <c r="H638" s="244"/>
      <c r="I638" s="244"/>
      <c r="J638" s="244"/>
      <c r="K638" s="244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</row>
    <row r="639" ht="14.25" customHeight="1">
      <c r="A639" s="244"/>
      <c r="B639" s="244"/>
      <c r="C639" s="244"/>
      <c r="D639" s="244"/>
      <c r="E639" s="244"/>
      <c r="F639" s="244"/>
      <c r="G639" s="244"/>
      <c r="H639" s="244"/>
      <c r="I639" s="244"/>
      <c r="J639" s="244"/>
      <c r="K639" s="244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</row>
    <row r="640" ht="14.25" customHeight="1">
      <c r="A640" s="244"/>
      <c r="B640" s="244"/>
      <c r="C640" s="244"/>
      <c r="D640" s="244"/>
      <c r="E640" s="244"/>
      <c r="F640" s="244"/>
      <c r="G640" s="244"/>
      <c r="H640" s="244"/>
      <c r="I640" s="244"/>
      <c r="J640" s="244"/>
      <c r="K640" s="244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</row>
    <row r="641" ht="14.25" customHeight="1">
      <c r="A641" s="244"/>
      <c r="B641" s="244"/>
      <c r="C641" s="244"/>
      <c r="D641" s="244"/>
      <c r="E641" s="244"/>
      <c r="F641" s="244"/>
      <c r="G641" s="244"/>
      <c r="H641" s="244"/>
      <c r="I641" s="244"/>
      <c r="J641" s="244"/>
      <c r="K641" s="244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</row>
    <row r="642" ht="14.25" customHeight="1">
      <c r="A642" s="244"/>
      <c r="B642" s="244"/>
      <c r="C642" s="244"/>
      <c r="D642" s="244"/>
      <c r="E642" s="244"/>
      <c r="F642" s="244"/>
      <c r="G642" s="244"/>
      <c r="H642" s="244"/>
      <c r="I642" s="244"/>
      <c r="J642" s="244"/>
      <c r="K642" s="244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</row>
    <row r="643" ht="14.25" customHeight="1">
      <c r="A643" s="244"/>
      <c r="B643" s="244"/>
      <c r="C643" s="244"/>
      <c r="D643" s="244"/>
      <c r="E643" s="244"/>
      <c r="F643" s="244"/>
      <c r="G643" s="244"/>
      <c r="H643" s="244"/>
      <c r="I643" s="244"/>
      <c r="J643" s="244"/>
      <c r="K643" s="244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</row>
    <row r="644" ht="14.25" customHeight="1">
      <c r="A644" s="244"/>
      <c r="B644" s="244"/>
      <c r="C644" s="244"/>
      <c r="D644" s="244"/>
      <c r="E644" s="244"/>
      <c r="F644" s="244"/>
      <c r="G644" s="244"/>
      <c r="H644" s="244"/>
      <c r="I644" s="244"/>
      <c r="J644" s="244"/>
      <c r="K644" s="244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</row>
    <row r="645" ht="14.25" customHeight="1">
      <c r="A645" s="244"/>
      <c r="B645" s="244"/>
      <c r="C645" s="244"/>
      <c r="D645" s="244"/>
      <c r="E645" s="244"/>
      <c r="F645" s="244"/>
      <c r="G645" s="244"/>
      <c r="H645" s="244"/>
      <c r="I645" s="244"/>
      <c r="J645" s="244"/>
      <c r="K645" s="244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</row>
    <row r="646" ht="14.25" customHeight="1">
      <c r="A646" s="244"/>
      <c r="B646" s="244"/>
      <c r="C646" s="244"/>
      <c r="D646" s="244"/>
      <c r="E646" s="244"/>
      <c r="F646" s="244"/>
      <c r="G646" s="244"/>
      <c r="H646" s="244"/>
      <c r="I646" s="244"/>
      <c r="J646" s="244"/>
      <c r="K646" s="244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</row>
    <row r="647" ht="14.25" customHeight="1">
      <c r="A647" s="244"/>
      <c r="B647" s="244"/>
      <c r="C647" s="244"/>
      <c r="D647" s="244"/>
      <c r="E647" s="244"/>
      <c r="F647" s="244"/>
      <c r="G647" s="244"/>
      <c r="H647" s="244"/>
      <c r="I647" s="244"/>
      <c r="J647" s="244"/>
      <c r="K647" s="244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</row>
    <row r="648" ht="14.25" customHeight="1">
      <c r="A648" s="244"/>
      <c r="B648" s="244"/>
      <c r="C648" s="244"/>
      <c r="D648" s="244"/>
      <c r="E648" s="244"/>
      <c r="F648" s="244"/>
      <c r="G648" s="244"/>
      <c r="H648" s="244"/>
      <c r="I648" s="244"/>
      <c r="J648" s="244"/>
      <c r="K648" s="244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</row>
    <row r="649" ht="14.25" customHeight="1">
      <c r="A649" s="244"/>
      <c r="B649" s="244"/>
      <c r="C649" s="244"/>
      <c r="D649" s="244"/>
      <c r="E649" s="244"/>
      <c r="F649" s="244"/>
      <c r="G649" s="244"/>
      <c r="H649" s="244"/>
      <c r="I649" s="244"/>
      <c r="J649" s="244"/>
      <c r="K649" s="244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</row>
    <row r="650" ht="14.25" customHeight="1">
      <c r="A650" s="244"/>
      <c r="B650" s="244"/>
      <c r="C650" s="244"/>
      <c r="D650" s="244"/>
      <c r="E650" s="244"/>
      <c r="F650" s="244"/>
      <c r="G650" s="244"/>
      <c r="H650" s="244"/>
      <c r="I650" s="244"/>
      <c r="J650" s="244"/>
      <c r="K650" s="244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</row>
    <row r="651" ht="14.25" customHeight="1">
      <c r="A651" s="244"/>
      <c r="B651" s="244"/>
      <c r="C651" s="244"/>
      <c r="D651" s="244"/>
      <c r="E651" s="244"/>
      <c r="F651" s="244"/>
      <c r="G651" s="244"/>
      <c r="H651" s="244"/>
      <c r="I651" s="244"/>
      <c r="J651" s="244"/>
      <c r="K651" s="244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</row>
    <row r="652" ht="14.25" customHeight="1">
      <c r="A652" s="244"/>
      <c r="B652" s="244"/>
      <c r="C652" s="244"/>
      <c r="D652" s="244"/>
      <c r="E652" s="244"/>
      <c r="F652" s="244"/>
      <c r="G652" s="244"/>
      <c r="H652" s="244"/>
      <c r="I652" s="244"/>
      <c r="J652" s="244"/>
      <c r="K652" s="244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</row>
    <row r="653" ht="14.25" customHeight="1">
      <c r="A653" s="244"/>
      <c r="B653" s="244"/>
      <c r="C653" s="244"/>
      <c r="D653" s="244"/>
      <c r="E653" s="244"/>
      <c r="F653" s="244"/>
      <c r="G653" s="244"/>
      <c r="H653" s="244"/>
      <c r="I653" s="244"/>
      <c r="J653" s="244"/>
      <c r="K653" s="244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</row>
    <row r="654" ht="14.25" customHeight="1">
      <c r="A654" s="244"/>
      <c r="B654" s="244"/>
      <c r="C654" s="244"/>
      <c r="D654" s="244"/>
      <c r="E654" s="244"/>
      <c r="F654" s="244"/>
      <c r="G654" s="244"/>
      <c r="H654" s="244"/>
      <c r="I654" s="244"/>
      <c r="J654" s="244"/>
      <c r="K654" s="244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</row>
    <row r="655" ht="14.25" customHeight="1">
      <c r="A655" s="244"/>
      <c r="B655" s="244"/>
      <c r="C655" s="244"/>
      <c r="D655" s="244"/>
      <c r="E655" s="244"/>
      <c r="F655" s="244"/>
      <c r="G655" s="244"/>
      <c r="H655" s="244"/>
      <c r="I655" s="244"/>
      <c r="J655" s="244"/>
      <c r="K655" s="244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</row>
    <row r="656" ht="14.25" customHeight="1">
      <c r="A656" s="244"/>
      <c r="B656" s="244"/>
      <c r="C656" s="244"/>
      <c r="D656" s="244"/>
      <c r="E656" s="244"/>
      <c r="F656" s="244"/>
      <c r="G656" s="244"/>
      <c r="H656" s="244"/>
      <c r="I656" s="244"/>
      <c r="J656" s="244"/>
      <c r="K656" s="244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</row>
    <row r="657" ht="14.25" customHeight="1">
      <c r="A657" s="244"/>
      <c r="B657" s="244"/>
      <c r="C657" s="244"/>
      <c r="D657" s="244"/>
      <c r="E657" s="244"/>
      <c r="F657" s="244"/>
      <c r="G657" s="244"/>
      <c r="H657" s="244"/>
      <c r="I657" s="244"/>
      <c r="J657" s="244"/>
      <c r="K657" s="244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</row>
    <row r="658" ht="14.25" customHeight="1">
      <c r="A658" s="244"/>
      <c r="B658" s="244"/>
      <c r="C658" s="244"/>
      <c r="D658" s="244"/>
      <c r="E658" s="244"/>
      <c r="F658" s="244"/>
      <c r="G658" s="244"/>
      <c r="H658" s="244"/>
      <c r="I658" s="244"/>
      <c r="J658" s="244"/>
      <c r="K658" s="244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</row>
    <row r="659" ht="14.25" customHeight="1">
      <c r="A659" s="244"/>
      <c r="B659" s="244"/>
      <c r="C659" s="244"/>
      <c r="D659" s="244"/>
      <c r="E659" s="244"/>
      <c r="F659" s="244"/>
      <c r="G659" s="244"/>
      <c r="H659" s="244"/>
      <c r="I659" s="244"/>
      <c r="J659" s="244"/>
      <c r="K659" s="244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</row>
    <row r="660" ht="14.25" customHeight="1">
      <c r="A660" s="244"/>
      <c r="B660" s="244"/>
      <c r="C660" s="244"/>
      <c r="D660" s="244"/>
      <c r="E660" s="244"/>
      <c r="F660" s="244"/>
      <c r="G660" s="244"/>
      <c r="H660" s="244"/>
      <c r="I660" s="244"/>
      <c r="J660" s="244"/>
      <c r="K660" s="244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</row>
    <row r="661" ht="14.25" customHeight="1">
      <c r="A661" s="244"/>
      <c r="B661" s="244"/>
      <c r="C661" s="244"/>
      <c r="D661" s="244"/>
      <c r="E661" s="244"/>
      <c r="F661" s="244"/>
      <c r="G661" s="244"/>
      <c r="H661" s="244"/>
      <c r="I661" s="244"/>
      <c r="J661" s="244"/>
      <c r="K661" s="244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</row>
    <row r="662" ht="14.25" customHeight="1">
      <c r="A662" s="244"/>
      <c r="B662" s="244"/>
      <c r="C662" s="244"/>
      <c r="D662" s="244"/>
      <c r="E662" s="244"/>
      <c r="F662" s="244"/>
      <c r="G662" s="244"/>
      <c r="H662" s="244"/>
      <c r="I662" s="244"/>
      <c r="J662" s="244"/>
      <c r="K662" s="244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</row>
    <row r="663" ht="14.25" customHeight="1">
      <c r="A663" s="244"/>
      <c r="B663" s="244"/>
      <c r="C663" s="244"/>
      <c r="D663" s="244"/>
      <c r="E663" s="244"/>
      <c r="F663" s="244"/>
      <c r="G663" s="244"/>
      <c r="H663" s="244"/>
      <c r="I663" s="244"/>
      <c r="J663" s="244"/>
      <c r="K663" s="244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</row>
    <row r="664" ht="14.25" customHeight="1">
      <c r="A664" s="244"/>
      <c r="B664" s="244"/>
      <c r="C664" s="244"/>
      <c r="D664" s="244"/>
      <c r="E664" s="244"/>
      <c r="F664" s="244"/>
      <c r="G664" s="244"/>
      <c r="H664" s="244"/>
      <c r="I664" s="244"/>
      <c r="J664" s="244"/>
      <c r="K664" s="244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</row>
    <row r="665" ht="14.25" customHeight="1">
      <c r="A665" s="244"/>
      <c r="B665" s="244"/>
      <c r="C665" s="244"/>
      <c r="D665" s="244"/>
      <c r="E665" s="244"/>
      <c r="F665" s="244"/>
      <c r="G665" s="244"/>
      <c r="H665" s="244"/>
      <c r="I665" s="244"/>
      <c r="J665" s="244"/>
      <c r="K665" s="244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</row>
    <row r="666" ht="14.25" customHeight="1">
      <c r="A666" s="244"/>
      <c r="B666" s="244"/>
      <c r="C666" s="244"/>
      <c r="D666" s="244"/>
      <c r="E666" s="244"/>
      <c r="F666" s="244"/>
      <c r="G666" s="244"/>
      <c r="H666" s="244"/>
      <c r="I666" s="244"/>
      <c r="J666" s="244"/>
      <c r="K666" s="244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</row>
    <row r="667" ht="14.25" customHeight="1">
      <c r="A667" s="244"/>
      <c r="B667" s="244"/>
      <c r="C667" s="244"/>
      <c r="D667" s="244"/>
      <c r="E667" s="244"/>
      <c r="F667" s="244"/>
      <c r="G667" s="244"/>
      <c r="H667" s="244"/>
      <c r="I667" s="244"/>
      <c r="J667" s="244"/>
      <c r="K667" s="244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</row>
    <row r="668" ht="14.25" customHeight="1">
      <c r="A668" s="244"/>
      <c r="B668" s="244"/>
      <c r="C668" s="244"/>
      <c r="D668" s="244"/>
      <c r="E668" s="244"/>
      <c r="F668" s="244"/>
      <c r="G668" s="244"/>
      <c r="H668" s="244"/>
      <c r="I668" s="244"/>
      <c r="J668" s="244"/>
      <c r="K668" s="244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</row>
    <row r="669" ht="14.25" customHeight="1">
      <c r="A669" s="244"/>
      <c r="B669" s="244"/>
      <c r="C669" s="244"/>
      <c r="D669" s="244"/>
      <c r="E669" s="244"/>
      <c r="F669" s="244"/>
      <c r="G669" s="244"/>
      <c r="H669" s="244"/>
      <c r="I669" s="244"/>
      <c r="J669" s="244"/>
      <c r="K669" s="244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</row>
    <row r="670" ht="14.25" customHeight="1">
      <c r="A670" s="244"/>
      <c r="B670" s="244"/>
      <c r="C670" s="244"/>
      <c r="D670" s="244"/>
      <c r="E670" s="244"/>
      <c r="F670" s="244"/>
      <c r="G670" s="244"/>
      <c r="H670" s="244"/>
      <c r="I670" s="244"/>
      <c r="J670" s="244"/>
      <c r="K670" s="244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</row>
    <row r="671" ht="14.25" customHeight="1">
      <c r="A671" s="244"/>
      <c r="B671" s="244"/>
      <c r="C671" s="244"/>
      <c r="D671" s="244"/>
      <c r="E671" s="244"/>
      <c r="F671" s="244"/>
      <c r="G671" s="244"/>
      <c r="H671" s="244"/>
      <c r="I671" s="244"/>
      <c r="J671" s="244"/>
      <c r="K671" s="244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</row>
    <row r="672" ht="14.25" customHeight="1">
      <c r="A672" s="244"/>
      <c r="B672" s="244"/>
      <c r="C672" s="244"/>
      <c r="D672" s="244"/>
      <c r="E672" s="244"/>
      <c r="F672" s="244"/>
      <c r="G672" s="244"/>
      <c r="H672" s="244"/>
      <c r="I672" s="244"/>
      <c r="J672" s="244"/>
      <c r="K672" s="244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</row>
    <row r="673" ht="14.25" customHeight="1">
      <c r="A673" s="244"/>
      <c r="B673" s="244"/>
      <c r="C673" s="244"/>
      <c r="D673" s="244"/>
      <c r="E673" s="244"/>
      <c r="F673" s="244"/>
      <c r="G673" s="244"/>
      <c r="H673" s="244"/>
      <c r="I673" s="244"/>
      <c r="J673" s="244"/>
      <c r="K673" s="244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</row>
    <row r="674" ht="14.25" customHeight="1">
      <c r="A674" s="244"/>
      <c r="B674" s="244"/>
      <c r="C674" s="244"/>
      <c r="D674" s="244"/>
      <c r="E674" s="244"/>
      <c r="F674" s="244"/>
      <c r="G674" s="244"/>
      <c r="H674" s="244"/>
      <c r="I674" s="244"/>
      <c r="J674" s="244"/>
      <c r="K674" s="244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</row>
    <row r="675" ht="14.25" customHeight="1">
      <c r="A675" s="244"/>
      <c r="B675" s="244"/>
      <c r="C675" s="244"/>
      <c r="D675" s="244"/>
      <c r="E675" s="244"/>
      <c r="F675" s="244"/>
      <c r="G675" s="244"/>
      <c r="H675" s="244"/>
      <c r="I675" s="244"/>
      <c r="J675" s="244"/>
      <c r="K675" s="244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</row>
    <row r="676" ht="14.25" customHeight="1">
      <c r="A676" s="244"/>
      <c r="B676" s="244"/>
      <c r="C676" s="244"/>
      <c r="D676" s="244"/>
      <c r="E676" s="244"/>
      <c r="F676" s="244"/>
      <c r="G676" s="244"/>
      <c r="H676" s="244"/>
      <c r="I676" s="244"/>
      <c r="J676" s="244"/>
      <c r="K676" s="244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</row>
    <row r="677" ht="14.25" customHeight="1">
      <c r="A677" s="244"/>
      <c r="B677" s="244"/>
      <c r="C677" s="244"/>
      <c r="D677" s="244"/>
      <c r="E677" s="244"/>
      <c r="F677" s="244"/>
      <c r="G677" s="244"/>
      <c r="H677" s="244"/>
      <c r="I677" s="244"/>
      <c r="J677" s="244"/>
      <c r="K677" s="244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</row>
    <row r="678" ht="14.25" customHeight="1">
      <c r="A678" s="244"/>
      <c r="B678" s="244"/>
      <c r="C678" s="244"/>
      <c r="D678" s="244"/>
      <c r="E678" s="244"/>
      <c r="F678" s="244"/>
      <c r="G678" s="244"/>
      <c r="H678" s="244"/>
      <c r="I678" s="244"/>
      <c r="J678" s="244"/>
      <c r="K678" s="244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</row>
    <row r="679" ht="14.25" customHeight="1">
      <c r="A679" s="244"/>
      <c r="B679" s="244"/>
      <c r="C679" s="244"/>
      <c r="D679" s="244"/>
      <c r="E679" s="244"/>
      <c r="F679" s="244"/>
      <c r="G679" s="244"/>
      <c r="H679" s="244"/>
      <c r="I679" s="244"/>
      <c r="J679" s="244"/>
      <c r="K679" s="244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</row>
    <row r="680" ht="14.25" customHeight="1">
      <c r="A680" s="244"/>
      <c r="B680" s="244"/>
      <c r="C680" s="244"/>
      <c r="D680" s="244"/>
      <c r="E680" s="244"/>
      <c r="F680" s="244"/>
      <c r="G680" s="244"/>
      <c r="H680" s="244"/>
      <c r="I680" s="244"/>
      <c r="J680" s="244"/>
      <c r="K680" s="244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</row>
    <row r="681" ht="14.25" customHeight="1">
      <c r="A681" s="244"/>
      <c r="B681" s="244"/>
      <c r="C681" s="244"/>
      <c r="D681" s="244"/>
      <c r="E681" s="244"/>
      <c r="F681" s="244"/>
      <c r="G681" s="244"/>
      <c r="H681" s="244"/>
      <c r="I681" s="244"/>
      <c r="J681" s="244"/>
      <c r="K681" s="244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</row>
    <row r="682" ht="14.25" customHeight="1">
      <c r="A682" s="244"/>
      <c r="B682" s="244"/>
      <c r="C682" s="244"/>
      <c r="D682" s="244"/>
      <c r="E682" s="244"/>
      <c r="F682" s="244"/>
      <c r="G682" s="244"/>
      <c r="H682" s="244"/>
      <c r="I682" s="244"/>
      <c r="J682" s="244"/>
      <c r="K682" s="244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</row>
    <row r="683" ht="14.25" customHeight="1">
      <c r="A683" s="244"/>
      <c r="B683" s="244"/>
      <c r="C683" s="244"/>
      <c r="D683" s="244"/>
      <c r="E683" s="244"/>
      <c r="F683" s="244"/>
      <c r="G683" s="244"/>
      <c r="H683" s="244"/>
      <c r="I683" s="244"/>
      <c r="J683" s="244"/>
      <c r="K683" s="244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</row>
    <row r="684" ht="14.25" customHeight="1">
      <c r="A684" s="244"/>
      <c r="B684" s="244"/>
      <c r="C684" s="244"/>
      <c r="D684" s="244"/>
      <c r="E684" s="244"/>
      <c r="F684" s="244"/>
      <c r="G684" s="244"/>
      <c r="H684" s="244"/>
      <c r="I684" s="244"/>
      <c r="J684" s="244"/>
      <c r="K684" s="244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</row>
    <row r="685" ht="14.25" customHeight="1">
      <c r="A685" s="244"/>
      <c r="B685" s="244"/>
      <c r="C685" s="244"/>
      <c r="D685" s="244"/>
      <c r="E685" s="244"/>
      <c r="F685" s="244"/>
      <c r="G685" s="244"/>
      <c r="H685" s="244"/>
      <c r="I685" s="244"/>
      <c r="J685" s="244"/>
      <c r="K685" s="244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</row>
    <row r="686" ht="14.25" customHeight="1">
      <c r="A686" s="244"/>
      <c r="B686" s="244"/>
      <c r="C686" s="244"/>
      <c r="D686" s="244"/>
      <c r="E686" s="244"/>
      <c r="F686" s="244"/>
      <c r="G686" s="244"/>
      <c r="H686" s="244"/>
      <c r="I686" s="244"/>
      <c r="J686" s="244"/>
      <c r="K686" s="244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</row>
    <row r="687" ht="14.25" customHeight="1">
      <c r="A687" s="244"/>
      <c r="B687" s="244"/>
      <c r="C687" s="244"/>
      <c r="D687" s="244"/>
      <c r="E687" s="244"/>
      <c r="F687" s="244"/>
      <c r="G687" s="244"/>
      <c r="H687" s="244"/>
      <c r="I687" s="244"/>
      <c r="J687" s="244"/>
      <c r="K687" s="244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</row>
    <row r="688" ht="14.25" customHeight="1">
      <c r="A688" s="244"/>
      <c r="B688" s="244"/>
      <c r="C688" s="244"/>
      <c r="D688" s="244"/>
      <c r="E688" s="244"/>
      <c r="F688" s="244"/>
      <c r="G688" s="244"/>
      <c r="H688" s="244"/>
      <c r="I688" s="244"/>
      <c r="J688" s="244"/>
      <c r="K688" s="244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</row>
    <row r="689" ht="14.25" customHeight="1">
      <c r="A689" s="244"/>
      <c r="B689" s="244"/>
      <c r="C689" s="244"/>
      <c r="D689" s="244"/>
      <c r="E689" s="244"/>
      <c r="F689" s="244"/>
      <c r="G689" s="244"/>
      <c r="H689" s="244"/>
      <c r="I689" s="244"/>
      <c r="J689" s="244"/>
      <c r="K689" s="244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</row>
    <row r="690" ht="14.25" customHeight="1">
      <c r="A690" s="244"/>
      <c r="B690" s="244"/>
      <c r="C690" s="244"/>
      <c r="D690" s="244"/>
      <c r="E690" s="244"/>
      <c r="F690" s="244"/>
      <c r="G690" s="244"/>
      <c r="H690" s="244"/>
      <c r="I690" s="244"/>
      <c r="J690" s="244"/>
      <c r="K690" s="244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</row>
    <row r="691" ht="14.25" customHeight="1">
      <c r="A691" s="244"/>
      <c r="B691" s="244"/>
      <c r="C691" s="244"/>
      <c r="D691" s="244"/>
      <c r="E691" s="244"/>
      <c r="F691" s="244"/>
      <c r="G691" s="244"/>
      <c r="H691" s="244"/>
      <c r="I691" s="244"/>
      <c r="J691" s="244"/>
      <c r="K691" s="244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</row>
    <row r="692" ht="14.25" customHeight="1">
      <c r="A692" s="244"/>
      <c r="B692" s="244"/>
      <c r="C692" s="244"/>
      <c r="D692" s="244"/>
      <c r="E692" s="244"/>
      <c r="F692" s="244"/>
      <c r="G692" s="244"/>
      <c r="H692" s="244"/>
      <c r="I692" s="244"/>
      <c r="J692" s="244"/>
      <c r="K692" s="244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</row>
    <row r="693" ht="14.25" customHeight="1">
      <c r="A693" s="244"/>
      <c r="B693" s="244"/>
      <c r="C693" s="244"/>
      <c r="D693" s="244"/>
      <c r="E693" s="244"/>
      <c r="F693" s="244"/>
      <c r="G693" s="244"/>
      <c r="H693" s="244"/>
      <c r="I693" s="244"/>
      <c r="J693" s="244"/>
      <c r="K693" s="244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</row>
    <row r="694" ht="14.25" customHeight="1">
      <c r="A694" s="244"/>
      <c r="B694" s="244"/>
      <c r="C694" s="244"/>
      <c r="D694" s="244"/>
      <c r="E694" s="244"/>
      <c r="F694" s="244"/>
      <c r="G694" s="244"/>
      <c r="H694" s="244"/>
      <c r="I694" s="244"/>
      <c r="J694" s="244"/>
      <c r="K694" s="244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</row>
    <row r="695" ht="14.25" customHeight="1">
      <c r="A695" s="244"/>
      <c r="B695" s="244"/>
      <c r="C695" s="244"/>
      <c r="D695" s="244"/>
      <c r="E695" s="244"/>
      <c r="F695" s="244"/>
      <c r="G695" s="244"/>
      <c r="H695" s="244"/>
      <c r="I695" s="244"/>
      <c r="J695" s="244"/>
      <c r="K695" s="244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</row>
    <row r="696" ht="14.25" customHeight="1">
      <c r="A696" s="244"/>
      <c r="B696" s="244"/>
      <c r="C696" s="244"/>
      <c r="D696" s="244"/>
      <c r="E696" s="244"/>
      <c r="F696" s="244"/>
      <c r="G696" s="244"/>
      <c r="H696" s="244"/>
      <c r="I696" s="244"/>
      <c r="J696" s="244"/>
      <c r="K696" s="244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</row>
    <row r="697" ht="14.25" customHeight="1">
      <c r="A697" s="244"/>
      <c r="B697" s="244"/>
      <c r="C697" s="244"/>
      <c r="D697" s="244"/>
      <c r="E697" s="244"/>
      <c r="F697" s="244"/>
      <c r="G697" s="244"/>
      <c r="H697" s="244"/>
      <c r="I697" s="244"/>
      <c r="J697" s="244"/>
      <c r="K697" s="244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</row>
    <row r="698" ht="14.25" customHeight="1">
      <c r="A698" s="244"/>
      <c r="B698" s="244"/>
      <c r="C698" s="244"/>
      <c r="D698" s="244"/>
      <c r="E698" s="244"/>
      <c r="F698" s="244"/>
      <c r="G698" s="244"/>
      <c r="H698" s="244"/>
      <c r="I698" s="244"/>
      <c r="J698" s="244"/>
      <c r="K698" s="244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</row>
    <row r="699" ht="14.25" customHeight="1">
      <c r="A699" s="244"/>
      <c r="B699" s="244"/>
      <c r="C699" s="244"/>
      <c r="D699" s="244"/>
      <c r="E699" s="244"/>
      <c r="F699" s="244"/>
      <c r="G699" s="244"/>
      <c r="H699" s="244"/>
      <c r="I699" s="244"/>
      <c r="J699" s="244"/>
      <c r="K699" s="244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</row>
    <row r="700" ht="14.25" customHeight="1">
      <c r="A700" s="244"/>
      <c r="B700" s="244"/>
      <c r="C700" s="244"/>
      <c r="D700" s="244"/>
      <c r="E700" s="244"/>
      <c r="F700" s="244"/>
      <c r="G700" s="244"/>
      <c r="H700" s="244"/>
      <c r="I700" s="244"/>
      <c r="J700" s="244"/>
      <c r="K700" s="244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</row>
    <row r="701" ht="14.25" customHeight="1">
      <c r="A701" s="244"/>
      <c r="B701" s="244"/>
      <c r="C701" s="244"/>
      <c r="D701" s="244"/>
      <c r="E701" s="244"/>
      <c r="F701" s="244"/>
      <c r="G701" s="244"/>
      <c r="H701" s="244"/>
      <c r="I701" s="244"/>
      <c r="J701" s="244"/>
      <c r="K701" s="244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</row>
    <row r="702" ht="14.25" customHeight="1">
      <c r="A702" s="244"/>
      <c r="B702" s="244"/>
      <c r="C702" s="244"/>
      <c r="D702" s="244"/>
      <c r="E702" s="244"/>
      <c r="F702" s="244"/>
      <c r="G702" s="244"/>
      <c r="H702" s="244"/>
      <c r="I702" s="244"/>
      <c r="J702" s="244"/>
      <c r="K702" s="244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</row>
    <row r="703" ht="14.25" customHeight="1">
      <c r="A703" s="244"/>
      <c r="B703" s="244"/>
      <c r="C703" s="244"/>
      <c r="D703" s="244"/>
      <c r="E703" s="244"/>
      <c r="F703" s="244"/>
      <c r="G703" s="244"/>
      <c r="H703" s="244"/>
      <c r="I703" s="244"/>
      <c r="J703" s="244"/>
      <c r="K703" s="244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</row>
    <row r="704" ht="14.25" customHeight="1">
      <c r="A704" s="244"/>
      <c r="B704" s="244"/>
      <c r="C704" s="244"/>
      <c r="D704" s="244"/>
      <c r="E704" s="244"/>
      <c r="F704" s="244"/>
      <c r="G704" s="244"/>
      <c r="H704" s="244"/>
      <c r="I704" s="244"/>
      <c r="J704" s="244"/>
      <c r="K704" s="244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</row>
    <row r="705" ht="14.25" customHeight="1">
      <c r="A705" s="244"/>
      <c r="B705" s="244"/>
      <c r="C705" s="244"/>
      <c r="D705" s="244"/>
      <c r="E705" s="244"/>
      <c r="F705" s="244"/>
      <c r="G705" s="244"/>
      <c r="H705" s="244"/>
      <c r="I705" s="244"/>
      <c r="J705" s="244"/>
      <c r="K705" s="244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</row>
    <row r="706" ht="14.25" customHeight="1">
      <c r="A706" s="244"/>
      <c r="B706" s="244"/>
      <c r="C706" s="244"/>
      <c r="D706" s="244"/>
      <c r="E706" s="244"/>
      <c r="F706" s="244"/>
      <c r="G706" s="244"/>
      <c r="H706" s="244"/>
      <c r="I706" s="244"/>
      <c r="J706" s="244"/>
      <c r="K706" s="244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</row>
    <row r="707" ht="14.25" customHeight="1">
      <c r="A707" s="244"/>
      <c r="B707" s="244"/>
      <c r="C707" s="244"/>
      <c r="D707" s="244"/>
      <c r="E707" s="244"/>
      <c r="F707" s="244"/>
      <c r="G707" s="244"/>
      <c r="H707" s="244"/>
      <c r="I707" s="244"/>
      <c r="J707" s="244"/>
      <c r="K707" s="244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</row>
    <row r="708" ht="14.25" customHeight="1">
      <c r="A708" s="244"/>
      <c r="B708" s="244"/>
      <c r="C708" s="244"/>
      <c r="D708" s="244"/>
      <c r="E708" s="244"/>
      <c r="F708" s="244"/>
      <c r="G708" s="244"/>
      <c r="H708" s="244"/>
      <c r="I708" s="244"/>
      <c r="J708" s="244"/>
      <c r="K708" s="244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</row>
    <row r="709" ht="14.25" customHeight="1">
      <c r="A709" s="244"/>
      <c r="B709" s="244"/>
      <c r="C709" s="244"/>
      <c r="D709" s="244"/>
      <c r="E709" s="244"/>
      <c r="F709" s="244"/>
      <c r="G709" s="244"/>
      <c r="H709" s="244"/>
      <c r="I709" s="244"/>
      <c r="J709" s="244"/>
      <c r="K709" s="244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</row>
    <row r="710" ht="14.25" customHeight="1">
      <c r="A710" s="244"/>
      <c r="B710" s="244"/>
      <c r="C710" s="244"/>
      <c r="D710" s="244"/>
      <c r="E710" s="244"/>
      <c r="F710" s="244"/>
      <c r="G710" s="244"/>
      <c r="H710" s="244"/>
      <c r="I710" s="244"/>
      <c r="J710" s="244"/>
      <c r="K710" s="244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</row>
    <row r="711" ht="14.25" customHeight="1">
      <c r="A711" s="244"/>
      <c r="B711" s="244"/>
      <c r="C711" s="244"/>
      <c r="D711" s="244"/>
      <c r="E711" s="244"/>
      <c r="F711" s="244"/>
      <c r="G711" s="244"/>
      <c r="H711" s="244"/>
      <c r="I711" s="244"/>
      <c r="J711" s="244"/>
      <c r="K711" s="244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</row>
    <row r="712" ht="14.25" customHeight="1">
      <c r="A712" s="244"/>
      <c r="B712" s="244"/>
      <c r="C712" s="244"/>
      <c r="D712" s="244"/>
      <c r="E712" s="244"/>
      <c r="F712" s="244"/>
      <c r="G712" s="244"/>
      <c r="H712" s="244"/>
      <c r="I712" s="244"/>
      <c r="J712" s="244"/>
      <c r="K712" s="244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</row>
    <row r="713" ht="14.25" customHeight="1">
      <c r="A713" s="244"/>
      <c r="B713" s="244"/>
      <c r="C713" s="244"/>
      <c r="D713" s="244"/>
      <c r="E713" s="244"/>
      <c r="F713" s="244"/>
      <c r="G713" s="244"/>
      <c r="H713" s="244"/>
      <c r="I713" s="244"/>
      <c r="J713" s="244"/>
      <c r="K713" s="244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</row>
    <row r="714" ht="14.25" customHeight="1">
      <c r="A714" s="244"/>
      <c r="B714" s="244"/>
      <c r="C714" s="244"/>
      <c r="D714" s="244"/>
      <c r="E714" s="244"/>
      <c r="F714" s="244"/>
      <c r="G714" s="244"/>
      <c r="H714" s="244"/>
      <c r="I714" s="244"/>
      <c r="J714" s="244"/>
      <c r="K714" s="244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</row>
    <row r="715" ht="14.25" customHeight="1">
      <c r="A715" s="244"/>
      <c r="B715" s="244"/>
      <c r="C715" s="244"/>
      <c r="D715" s="244"/>
      <c r="E715" s="244"/>
      <c r="F715" s="244"/>
      <c r="G715" s="244"/>
      <c r="H715" s="244"/>
      <c r="I715" s="244"/>
      <c r="J715" s="244"/>
      <c r="K715" s="244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</row>
    <row r="716" ht="14.25" customHeight="1">
      <c r="A716" s="244"/>
      <c r="B716" s="244"/>
      <c r="C716" s="244"/>
      <c r="D716" s="244"/>
      <c r="E716" s="244"/>
      <c r="F716" s="244"/>
      <c r="G716" s="244"/>
      <c r="H716" s="244"/>
      <c r="I716" s="244"/>
      <c r="J716" s="244"/>
      <c r="K716" s="244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</row>
    <row r="717" ht="14.25" customHeight="1">
      <c r="A717" s="244"/>
      <c r="B717" s="244"/>
      <c r="C717" s="244"/>
      <c r="D717" s="244"/>
      <c r="E717" s="244"/>
      <c r="F717" s="244"/>
      <c r="G717" s="244"/>
      <c r="H717" s="244"/>
      <c r="I717" s="244"/>
      <c r="J717" s="244"/>
      <c r="K717" s="244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</row>
    <row r="718" ht="14.25" customHeight="1">
      <c r="A718" s="244"/>
      <c r="B718" s="244"/>
      <c r="C718" s="244"/>
      <c r="D718" s="244"/>
      <c r="E718" s="244"/>
      <c r="F718" s="244"/>
      <c r="G718" s="244"/>
      <c r="H718" s="244"/>
      <c r="I718" s="244"/>
      <c r="J718" s="244"/>
      <c r="K718" s="244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</row>
    <row r="719" ht="14.25" customHeight="1">
      <c r="A719" s="244"/>
      <c r="B719" s="244"/>
      <c r="C719" s="244"/>
      <c r="D719" s="244"/>
      <c r="E719" s="244"/>
      <c r="F719" s="244"/>
      <c r="G719" s="244"/>
      <c r="H719" s="244"/>
      <c r="I719" s="244"/>
      <c r="J719" s="244"/>
      <c r="K719" s="244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</row>
    <row r="720" ht="14.25" customHeight="1">
      <c r="A720" s="244"/>
      <c r="B720" s="244"/>
      <c r="C720" s="244"/>
      <c r="D720" s="244"/>
      <c r="E720" s="244"/>
      <c r="F720" s="244"/>
      <c r="G720" s="244"/>
      <c r="H720" s="244"/>
      <c r="I720" s="244"/>
      <c r="J720" s="244"/>
      <c r="K720" s="244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</row>
    <row r="721" ht="14.25" customHeight="1">
      <c r="A721" s="244"/>
      <c r="B721" s="244"/>
      <c r="C721" s="244"/>
      <c r="D721" s="244"/>
      <c r="E721" s="244"/>
      <c r="F721" s="244"/>
      <c r="G721" s="244"/>
      <c r="H721" s="244"/>
      <c r="I721" s="244"/>
      <c r="J721" s="244"/>
      <c r="K721" s="244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</row>
    <row r="722" ht="14.25" customHeight="1">
      <c r="A722" s="244"/>
      <c r="B722" s="244"/>
      <c r="C722" s="244"/>
      <c r="D722" s="244"/>
      <c r="E722" s="244"/>
      <c r="F722" s="244"/>
      <c r="G722" s="244"/>
      <c r="H722" s="244"/>
      <c r="I722" s="244"/>
      <c r="J722" s="244"/>
      <c r="K722" s="244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</row>
    <row r="723" ht="14.25" customHeight="1">
      <c r="A723" s="244"/>
      <c r="B723" s="244"/>
      <c r="C723" s="244"/>
      <c r="D723" s="244"/>
      <c r="E723" s="244"/>
      <c r="F723" s="244"/>
      <c r="G723" s="244"/>
      <c r="H723" s="244"/>
      <c r="I723" s="244"/>
      <c r="J723" s="244"/>
      <c r="K723" s="244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</row>
    <row r="724" ht="14.25" customHeight="1">
      <c r="A724" s="244"/>
      <c r="B724" s="244"/>
      <c r="C724" s="244"/>
      <c r="D724" s="244"/>
      <c r="E724" s="244"/>
      <c r="F724" s="244"/>
      <c r="G724" s="244"/>
      <c r="H724" s="244"/>
      <c r="I724" s="244"/>
      <c r="J724" s="244"/>
      <c r="K724" s="244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</row>
    <row r="725" ht="14.25" customHeight="1">
      <c r="A725" s="244"/>
      <c r="B725" s="244"/>
      <c r="C725" s="244"/>
      <c r="D725" s="244"/>
      <c r="E725" s="244"/>
      <c r="F725" s="244"/>
      <c r="G725" s="244"/>
      <c r="H725" s="244"/>
      <c r="I725" s="244"/>
      <c r="J725" s="244"/>
      <c r="K725" s="244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</row>
    <row r="726" ht="14.25" customHeight="1">
      <c r="A726" s="244"/>
      <c r="B726" s="244"/>
      <c r="C726" s="244"/>
      <c r="D726" s="244"/>
      <c r="E726" s="244"/>
      <c r="F726" s="244"/>
      <c r="G726" s="244"/>
      <c r="H726" s="244"/>
      <c r="I726" s="244"/>
      <c r="J726" s="244"/>
      <c r="K726" s="244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</row>
    <row r="727" ht="14.25" customHeight="1">
      <c r="A727" s="244"/>
      <c r="B727" s="244"/>
      <c r="C727" s="244"/>
      <c r="D727" s="244"/>
      <c r="E727" s="244"/>
      <c r="F727" s="244"/>
      <c r="G727" s="244"/>
      <c r="H727" s="244"/>
      <c r="I727" s="244"/>
      <c r="J727" s="244"/>
      <c r="K727" s="244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</row>
    <row r="728" ht="14.25" customHeight="1">
      <c r="A728" s="244"/>
      <c r="B728" s="244"/>
      <c r="C728" s="244"/>
      <c r="D728" s="244"/>
      <c r="E728" s="244"/>
      <c r="F728" s="244"/>
      <c r="G728" s="244"/>
      <c r="H728" s="244"/>
      <c r="I728" s="244"/>
      <c r="J728" s="244"/>
      <c r="K728" s="244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</row>
    <row r="729" ht="14.25" customHeight="1">
      <c r="A729" s="244"/>
      <c r="B729" s="244"/>
      <c r="C729" s="244"/>
      <c r="D729" s="244"/>
      <c r="E729" s="244"/>
      <c r="F729" s="244"/>
      <c r="G729" s="244"/>
      <c r="H729" s="244"/>
      <c r="I729" s="244"/>
      <c r="J729" s="244"/>
      <c r="K729" s="244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</row>
    <row r="730" ht="14.25" customHeight="1">
      <c r="A730" s="244"/>
      <c r="B730" s="244"/>
      <c r="C730" s="244"/>
      <c r="D730" s="244"/>
      <c r="E730" s="244"/>
      <c r="F730" s="244"/>
      <c r="G730" s="244"/>
      <c r="H730" s="244"/>
      <c r="I730" s="244"/>
      <c r="J730" s="244"/>
      <c r="K730" s="244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</row>
    <row r="731" ht="14.25" customHeight="1">
      <c r="A731" s="244"/>
      <c r="B731" s="244"/>
      <c r="C731" s="244"/>
      <c r="D731" s="244"/>
      <c r="E731" s="244"/>
      <c r="F731" s="244"/>
      <c r="G731" s="244"/>
      <c r="H731" s="244"/>
      <c r="I731" s="244"/>
      <c r="J731" s="244"/>
      <c r="K731" s="244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</row>
    <row r="732" ht="14.25" customHeight="1">
      <c r="A732" s="244"/>
      <c r="B732" s="244"/>
      <c r="C732" s="244"/>
      <c r="D732" s="244"/>
      <c r="E732" s="244"/>
      <c r="F732" s="244"/>
      <c r="G732" s="244"/>
      <c r="H732" s="244"/>
      <c r="I732" s="244"/>
      <c r="J732" s="244"/>
      <c r="K732" s="244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</row>
    <row r="733" ht="14.25" customHeight="1">
      <c r="A733" s="244"/>
      <c r="B733" s="244"/>
      <c r="C733" s="244"/>
      <c r="D733" s="244"/>
      <c r="E733" s="244"/>
      <c r="F733" s="244"/>
      <c r="G733" s="244"/>
      <c r="H733" s="244"/>
      <c r="I733" s="244"/>
      <c r="J733" s="244"/>
      <c r="K733" s="244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</row>
    <row r="734" ht="14.25" customHeight="1">
      <c r="A734" s="244"/>
      <c r="B734" s="244"/>
      <c r="C734" s="244"/>
      <c r="D734" s="244"/>
      <c r="E734" s="244"/>
      <c r="F734" s="244"/>
      <c r="G734" s="244"/>
      <c r="H734" s="244"/>
      <c r="I734" s="244"/>
      <c r="J734" s="244"/>
      <c r="K734" s="244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</row>
    <row r="735" ht="14.25" customHeight="1">
      <c r="A735" s="244"/>
      <c r="B735" s="244"/>
      <c r="C735" s="244"/>
      <c r="D735" s="244"/>
      <c r="E735" s="244"/>
      <c r="F735" s="244"/>
      <c r="G735" s="244"/>
      <c r="H735" s="244"/>
      <c r="I735" s="244"/>
      <c r="J735" s="244"/>
      <c r="K735" s="244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</row>
    <row r="736" ht="14.25" customHeight="1">
      <c r="A736" s="244"/>
      <c r="B736" s="244"/>
      <c r="C736" s="244"/>
      <c r="D736" s="244"/>
      <c r="E736" s="244"/>
      <c r="F736" s="244"/>
      <c r="G736" s="244"/>
      <c r="H736" s="244"/>
      <c r="I736" s="244"/>
      <c r="J736" s="244"/>
      <c r="K736" s="244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</row>
    <row r="737" ht="14.25" customHeight="1">
      <c r="A737" s="244"/>
      <c r="B737" s="244"/>
      <c r="C737" s="244"/>
      <c r="D737" s="244"/>
      <c r="E737" s="244"/>
      <c r="F737" s="244"/>
      <c r="G737" s="244"/>
      <c r="H737" s="244"/>
      <c r="I737" s="244"/>
      <c r="J737" s="244"/>
      <c r="K737" s="244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</row>
    <row r="738" ht="14.25" customHeight="1">
      <c r="A738" s="244"/>
      <c r="B738" s="244"/>
      <c r="C738" s="244"/>
      <c r="D738" s="244"/>
      <c r="E738" s="244"/>
      <c r="F738" s="244"/>
      <c r="G738" s="244"/>
      <c r="H738" s="244"/>
      <c r="I738" s="244"/>
      <c r="J738" s="244"/>
      <c r="K738" s="244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</row>
    <row r="739" ht="14.25" customHeight="1">
      <c r="A739" s="244"/>
      <c r="B739" s="244"/>
      <c r="C739" s="244"/>
      <c r="D739" s="244"/>
      <c r="E739" s="244"/>
      <c r="F739" s="244"/>
      <c r="G739" s="244"/>
      <c r="H739" s="244"/>
      <c r="I739" s="244"/>
      <c r="J739" s="244"/>
      <c r="K739" s="244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</row>
    <row r="740" ht="14.25" customHeight="1">
      <c r="A740" s="244"/>
      <c r="B740" s="244"/>
      <c r="C740" s="244"/>
      <c r="D740" s="244"/>
      <c r="E740" s="244"/>
      <c r="F740" s="244"/>
      <c r="G740" s="244"/>
      <c r="H740" s="244"/>
      <c r="I740" s="244"/>
      <c r="J740" s="244"/>
      <c r="K740" s="244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</row>
    <row r="741" ht="14.25" customHeight="1">
      <c r="A741" s="244"/>
      <c r="B741" s="244"/>
      <c r="C741" s="244"/>
      <c r="D741" s="244"/>
      <c r="E741" s="244"/>
      <c r="F741" s="244"/>
      <c r="G741" s="244"/>
      <c r="H741" s="244"/>
      <c r="I741" s="244"/>
      <c r="J741" s="244"/>
      <c r="K741" s="244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</row>
    <row r="742" ht="14.25" customHeight="1">
      <c r="A742" s="244"/>
      <c r="B742" s="244"/>
      <c r="C742" s="244"/>
      <c r="D742" s="244"/>
      <c r="E742" s="244"/>
      <c r="F742" s="244"/>
      <c r="G742" s="244"/>
      <c r="H742" s="244"/>
      <c r="I742" s="244"/>
      <c r="J742" s="244"/>
      <c r="K742" s="244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</row>
    <row r="743" ht="14.25" customHeight="1">
      <c r="A743" s="244"/>
      <c r="B743" s="244"/>
      <c r="C743" s="244"/>
      <c r="D743" s="244"/>
      <c r="E743" s="244"/>
      <c r="F743" s="244"/>
      <c r="G743" s="244"/>
      <c r="H743" s="244"/>
      <c r="I743" s="244"/>
      <c r="J743" s="244"/>
      <c r="K743" s="244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</row>
    <row r="744" ht="14.25" customHeight="1">
      <c r="A744" s="244"/>
      <c r="B744" s="244"/>
      <c r="C744" s="244"/>
      <c r="D744" s="244"/>
      <c r="E744" s="244"/>
      <c r="F744" s="244"/>
      <c r="G744" s="244"/>
      <c r="H744" s="244"/>
      <c r="I744" s="244"/>
      <c r="J744" s="244"/>
      <c r="K744" s="244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</row>
    <row r="745" ht="14.25" customHeight="1">
      <c r="A745" s="244"/>
      <c r="B745" s="244"/>
      <c r="C745" s="244"/>
      <c r="D745" s="244"/>
      <c r="E745" s="244"/>
      <c r="F745" s="244"/>
      <c r="G745" s="244"/>
      <c r="H745" s="244"/>
      <c r="I745" s="244"/>
      <c r="J745" s="244"/>
      <c r="K745" s="244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</row>
    <row r="746" ht="14.25" customHeight="1">
      <c r="A746" s="244"/>
      <c r="B746" s="244"/>
      <c r="C746" s="244"/>
      <c r="D746" s="244"/>
      <c r="E746" s="244"/>
      <c r="F746" s="244"/>
      <c r="G746" s="244"/>
      <c r="H746" s="244"/>
      <c r="I746" s="244"/>
      <c r="J746" s="244"/>
      <c r="K746" s="244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</row>
    <row r="747" ht="14.25" customHeight="1">
      <c r="A747" s="244"/>
      <c r="B747" s="244"/>
      <c r="C747" s="244"/>
      <c r="D747" s="244"/>
      <c r="E747" s="244"/>
      <c r="F747" s="244"/>
      <c r="G747" s="244"/>
      <c r="H747" s="244"/>
      <c r="I747" s="244"/>
      <c r="J747" s="244"/>
      <c r="K747" s="244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</row>
    <row r="748" ht="14.25" customHeight="1">
      <c r="A748" s="244"/>
      <c r="B748" s="244"/>
      <c r="C748" s="244"/>
      <c r="D748" s="244"/>
      <c r="E748" s="244"/>
      <c r="F748" s="244"/>
      <c r="G748" s="244"/>
      <c r="H748" s="244"/>
      <c r="I748" s="244"/>
      <c r="J748" s="244"/>
      <c r="K748" s="244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</row>
    <row r="749" ht="14.25" customHeight="1">
      <c r="A749" s="244"/>
      <c r="B749" s="244"/>
      <c r="C749" s="244"/>
      <c r="D749" s="244"/>
      <c r="E749" s="244"/>
      <c r="F749" s="244"/>
      <c r="G749" s="244"/>
      <c r="H749" s="244"/>
      <c r="I749" s="244"/>
      <c r="J749" s="244"/>
      <c r="K749" s="244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</row>
    <row r="750" ht="14.25" customHeight="1">
      <c r="A750" s="244"/>
      <c r="B750" s="244"/>
      <c r="C750" s="244"/>
      <c r="D750" s="244"/>
      <c r="E750" s="244"/>
      <c r="F750" s="244"/>
      <c r="G750" s="244"/>
      <c r="H750" s="244"/>
      <c r="I750" s="244"/>
      <c r="J750" s="244"/>
      <c r="K750" s="244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</row>
    <row r="751" ht="14.25" customHeight="1">
      <c r="A751" s="244"/>
      <c r="B751" s="244"/>
      <c r="C751" s="244"/>
      <c r="D751" s="244"/>
      <c r="E751" s="244"/>
      <c r="F751" s="244"/>
      <c r="G751" s="244"/>
      <c r="H751" s="244"/>
      <c r="I751" s="244"/>
      <c r="J751" s="244"/>
      <c r="K751" s="244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</row>
    <row r="752" ht="14.25" customHeight="1">
      <c r="A752" s="244"/>
      <c r="B752" s="244"/>
      <c r="C752" s="244"/>
      <c r="D752" s="244"/>
      <c r="E752" s="244"/>
      <c r="F752" s="244"/>
      <c r="G752" s="244"/>
      <c r="H752" s="244"/>
      <c r="I752" s="244"/>
      <c r="J752" s="244"/>
      <c r="K752" s="244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</row>
    <row r="753" ht="14.25" customHeight="1">
      <c r="A753" s="244"/>
      <c r="B753" s="244"/>
      <c r="C753" s="244"/>
      <c r="D753" s="244"/>
      <c r="E753" s="244"/>
      <c r="F753" s="244"/>
      <c r="G753" s="244"/>
      <c r="H753" s="244"/>
      <c r="I753" s="244"/>
      <c r="J753" s="244"/>
      <c r="K753" s="244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</row>
    <row r="754" ht="14.25" customHeight="1">
      <c r="A754" s="244"/>
      <c r="B754" s="244"/>
      <c r="C754" s="244"/>
      <c r="D754" s="244"/>
      <c r="E754" s="244"/>
      <c r="F754" s="244"/>
      <c r="G754" s="244"/>
      <c r="H754" s="244"/>
      <c r="I754" s="244"/>
      <c r="J754" s="244"/>
      <c r="K754" s="244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</row>
    <row r="755" ht="14.25" customHeight="1">
      <c r="A755" s="244"/>
      <c r="B755" s="244"/>
      <c r="C755" s="244"/>
      <c r="D755" s="244"/>
      <c r="E755" s="244"/>
      <c r="F755" s="244"/>
      <c r="G755" s="244"/>
      <c r="H755" s="244"/>
      <c r="I755" s="244"/>
      <c r="J755" s="244"/>
      <c r="K755" s="244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</row>
    <row r="756" ht="14.25" customHeight="1">
      <c r="A756" s="244"/>
      <c r="B756" s="244"/>
      <c r="C756" s="244"/>
      <c r="D756" s="244"/>
      <c r="E756" s="244"/>
      <c r="F756" s="244"/>
      <c r="G756" s="244"/>
      <c r="H756" s="244"/>
      <c r="I756" s="244"/>
      <c r="J756" s="244"/>
      <c r="K756" s="244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</row>
    <row r="757" ht="14.25" customHeight="1">
      <c r="A757" s="244"/>
      <c r="B757" s="244"/>
      <c r="C757" s="244"/>
      <c r="D757" s="244"/>
      <c r="E757" s="244"/>
      <c r="F757" s="244"/>
      <c r="G757" s="244"/>
      <c r="H757" s="244"/>
      <c r="I757" s="244"/>
      <c r="J757" s="244"/>
      <c r="K757" s="244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</row>
    <row r="758" ht="14.25" customHeight="1">
      <c r="A758" s="244"/>
      <c r="B758" s="244"/>
      <c r="C758" s="244"/>
      <c r="D758" s="244"/>
      <c r="E758" s="244"/>
      <c r="F758" s="244"/>
      <c r="G758" s="244"/>
      <c r="H758" s="244"/>
      <c r="I758" s="244"/>
      <c r="J758" s="244"/>
      <c r="K758" s="244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</row>
    <row r="759" ht="14.25" customHeight="1">
      <c r="A759" s="244"/>
      <c r="B759" s="244"/>
      <c r="C759" s="244"/>
      <c r="D759" s="244"/>
      <c r="E759" s="244"/>
      <c r="F759" s="244"/>
      <c r="G759" s="244"/>
      <c r="H759" s="244"/>
      <c r="I759" s="244"/>
      <c r="J759" s="244"/>
      <c r="K759" s="244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</row>
    <row r="760" ht="14.25" customHeight="1">
      <c r="A760" s="244"/>
      <c r="B760" s="244"/>
      <c r="C760" s="244"/>
      <c r="D760" s="244"/>
      <c r="E760" s="244"/>
      <c r="F760" s="244"/>
      <c r="G760" s="244"/>
      <c r="H760" s="244"/>
      <c r="I760" s="244"/>
      <c r="J760" s="244"/>
      <c r="K760" s="244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</row>
    <row r="761" ht="14.25" customHeight="1">
      <c r="A761" s="244"/>
      <c r="B761" s="244"/>
      <c r="C761" s="244"/>
      <c r="D761" s="244"/>
      <c r="E761" s="244"/>
      <c r="F761" s="244"/>
      <c r="G761" s="244"/>
      <c r="H761" s="244"/>
      <c r="I761" s="244"/>
      <c r="J761" s="244"/>
      <c r="K761" s="244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</row>
    <row r="762" ht="14.25" customHeight="1">
      <c r="A762" s="244"/>
      <c r="B762" s="244"/>
      <c r="C762" s="244"/>
      <c r="D762" s="244"/>
      <c r="E762" s="244"/>
      <c r="F762" s="244"/>
      <c r="G762" s="244"/>
      <c r="H762" s="244"/>
      <c r="I762" s="244"/>
      <c r="J762" s="244"/>
      <c r="K762" s="244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</row>
    <row r="763" ht="14.25" customHeight="1">
      <c r="A763" s="244"/>
      <c r="B763" s="244"/>
      <c r="C763" s="244"/>
      <c r="D763" s="244"/>
      <c r="E763" s="244"/>
      <c r="F763" s="244"/>
      <c r="G763" s="244"/>
      <c r="H763" s="244"/>
      <c r="I763" s="244"/>
      <c r="J763" s="244"/>
      <c r="K763" s="244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</row>
    <row r="764" ht="14.25" customHeight="1">
      <c r="A764" s="244"/>
      <c r="B764" s="244"/>
      <c r="C764" s="244"/>
      <c r="D764" s="244"/>
      <c r="E764" s="244"/>
      <c r="F764" s="244"/>
      <c r="G764" s="244"/>
      <c r="H764" s="244"/>
      <c r="I764" s="244"/>
      <c r="J764" s="244"/>
      <c r="K764" s="244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</row>
    <row r="765" ht="14.25" customHeight="1">
      <c r="A765" s="244"/>
      <c r="B765" s="244"/>
      <c r="C765" s="244"/>
      <c r="D765" s="244"/>
      <c r="E765" s="244"/>
      <c r="F765" s="244"/>
      <c r="G765" s="244"/>
      <c r="H765" s="244"/>
      <c r="I765" s="244"/>
      <c r="J765" s="244"/>
      <c r="K765" s="244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</row>
    <row r="766" ht="14.25" customHeight="1">
      <c r="A766" s="244"/>
      <c r="B766" s="244"/>
      <c r="C766" s="244"/>
      <c r="D766" s="244"/>
      <c r="E766" s="244"/>
      <c r="F766" s="244"/>
      <c r="G766" s="244"/>
      <c r="H766" s="244"/>
      <c r="I766" s="244"/>
      <c r="J766" s="244"/>
      <c r="K766" s="244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</row>
    <row r="767" ht="14.25" customHeight="1">
      <c r="A767" s="244"/>
      <c r="B767" s="244"/>
      <c r="C767" s="244"/>
      <c r="D767" s="244"/>
      <c r="E767" s="244"/>
      <c r="F767" s="244"/>
      <c r="G767" s="244"/>
      <c r="H767" s="244"/>
      <c r="I767" s="244"/>
      <c r="J767" s="244"/>
      <c r="K767" s="244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</row>
    <row r="768" ht="14.25" customHeight="1">
      <c r="A768" s="244"/>
      <c r="B768" s="244"/>
      <c r="C768" s="244"/>
      <c r="D768" s="244"/>
      <c r="E768" s="244"/>
      <c r="F768" s="244"/>
      <c r="G768" s="244"/>
      <c r="H768" s="244"/>
      <c r="I768" s="244"/>
      <c r="J768" s="244"/>
      <c r="K768" s="244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</row>
    <row r="769" ht="14.25" customHeight="1">
      <c r="A769" s="244"/>
      <c r="B769" s="244"/>
      <c r="C769" s="244"/>
      <c r="D769" s="244"/>
      <c r="E769" s="244"/>
      <c r="F769" s="244"/>
      <c r="G769" s="244"/>
      <c r="H769" s="244"/>
      <c r="I769" s="244"/>
      <c r="J769" s="244"/>
      <c r="K769" s="244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</row>
    <row r="770" ht="14.25" customHeight="1">
      <c r="A770" s="244"/>
      <c r="B770" s="244"/>
      <c r="C770" s="244"/>
      <c r="D770" s="244"/>
      <c r="E770" s="244"/>
      <c r="F770" s="244"/>
      <c r="G770" s="244"/>
      <c r="H770" s="244"/>
      <c r="I770" s="244"/>
      <c r="J770" s="244"/>
      <c r="K770" s="244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</row>
    <row r="771" ht="14.25" customHeight="1">
      <c r="A771" s="244"/>
      <c r="B771" s="244"/>
      <c r="C771" s="244"/>
      <c r="D771" s="244"/>
      <c r="E771" s="244"/>
      <c r="F771" s="244"/>
      <c r="G771" s="244"/>
      <c r="H771" s="244"/>
      <c r="I771" s="244"/>
      <c r="J771" s="244"/>
      <c r="K771" s="244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</row>
    <row r="772" ht="14.25" customHeight="1">
      <c r="A772" s="244"/>
      <c r="B772" s="244"/>
      <c r="C772" s="244"/>
      <c r="D772" s="244"/>
      <c r="E772" s="244"/>
      <c r="F772" s="244"/>
      <c r="G772" s="244"/>
      <c r="H772" s="244"/>
      <c r="I772" s="244"/>
      <c r="J772" s="244"/>
      <c r="K772" s="244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</row>
    <row r="773" ht="14.25" customHeight="1">
      <c r="A773" s="244"/>
      <c r="B773" s="244"/>
      <c r="C773" s="244"/>
      <c r="D773" s="244"/>
      <c r="E773" s="244"/>
      <c r="F773" s="244"/>
      <c r="G773" s="244"/>
      <c r="H773" s="244"/>
      <c r="I773" s="244"/>
      <c r="J773" s="244"/>
      <c r="K773" s="244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</row>
    <row r="774" ht="14.25" customHeight="1">
      <c r="A774" s="244"/>
      <c r="B774" s="244"/>
      <c r="C774" s="244"/>
      <c r="D774" s="244"/>
      <c r="E774" s="244"/>
      <c r="F774" s="244"/>
      <c r="G774" s="244"/>
      <c r="H774" s="244"/>
      <c r="I774" s="244"/>
      <c r="J774" s="244"/>
      <c r="K774" s="244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</row>
    <row r="775" ht="14.25" customHeight="1">
      <c r="A775" s="244"/>
      <c r="B775" s="244"/>
      <c r="C775" s="244"/>
      <c r="D775" s="244"/>
      <c r="E775" s="244"/>
      <c r="F775" s="244"/>
      <c r="G775" s="244"/>
      <c r="H775" s="244"/>
      <c r="I775" s="244"/>
      <c r="J775" s="244"/>
      <c r="K775" s="244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</row>
    <row r="776" ht="14.25" customHeight="1">
      <c r="A776" s="244"/>
      <c r="B776" s="244"/>
      <c r="C776" s="244"/>
      <c r="D776" s="244"/>
      <c r="E776" s="244"/>
      <c r="F776" s="244"/>
      <c r="G776" s="244"/>
      <c r="H776" s="244"/>
      <c r="I776" s="244"/>
      <c r="J776" s="244"/>
      <c r="K776" s="244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</row>
    <row r="777" ht="14.25" customHeight="1">
      <c r="A777" s="244"/>
      <c r="B777" s="244"/>
      <c r="C777" s="244"/>
      <c r="D777" s="244"/>
      <c r="E777" s="244"/>
      <c r="F777" s="244"/>
      <c r="G777" s="244"/>
      <c r="H777" s="244"/>
      <c r="I777" s="244"/>
      <c r="J777" s="244"/>
      <c r="K777" s="244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</row>
    <row r="778" ht="14.25" customHeight="1">
      <c r="A778" s="244"/>
      <c r="B778" s="244"/>
      <c r="C778" s="244"/>
      <c r="D778" s="244"/>
      <c r="E778" s="244"/>
      <c r="F778" s="244"/>
      <c r="G778" s="244"/>
      <c r="H778" s="244"/>
      <c r="I778" s="244"/>
      <c r="J778" s="244"/>
      <c r="K778" s="244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</row>
    <row r="779" ht="14.25" customHeight="1">
      <c r="A779" s="244"/>
      <c r="B779" s="244"/>
      <c r="C779" s="244"/>
      <c r="D779" s="244"/>
      <c r="E779" s="244"/>
      <c r="F779" s="244"/>
      <c r="G779" s="244"/>
      <c r="H779" s="244"/>
      <c r="I779" s="244"/>
      <c r="J779" s="244"/>
      <c r="K779" s="244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</row>
    <row r="780" ht="14.25" customHeight="1">
      <c r="A780" s="244"/>
      <c r="B780" s="244"/>
      <c r="C780" s="244"/>
      <c r="D780" s="244"/>
      <c r="E780" s="244"/>
      <c r="F780" s="244"/>
      <c r="G780" s="244"/>
      <c r="H780" s="244"/>
      <c r="I780" s="244"/>
      <c r="J780" s="244"/>
      <c r="K780" s="244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</row>
    <row r="781" ht="14.25" customHeight="1">
      <c r="A781" s="244"/>
      <c r="B781" s="244"/>
      <c r="C781" s="244"/>
      <c r="D781" s="244"/>
      <c r="E781" s="244"/>
      <c r="F781" s="244"/>
      <c r="G781" s="244"/>
      <c r="H781" s="244"/>
      <c r="I781" s="244"/>
      <c r="J781" s="244"/>
      <c r="K781" s="244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</row>
    <row r="782" ht="14.25" customHeight="1">
      <c r="A782" s="244"/>
      <c r="B782" s="244"/>
      <c r="C782" s="244"/>
      <c r="D782" s="244"/>
      <c r="E782" s="244"/>
      <c r="F782" s="244"/>
      <c r="G782" s="244"/>
      <c r="H782" s="244"/>
      <c r="I782" s="244"/>
      <c r="J782" s="244"/>
      <c r="K782" s="244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</row>
    <row r="783" ht="14.25" customHeight="1">
      <c r="A783" s="244"/>
      <c r="B783" s="244"/>
      <c r="C783" s="244"/>
      <c r="D783" s="244"/>
      <c r="E783" s="244"/>
      <c r="F783" s="244"/>
      <c r="G783" s="244"/>
      <c r="H783" s="244"/>
      <c r="I783" s="244"/>
      <c r="J783" s="244"/>
      <c r="K783" s="244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</row>
    <row r="784" ht="14.25" customHeight="1">
      <c r="A784" s="244"/>
      <c r="B784" s="244"/>
      <c r="C784" s="244"/>
      <c r="D784" s="244"/>
      <c r="E784" s="244"/>
      <c r="F784" s="244"/>
      <c r="G784" s="244"/>
      <c r="H784" s="244"/>
      <c r="I784" s="244"/>
      <c r="J784" s="244"/>
      <c r="K784" s="244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</row>
    <row r="785" ht="14.25" customHeight="1">
      <c r="A785" s="244"/>
      <c r="B785" s="244"/>
      <c r="C785" s="244"/>
      <c r="D785" s="244"/>
      <c r="E785" s="244"/>
      <c r="F785" s="244"/>
      <c r="G785" s="244"/>
      <c r="H785" s="244"/>
      <c r="I785" s="244"/>
      <c r="J785" s="244"/>
      <c r="K785" s="244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</row>
    <row r="786" ht="14.25" customHeight="1">
      <c r="A786" s="244"/>
      <c r="B786" s="244"/>
      <c r="C786" s="244"/>
      <c r="D786" s="244"/>
      <c r="E786" s="244"/>
      <c r="F786" s="244"/>
      <c r="G786" s="244"/>
      <c r="H786" s="244"/>
      <c r="I786" s="244"/>
      <c r="J786" s="244"/>
      <c r="K786" s="244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</row>
    <row r="787" ht="14.25" customHeight="1">
      <c r="A787" s="244"/>
      <c r="B787" s="244"/>
      <c r="C787" s="244"/>
      <c r="D787" s="244"/>
      <c r="E787" s="244"/>
      <c r="F787" s="244"/>
      <c r="G787" s="244"/>
      <c r="H787" s="244"/>
      <c r="I787" s="244"/>
      <c r="J787" s="244"/>
      <c r="K787" s="244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</row>
    <row r="788" ht="14.25" customHeight="1">
      <c r="A788" s="244"/>
      <c r="B788" s="244"/>
      <c r="C788" s="244"/>
      <c r="D788" s="244"/>
      <c r="E788" s="244"/>
      <c r="F788" s="244"/>
      <c r="G788" s="244"/>
      <c r="H788" s="244"/>
      <c r="I788" s="244"/>
      <c r="J788" s="244"/>
      <c r="K788" s="244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</row>
    <row r="789" ht="14.25" customHeight="1">
      <c r="A789" s="244"/>
      <c r="B789" s="244"/>
      <c r="C789" s="244"/>
      <c r="D789" s="244"/>
      <c r="E789" s="244"/>
      <c r="F789" s="244"/>
      <c r="G789" s="244"/>
      <c r="H789" s="244"/>
      <c r="I789" s="244"/>
      <c r="J789" s="244"/>
      <c r="K789" s="244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</row>
    <row r="790" ht="14.25" customHeight="1">
      <c r="A790" s="244"/>
      <c r="B790" s="244"/>
      <c r="C790" s="244"/>
      <c r="D790" s="244"/>
      <c r="E790" s="244"/>
      <c r="F790" s="244"/>
      <c r="G790" s="244"/>
      <c r="H790" s="244"/>
      <c r="I790" s="244"/>
      <c r="J790" s="244"/>
      <c r="K790" s="244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</row>
    <row r="791" ht="14.25" customHeight="1">
      <c r="A791" s="244"/>
      <c r="B791" s="244"/>
      <c r="C791" s="244"/>
      <c r="D791" s="244"/>
      <c r="E791" s="244"/>
      <c r="F791" s="244"/>
      <c r="G791" s="244"/>
      <c r="H791" s="244"/>
      <c r="I791" s="244"/>
      <c r="J791" s="244"/>
      <c r="K791" s="244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</row>
    <row r="792" ht="14.25" customHeight="1">
      <c r="A792" s="244"/>
      <c r="B792" s="244"/>
      <c r="C792" s="244"/>
      <c r="D792" s="244"/>
      <c r="E792" s="244"/>
      <c r="F792" s="244"/>
      <c r="G792" s="244"/>
      <c r="H792" s="244"/>
      <c r="I792" s="244"/>
      <c r="J792" s="244"/>
      <c r="K792" s="244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</row>
    <row r="793" ht="14.25" customHeight="1">
      <c r="A793" s="244"/>
      <c r="B793" s="244"/>
      <c r="C793" s="244"/>
      <c r="D793" s="244"/>
      <c r="E793" s="244"/>
      <c r="F793" s="244"/>
      <c r="G793" s="244"/>
      <c r="H793" s="244"/>
      <c r="I793" s="244"/>
      <c r="J793" s="244"/>
      <c r="K793" s="244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</row>
    <row r="794" ht="14.25" customHeight="1">
      <c r="A794" s="244"/>
      <c r="B794" s="244"/>
      <c r="C794" s="244"/>
      <c r="D794" s="244"/>
      <c r="E794" s="244"/>
      <c r="F794" s="244"/>
      <c r="G794" s="244"/>
      <c r="H794" s="244"/>
      <c r="I794" s="244"/>
      <c r="J794" s="244"/>
      <c r="K794" s="244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</row>
    <row r="795" ht="14.25" customHeight="1">
      <c r="A795" s="244"/>
      <c r="B795" s="244"/>
      <c r="C795" s="244"/>
      <c r="D795" s="244"/>
      <c r="E795" s="244"/>
      <c r="F795" s="244"/>
      <c r="G795" s="244"/>
      <c r="H795" s="244"/>
      <c r="I795" s="244"/>
      <c r="J795" s="244"/>
      <c r="K795" s="244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</row>
    <row r="796" ht="14.25" customHeight="1">
      <c r="A796" s="244"/>
      <c r="B796" s="244"/>
      <c r="C796" s="244"/>
      <c r="D796" s="244"/>
      <c r="E796" s="244"/>
      <c r="F796" s="244"/>
      <c r="G796" s="244"/>
      <c r="H796" s="244"/>
      <c r="I796" s="244"/>
      <c r="J796" s="244"/>
      <c r="K796" s="244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</row>
    <row r="797" ht="14.25" customHeight="1">
      <c r="A797" s="244"/>
      <c r="B797" s="244"/>
      <c r="C797" s="244"/>
      <c r="D797" s="244"/>
      <c r="E797" s="244"/>
      <c r="F797" s="244"/>
      <c r="G797" s="244"/>
      <c r="H797" s="244"/>
      <c r="I797" s="244"/>
      <c r="J797" s="244"/>
      <c r="K797" s="244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</row>
    <row r="798" ht="14.25" customHeight="1">
      <c r="A798" s="244"/>
      <c r="B798" s="244"/>
      <c r="C798" s="244"/>
      <c r="D798" s="244"/>
      <c r="E798" s="244"/>
      <c r="F798" s="244"/>
      <c r="G798" s="244"/>
      <c r="H798" s="244"/>
      <c r="I798" s="244"/>
      <c r="J798" s="244"/>
      <c r="K798" s="244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</row>
    <row r="799" ht="14.25" customHeight="1">
      <c r="A799" s="244"/>
      <c r="B799" s="244"/>
      <c r="C799" s="244"/>
      <c r="D799" s="244"/>
      <c r="E799" s="244"/>
      <c r="F799" s="244"/>
      <c r="G799" s="244"/>
      <c r="H799" s="244"/>
      <c r="I799" s="244"/>
      <c r="J799" s="244"/>
      <c r="K799" s="244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</row>
    <row r="800" ht="14.25" customHeight="1">
      <c r="A800" s="244"/>
      <c r="B800" s="244"/>
      <c r="C800" s="244"/>
      <c r="D800" s="244"/>
      <c r="E800" s="244"/>
      <c r="F800" s="244"/>
      <c r="G800" s="244"/>
      <c r="H800" s="244"/>
      <c r="I800" s="244"/>
      <c r="J800" s="244"/>
      <c r="K800" s="244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</row>
    <row r="801" ht="14.25" customHeight="1">
      <c r="A801" s="244"/>
      <c r="B801" s="244"/>
      <c r="C801" s="244"/>
      <c r="D801" s="244"/>
      <c r="E801" s="244"/>
      <c r="F801" s="244"/>
      <c r="G801" s="244"/>
      <c r="H801" s="244"/>
      <c r="I801" s="244"/>
      <c r="J801" s="244"/>
      <c r="K801" s="244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</row>
    <row r="802" ht="14.25" customHeight="1">
      <c r="A802" s="244"/>
      <c r="B802" s="244"/>
      <c r="C802" s="244"/>
      <c r="D802" s="244"/>
      <c r="E802" s="244"/>
      <c r="F802" s="244"/>
      <c r="G802" s="244"/>
      <c r="H802" s="244"/>
      <c r="I802" s="244"/>
      <c r="J802" s="244"/>
      <c r="K802" s="244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</row>
    <row r="803" ht="14.25" customHeight="1">
      <c r="A803" s="244"/>
      <c r="B803" s="244"/>
      <c r="C803" s="244"/>
      <c r="D803" s="244"/>
      <c r="E803" s="244"/>
      <c r="F803" s="244"/>
      <c r="G803" s="244"/>
      <c r="H803" s="244"/>
      <c r="I803" s="244"/>
      <c r="J803" s="244"/>
      <c r="K803" s="244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</row>
    <row r="804" ht="14.25" customHeight="1">
      <c r="A804" s="244"/>
      <c r="B804" s="244"/>
      <c r="C804" s="244"/>
      <c r="D804" s="244"/>
      <c r="E804" s="244"/>
      <c r="F804" s="244"/>
      <c r="G804" s="244"/>
      <c r="H804" s="244"/>
      <c r="I804" s="244"/>
      <c r="J804" s="244"/>
      <c r="K804" s="244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</row>
    <row r="805" ht="14.25" customHeight="1">
      <c r="A805" s="244"/>
      <c r="B805" s="244"/>
      <c r="C805" s="244"/>
      <c r="D805" s="244"/>
      <c r="E805" s="244"/>
      <c r="F805" s="244"/>
      <c r="G805" s="244"/>
      <c r="H805" s="244"/>
      <c r="I805" s="244"/>
      <c r="J805" s="244"/>
      <c r="K805" s="244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</row>
    <row r="806" ht="14.25" customHeight="1">
      <c r="A806" s="244"/>
      <c r="B806" s="244"/>
      <c r="C806" s="244"/>
      <c r="D806" s="244"/>
      <c r="E806" s="244"/>
      <c r="F806" s="244"/>
      <c r="G806" s="244"/>
      <c r="H806" s="244"/>
      <c r="I806" s="244"/>
      <c r="J806" s="244"/>
      <c r="K806" s="244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</row>
    <row r="807" ht="14.25" customHeight="1">
      <c r="A807" s="244"/>
      <c r="B807" s="244"/>
      <c r="C807" s="244"/>
      <c r="D807" s="244"/>
      <c r="E807" s="244"/>
      <c r="F807" s="244"/>
      <c r="G807" s="244"/>
      <c r="H807" s="244"/>
      <c r="I807" s="244"/>
      <c r="J807" s="244"/>
      <c r="K807" s="244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</row>
    <row r="808" ht="14.25" customHeight="1">
      <c r="A808" s="244"/>
      <c r="B808" s="244"/>
      <c r="C808" s="244"/>
      <c r="D808" s="244"/>
      <c r="E808" s="244"/>
      <c r="F808" s="244"/>
      <c r="G808" s="244"/>
      <c r="H808" s="244"/>
      <c r="I808" s="244"/>
      <c r="J808" s="244"/>
      <c r="K808" s="244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</row>
    <row r="809" ht="14.25" customHeight="1">
      <c r="A809" s="244"/>
      <c r="B809" s="244"/>
      <c r="C809" s="244"/>
      <c r="D809" s="244"/>
      <c r="E809" s="244"/>
      <c r="F809" s="244"/>
      <c r="G809" s="244"/>
      <c r="H809" s="244"/>
      <c r="I809" s="244"/>
      <c r="J809" s="244"/>
      <c r="K809" s="244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</row>
    <row r="810" ht="14.25" customHeight="1">
      <c r="A810" s="244"/>
      <c r="B810" s="244"/>
      <c r="C810" s="244"/>
      <c r="D810" s="244"/>
      <c r="E810" s="244"/>
      <c r="F810" s="244"/>
      <c r="G810" s="244"/>
      <c r="H810" s="244"/>
      <c r="I810" s="244"/>
      <c r="J810" s="244"/>
      <c r="K810" s="244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</row>
    <row r="811" ht="14.25" customHeight="1">
      <c r="A811" s="244"/>
      <c r="B811" s="244"/>
      <c r="C811" s="244"/>
      <c r="D811" s="244"/>
      <c r="E811" s="244"/>
      <c r="F811" s="244"/>
      <c r="G811" s="244"/>
      <c r="H811" s="244"/>
      <c r="I811" s="244"/>
      <c r="J811" s="244"/>
      <c r="K811" s="244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</row>
    <row r="812" ht="14.25" customHeight="1">
      <c r="A812" s="244"/>
      <c r="B812" s="244"/>
      <c r="C812" s="244"/>
      <c r="D812" s="244"/>
      <c r="E812" s="244"/>
      <c r="F812" s="244"/>
      <c r="G812" s="244"/>
      <c r="H812" s="244"/>
      <c r="I812" s="244"/>
      <c r="J812" s="244"/>
      <c r="K812" s="244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</row>
    <row r="813" ht="14.25" customHeight="1">
      <c r="A813" s="244"/>
      <c r="B813" s="244"/>
      <c r="C813" s="244"/>
      <c r="D813" s="244"/>
      <c r="E813" s="244"/>
      <c r="F813" s="244"/>
      <c r="G813" s="244"/>
      <c r="H813" s="244"/>
      <c r="I813" s="244"/>
      <c r="J813" s="244"/>
      <c r="K813" s="244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</row>
    <row r="814" ht="14.25" customHeight="1">
      <c r="A814" s="244"/>
      <c r="B814" s="244"/>
      <c r="C814" s="244"/>
      <c r="D814" s="244"/>
      <c r="E814" s="244"/>
      <c r="F814" s="244"/>
      <c r="G814" s="244"/>
      <c r="H814" s="244"/>
      <c r="I814" s="244"/>
      <c r="J814" s="244"/>
      <c r="K814" s="244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</row>
    <row r="815" ht="14.25" customHeight="1">
      <c r="A815" s="244"/>
      <c r="B815" s="244"/>
      <c r="C815" s="244"/>
      <c r="D815" s="244"/>
      <c r="E815" s="244"/>
      <c r="F815" s="244"/>
      <c r="G815" s="244"/>
      <c r="H815" s="244"/>
      <c r="I815" s="244"/>
      <c r="J815" s="244"/>
      <c r="K815" s="244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</row>
    <row r="816" ht="14.25" customHeight="1">
      <c r="A816" s="244"/>
      <c r="B816" s="244"/>
      <c r="C816" s="244"/>
      <c r="D816" s="244"/>
      <c r="E816" s="244"/>
      <c r="F816" s="244"/>
      <c r="G816" s="244"/>
      <c r="H816" s="244"/>
      <c r="I816" s="244"/>
      <c r="J816" s="244"/>
      <c r="K816" s="244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</row>
    <row r="817" ht="14.25" customHeight="1">
      <c r="A817" s="244"/>
      <c r="B817" s="244"/>
      <c r="C817" s="244"/>
      <c r="D817" s="244"/>
      <c r="E817" s="244"/>
      <c r="F817" s="244"/>
      <c r="G817" s="244"/>
      <c r="H817" s="244"/>
      <c r="I817" s="244"/>
      <c r="J817" s="244"/>
      <c r="K817" s="244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</row>
    <row r="818" ht="14.25" customHeight="1">
      <c r="A818" s="244"/>
      <c r="B818" s="244"/>
      <c r="C818" s="244"/>
      <c r="D818" s="244"/>
      <c r="E818" s="244"/>
      <c r="F818" s="244"/>
      <c r="G818" s="244"/>
      <c r="H818" s="244"/>
      <c r="I818" s="244"/>
      <c r="J818" s="244"/>
      <c r="K818" s="244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</row>
    <row r="819" ht="14.25" customHeight="1">
      <c r="A819" s="244"/>
      <c r="B819" s="244"/>
      <c r="C819" s="244"/>
      <c r="D819" s="244"/>
      <c r="E819" s="244"/>
      <c r="F819" s="244"/>
      <c r="G819" s="244"/>
      <c r="H819" s="244"/>
      <c r="I819" s="244"/>
      <c r="J819" s="244"/>
      <c r="K819" s="244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</row>
    <row r="820" ht="14.25" customHeight="1">
      <c r="A820" s="244"/>
      <c r="B820" s="244"/>
      <c r="C820" s="244"/>
      <c r="D820" s="244"/>
      <c r="E820" s="244"/>
      <c r="F820" s="244"/>
      <c r="G820" s="244"/>
      <c r="H820" s="244"/>
      <c r="I820" s="244"/>
      <c r="J820" s="244"/>
      <c r="K820" s="244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</row>
    <row r="821" ht="14.25" customHeight="1">
      <c r="A821" s="244"/>
      <c r="B821" s="244"/>
      <c r="C821" s="244"/>
      <c r="D821" s="244"/>
      <c r="E821" s="244"/>
      <c r="F821" s="244"/>
      <c r="G821" s="244"/>
      <c r="H821" s="244"/>
      <c r="I821" s="244"/>
      <c r="J821" s="244"/>
      <c r="K821" s="244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</row>
    <row r="822" ht="14.25" customHeight="1">
      <c r="A822" s="244"/>
      <c r="B822" s="244"/>
      <c r="C822" s="244"/>
      <c r="D822" s="244"/>
      <c r="E822" s="244"/>
      <c r="F822" s="244"/>
      <c r="G822" s="244"/>
      <c r="H822" s="244"/>
      <c r="I822" s="244"/>
      <c r="J822" s="244"/>
      <c r="K822" s="244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</row>
    <row r="823" ht="14.25" customHeight="1">
      <c r="A823" s="244"/>
      <c r="B823" s="244"/>
      <c r="C823" s="244"/>
      <c r="D823" s="244"/>
      <c r="E823" s="244"/>
      <c r="F823" s="244"/>
      <c r="G823" s="244"/>
      <c r="H823" s="244"/>
      <c r="I823" s="244"/>
      <c r="J823" s="244"/>
      <c r="K823" s="244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</row>
    <row r="824" ht="14.25" customHeight="1">
      <c r="A824" s="244"/>
      <c r="B824" s="244"/>
      <c r="C824" s="244"/>
      <c r="D824" s="244"/>
      <c r="E824" s="244"/>
      <c r="F824" s="244"/>
      <c r="G824" s="244"/>
      <c r="H824" s="244"/>
      <c r="I824" s="244"/>
      <c r="J824" s="244"/>
      <c r="K824" s="244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</row>
    <row r="825" ht="14.25" customHeight="1">
      <c r="A825" s="244"/>
      <c r="B825" s="244"/>
      <c r="C825" s="244"/>
      <c r="D825" s="244"/>
      <c r="E825" s="244"/>
      <c r="F825" s="244"/>
      <c r="G825" s="244"/>
      <c r="H825" s="244"/>
      <c r="I825" s="244"/>
      <c r="J825" s="244"/>
      <c r="K825" s="244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</row>
    <row r="826" ht="14.25" customHeight="1">
      <c r="A826" s="244"/>
      <c r="B826" s="244"/>
      <c r="C826" s="244"/>
      <c r="D826" s="244"/>
      <c r="E826" s="244"/>
      <c r="F826" s="244"/>
      <c r="G826" s="244"/>
      <c r="H826" s="244"/>
      <c r="I826" s="244"/>
      <c r="J826" s="244"/>
      <c r="K826" s="244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</row>
    <row r="827" ht="14.25" customHeight="1">
      <c r="A827" s="244"/>
      <c r="B827" s="244"/>
      <c r="C827" s="244"/>
      <c r="D827" s="244"/>
      <c r="E827" s="244"/>
      <c r="F827" s="244"/>
      <c r="G827" s="244"/>
      <c r="H827" s="244"/>
      <c r="I827" s="244"/>
      <c r="J827" s="244"/>
      <c r="K827" s="244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</row>
    <row r="828" ht="14.25" customHeight="1">
      <c r="A828" s="244"/>
      <c r="B828" s="244"/>
      <c r="C828" s="244"/>
      <c r="D828" s="244"/>
      <c r="E828" s="244"/>
      <c r="F828" s="244"/>
      <c r="G828" s="244"/>
      <c r="H828" s="244"/>
      <c r="I828" s="244"/>
      <c r="J828" s="244"/>
      <c r="K828" s="244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</row>
    <row r="829" ht="14.25" customHeight="1">
      <c r="A829" s="244"/>
      <c r="B829" s="244"/>
      <c r="C829" s="244"/>
      <c r="D829" s="244"/>
      <c r="E829" s="244"/>
      <c r="F829" s="244"/>
      <c r="G829" s="244"/>
      <c r="H829" s="244"/>
      <c r="I829" s="244"/>
      <c r="J829" s="244"/>
      <c r="K829" s="244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</row>
    <row r="830" ht="14.25" customHeight="1">
      <c r="A830" s="244"/>
      <c r="B830" s="244"/>
      <c r="C830" s="244"/>
      <c r="D830" s="244"/>
      <c r="E830" s="244"/>
      <c r="F830" s="244"/>
      <c r="G830" s="244"/>
      <c r="H830" s="244"/>
      <c r="I830" s="244"/>
      <c r="J830" s="244"/>
      <c r="K830" s="244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</row>
    <row r="831" ht="14.25" customHeight="1">
      <c r="A831" s="244"/>
      <c r="B831" s="244"/>
      <c r="C831" s="244"/>
      <c r="D831" s="244"/>
      <c r="E831" s="244"/>
      <c r="F831" s="244"/>
      <c r="G831" s="244"/>
      <c r="H831" s="244"/>
      <c r="I831" s="244"/>
      <c r="J831" s="244"/>
      <c r="K831" s="244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</row>
    <row r="832" ht="14.25" customHeight="1">
      <c r="A832" s="244"/>
      <c r="B832" s="244"/>
      <c r="C832" s="244"/>
      <c r="D832" s="244"/>
      <c r="E832" s="244"/>
      <c r="F832" s="244"/>
      <c r="G832" s="244"/>
      <c r="H832" s="244"/>
      <c r="I832" s="244"/>
      <c r="J832" s="244"/>
      <c r="K832" s="244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</row>
    <row r="833" ht="14.25" customHeight="1">
      <c r="A833" s="244"/>
      <c r="B833" s="244"/>
      <c r="C833" s="244"/>
      <c r="D833" s="244"/>
      <c r="E833" s="244"/>
      <c r="F833" s="244"/>
      <c r="G833" s="244"/>
      <c r="H833" s="244"/>
      <c r="I833" s="244"/>
      <c r="J833" s="244"/>
      <c r="K833" s="244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</row>
    <row r="834" ht="14.25" customHeight="1">
      <c r="A834" s="244"/>
      <c r="B834" s="244"/>
      <c r="C834" s="244"/>
      <c r="D834" s="244"/>
      <c r="E834" s="244"/>
      <c r="F834" s="244"/>
      <c r="G834" s="244"/>
      <c r="H834" s="244"/>
      <c r="I834" s="244"/>
      <c r="J834" s="244"/>
      <c r="K834" s="244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</row>
    <row r="835" ht="14.25" customHeight="1">
      <c r="A835" s="244"/>
      <c r="B835" s="244"/>
      <c r="C835" s="244"/>
      <c r="D835" s="244"/>
      <c r="E835" s="244"/>
      <c r="F835" s="244"/>
      <c r="G835" s="244"/>
      <c r="H835" s="244"/>
      <c r="I835" s="244"/>
      <c r="J835" s="244"/>
      <c r="K835" s="244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</row>
    <row r="836" ht="14.25" customHeight="1">
      <c r="A836" s="244"/>
      <c r="B836" s="244"/>
      <c r="C836" s="244"/>
      <c r="D836" s="244"/>
      <c r="E836" s="244"/>
      <c r="F836" s="244"/>
      <c r="G836" s="244"/>
      <c r="H836" s="244"/>
      <c r="I836" s="244"/>
      <c r="J836" s="244"/>
      <c r="K836" s="244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</row>
    <row r="837" ht="14.25" customHeight="1">
      <c r="A837" s="244"/>
      <c r="B837" s="244"/>
      <c r="C837" s="244"/>
      <c r="D837" s="244"/>
      <c r="E837" s="244"/>
      <c r="F837" s="244"/>
      <c r="G837" s="244"/>
      <c r="H837" s="244"/>
      <c r="I837" s="244"/>
      <c r="J837" s="244"/>
      <c r="K837" s="244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</row>
    <row r="838" ht="14.25" customHeight="1">
      <c r="A838" s="244"/>
      <c r="B838" s="244"/>
      <c r="C838" s="244"/>
      <c r="D838" s="244"/>
      <c r="E838" s="244"/>
      <c r="F838" s="244"/>
      <c r="G838" s="244"/>
      <c r="H838" s="244"/>
      <c r="I838" s="244"/>
      <c r="J838" s="244"/>
      <c r="K838" s="244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</row>
    <row r="839" ht="14.25" customHeight="1">
      <c r="A839" s="244"/>
      <c r="B839" s="244"/>
      <c r="C839" s="244"/>
      <c r="D839" s="244"/>
      <c r="E839" s="244"/>
      <c r="F839" s="244"/>
      <c r="G839" s="244"/>
      <c r="H839" s="244"/>
      <c r="I839" s="244"/>
      <c r="J839" s="244"/>
      <c r="K839" s="244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</row>
    <row r="840" ht="14.25" customHeight="1">
      <c r="A840" s="244"/>
      <c r="B840" s="244"/>
      <c r="C840" s="244"/>
      <c r="D840" s="244"/>
      <c r="E840" s="244"/>
      <c r="F840" s="244"/>
      <c r="G840" s="244"/>
      <c r="H840" s="244"/>
      <c r="I840" s="244"/>
      <c r="J840" s="244"/>
      <c r="K840" s="244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</row>
    <row r="841" ht="14.25" customHeight="1">
      <c r="A841" s="244"/>
      <c r="B841" s="244"/>
      <c r="C841" s="244"/>
      <c r="D841" s="244"/>
      <c r="E841" s="244"/>
      <c r="F841" s="244"/>
      <c r="G841" s="244"/>
      <c r="H841" s="244"/>
      <c r="I841" s="244"/>
      <c r="J841" s="244"/>
      <c r="K841" s="244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</row>
    <row r="842" ht="14.25" customHeight="1">
      <c r="A842" s="244"/>
      <c r="B842" s="244"/>
      <c r="C842" s="244"/>
      <c r="D842" s="244"/>
      <c r="E842" s="244"/>
      <c r="F842" s="244"/>
      <c r="G842" s="244"/>
      <c r="H842" s="244"/>
      <c r="I842" s="244"/>
      <c r="J842" s="244"/>
      <c r="K842" s="244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</row>
    <row r="843" ht="14.25" customHeight="1">
      <c r="A843" s="244"/>
      <c r="B843" s="244"/>
      <c r="C843" s="244"/>
      <c r="D843" s="244"/>
      <c r="E843" s="244"/>
      <c r="F843" s="244"/>
      <c r="G843" s="244"/>
      <c r="H843" s="244"/>
      <c r="I843" s="244"/>
      <c r="J843" s="244"/>
      <c r="K843" s="244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</row>
    <row r="844" ht="14.25" customHeight="1">
      <c r="A844" s="244"/>
      <c r="B844" s="244"/>
      <c r="C844" s="244"/>
      <c r="D844" s="244"/>
      <c r="E844" s="244"/>
      <c r="F844" s="244"/>
      <c r="G844" s="244"/>
      <c r="H844" s="244"/>
      <c r="I844" s="244"/>
      <c r="J844" s="244"/>
      <c r="K844" s="244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</row>
    <row r="845" ht="14.25" customHeight="1">
      <c r="A845" s="244"/>
      <c r="B845" s="244"/>
      <c r="C845" s="244"/>
      <c r="D845" s="244"/>
      <c r="E845" s="244"/>
      <c r="F845" s="244"/>
      <c r="G845" s="244"/>
      <c r="H845" s="244"/>
      <c r="I845" s="244"/>
      <c r="J845" s="244"/>
      <c r="K845" s="244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</row>
    <row r="846" ht="14.25" customHeight="1">
      <c r="A846" s="244"/>
      <c r="B846" s="244"/>
      <c r="C846" s="244"/>
      <c r="D846" s="244"/>
      <c r="E846" s="244"/>
      <c r="F846" s="244"/>
      <c r="G846" s="244"/>
      <c r="H846" s="244"/>
      <c r="I846" s="244"/>
      <c r="J846" s="244"/>
      <c r="K846" s="244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</row>
    <row r="847" ht="14.25" customHeight="1">
      <c r="A847" s="244"/>
      <c r="B847" s="244"/>
      <c r="C847" s="244"/>
      <c r="D847" s="244"/>
      <c r="E847" s="244"/>
      <c r="F847" s="244"/>
      <c r="G847" s="244"/>
      <c r="H847" s="244"/>
      <c r="I847" s="244"/>
      <c r="J847" s="244"/>
      <c r="K847" s="244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</row>
    <row r="848" ht="14.25" customHeight="1">
      <c r="A848" s="244"/>
      <c r="B848" s="244"/>
      <c r="C848" s="244"/>
      <c r="D848" s="244"/>
      <c r="E848" s="244"/>
      <c r="F848" s="244"/>
      <c r="G848" s="244"/>
      <c r="H848" s="244"/>
      <c r="I848" s="244"/>
      <c r="J848" s="244"/>
      <c r="K848" s="244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</row>
    <row r="849" ht="14.25" customHeight="1">
      <c r="A849" s="244"/>
      <c r="B849" s="244"/>
      <c r="C849" s="244"/>
      <c r="D849" s="244"/>
      <c r="E849" s="244"/>
      <c r="F849" s="244"/>
      <c r="G849" s="244"/>
      <c r="H849" s="244"/>
      <c r="I849" s="244"/>
      <c r="J849" s="244"/>
      <c r="K849" s="244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</row>
    <row r="850" ht="14.25" customHeight="1">
      <c r="A850" s="244"/>
      <c r="B850" s="244"/>
      <c r="C850" s="244"/>
      <c r="D850" s="244"/>
      <c r="E850" s="244"/>
      <c r="F850" s="244"/>
      <c r="G850" s="244"/>
      <c r="H850" s="244"/>
      <c r="I850" s="244"/>
      <c r="J850" s="244"/>
      <c r="K850" s="244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</row>
    <row r="851" ht="14.25" customHeight="1">
      <c r="A851" s="244"/>
      <c r="B851" s="244"/>
      <c r="C851" s="244"/>
      <c r="D851" s="244"/>
      <c r="E851" s="244"/>
      <c r="F851" s="244"/>
      <c r="G851" s="244"/>
      <c r="H851" s="244"/>
      <c r="I851" s="244"/>
      <c r="J851" s="244"/>
      <c r="K851" s="244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</row>
    <row r="852" ht="14.25" customHeight="1">
      <c r="A852" s="244"/>
      <c r="B852" s="244"/>
      <c r="C852" s="244"/>
      <c r="D852" s="244"/>
      <c r="E852" s="244"/>
      <c r="F852" s="244"/>
      <c r="G852" s="244"/>
      <c r="H852" s="244"/>
      <c r="I852" s="244"/>
      <c r="J852" s="244"/>
      <c r="K852" s="244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</row>
    <row r="853" ht="14.25" customHeight="1">
      <c r="A853" s="244"/>
      <c r="B853" s="244"/>
      <c r="C853" s="244"/>
      <c r="D853" s="244"/>
      <c r="E853" s="244"/>
      <c r="F853" s="244"/>
      <c r="G853" s="244"/>
      <c r="H853" s="244"/>
      <c r="I853" s="244"/>
      <c r="J853" s="244"/>
      <c r="K853" s="244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</row>
    <row r="854" ht="14.25" customHeight="1">
      <c r="A854" s="244"/>
      <c r="B854" s="244"/>
      <c r="C854" s="244"/>
      <c r="D854" s="244"/>
      <c r="E854" s="244"/>
      <c r="F854" s="244"/>
      <c r="G854" s="244"/>
      <c r="H854" s="244"/>
      <c r="I854" s="244"/>
      <c r="J854" s="244"/>
      <c r="K854" s="244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</row>
    <row r="855" ht="14.25" customHeight="1">
      <c r="A855" s="244"/>
      <c r="B855" s="244"/>
      <c r="C855" s="244"/>
      <c r="D855" s="244"/>
      <c r="E855" s="244"/>
      <c r="F855" s="244"/>
      <c r="G855" s="244"/>
      <c r="H855" s="244"/>
      <c r="I855" s="244"/>
      <c r="J855" s="244"/>
      <c r="K855" s="244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</row>
    <row r="856" ht="14.25" customHeight="1">
      <c r="A856" s="244"/>
      <c r="B856" s="244"/>
      <c r="C856" s="244"/>
      <c r="D856" s="244"/>
      <c r="E856" s="244"/>
      <c r="F856" s="244"/>
      <c r="G856" s="244"/>
      <c r="H856" s="244"/>
      <c r="I856" s="244"/>
      <c r="J856" s="244"/>
      <c r="K856" s="244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</row>
    <row r="857" ht="14.25" customHeight="1">
      <c r="A857" s="244"/>
      <c r="B857" s="244"/>
      <c r="C857" s="244"/>
      <c r="D857" s="244"/>
      <c r="E857" s="244"/>
      <c r="F857" s="244"/>
      <c r="G857" s="244"/>
      <c r="H857" s="244"/>
      <c r="I857" s="244"/>
      <c r="J857" s="244"/>
      <c r="K857" s="244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</row>
    <row r="858" ht="14.25" customHeight="1">
      <c r="A858" s="244"/>
      <c r="B858" s="244"/>
      <c r="C858" s="244"/>
      <c r="D858" s="244"/>
      <c r="E858" s="244"/>
      <c r="F858" s="244"/>
      <c r="G858" s="244"/>
      <c r="H858" s="244"/>
      <c r="I858" s="244"/>
      <c r="J858" s="244"/>
      <c r="K858" s="244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</row>
    <row r="859" ht="14.25" customHeight="1">
      <c r="A859" s="244"/>
      <c r="B859" s="244"/>
      <c r="C859" s="244"/>
      <c r="D859" s="244"/>
      <c r="E859" s="244"/>
      <c r="F859" s="244"/>
      <c r="G859" s="244"/>
      <c r="H859" s="244"/>
      <c r="I859" s="244"/>
      <c r="J859" s="244"/>
      <c r="K859" s="244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</row>
    <row r="860" ht="14.25" customHeight="1">
      <c r="A860" s="244"/>
      <c r="B860" s="244"/>
      <c r="C860" s="244"/>
      <c r="D860" s="244"/>
      <c r="E860" s="244"/>
      <c r="F860" s="244"/>
      <c r="G860" s="244"/>
      <c r="H860" s="244"/>
      <c r="I860" s="244"/>
      <c r="J860" s="244"/>
      <c r="K860" s="244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</row>
    <row r="861" ht="14.25" customHeight="1">
      <c r="A861" s="244"/>
      <c r="B861" s="244"/>
      <c r="C861" s="244"/>
      <c r="D861" s="244"/>
      <c r="E861" s="244"/>
      <c r="F861" s="244"/>
      <c r="G861" s="244"/>
      <c r="H861" s="244"/>
      <c r="I861" s="244"/>
      <c r="J861" s="244"/>
      <c r="K861" s="244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</row>
    <row r="862" ht="14.25" customHeight="1">
      <c r="A862" s="244"/>
      <c r="B862" s="244"/>
      <c r="C862" s="244"/>
      <c r="D862" s="244"/>
      <c r="E862" s="244"/>
      <c r="F862" s="244"/>
      <c r="G862" s="244"/>
      <c r="H862" s="244"/>
      <c r="I862" s="244"/>
      <c r="J862" s="244"/>
      <c r="K862" s="244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</row>
    <row r="863" ht="14.25" customHeight="1">
      <c r="A863" s="244"/>
      <c r="B863" s="244"/>
      <c r="C863" s="244"/>
      <c r="D863" s="244"/>
      <c r="E863" s="244"/>
      <c r="F863" s="244"/>
      <c r="G863" s="244"/>
      <c r="H863" s="244"/>
      <c r="I863" s="244"/>
      <c r="J863" s="244"/>
      <c r="K863" s="244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</row>
    <row r="864" ht="14.25" customHeight="1">
      <c r="A864" s="244"/>
      <c r="B864" s="244"/>
      <c r="C864" s="244"/>
      <c r="D864" s="244"/>
      <c r="E864" s="244"/>
      <c r="F864" s="244"/>
      <c r="G864" s="244"/>
      <c r="H864" s="244"/>
      <c r="I864" s="244"/>
      <c r="J864" s="244"/>
      <c r="K864" s="244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</row>
    <row r="865" ht="14.25" customHeight="1">
      <c r="A865" s="244"/>
      <c r="B865" s="244"/>
      <c r="C865" s="244"/>
      <c r="D865" s="244"/>
      <c r="E865" s="244"/>
      <c r="F865" s="244"/>
      <c r="G865" s="244"/>
      <c r="H865" s="244"/>
      <c r="I865" s="244"/>
      <c r="J865" s="244"/>
      <c r="K865" s="244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</row>
    <row r="866" ht="14.25" customHeight="1">
      <c r="A866" s="244"/>
      <c r="B866" s="244"/>
      <c r="C866" s="244"/>
      <c r="D866" s="244"/>
      <c r="E866" s="244"/>
      <c r="F866" s="244"/>
      <c r="G866" s="244"/>
      <c r="H866" s="244"/>
      <c r="I866" s="244"/>
      <c r="J866" s="244"/>
      <c r="K866" s="244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</row>
    <row r="867" ht="14.25" customHeight="1">
      <c r="A867" s="244"/>
      <c r="B867" s="244"/>
      <c r="C867" s="244"/>
      <c r="D867" s="244"/>
      <c r="E867" s="244"/>
      <c r="F867" s="244"/>
      <c r="G867" s="244"/>
      <c r="H867" s="244"/>
      <c r="I867" s="244"/>
      <c r="J867" s="244"/>
      <c r="K867" s="244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</row>
    <row r="868" ht="14.25" customHeight="1">
      <c r="A868" s="244"/>
      <c r="B868" s="244"/>
      <c r="C868" s="244"/>
      <c r="D868" s="244"/>
      <c r="E868" s="244"/>
      <c r="F868" s="244"/>
      <c r="G868" s="244"/>
      <c r="H868" s="244"/>
      <c r="I868" s="244"/>
      <c r="J868" s="244"/>
      <c r="K868" s="244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</row>
    <row r="869" ht="14.25" customHeight="1">
      <c r="A869" s="244"/>
      <c r="B869" s="244"/>
      <c r="C869" s="244"/>
      <c r="D869" s="244"/>
      <c r="E869" s="244"/>
      <c r="F869" s="244"/>
      <c r="G869" s="244"/>
      <c r="H869" s="244"/>
      <c r="I869" s="244"/>
      <c r="J869" s="244"/>
      <c r="K869" s="244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</row>
    <row r="870" ht="14.25" customHeight="1">
      <c r="A870" s="244"/>
      <c r="B870" s="244"/>
      <c r="C870" s="244"/>
      <c r="D870" s="244"/>
      <c r="E870" s="244"/>
      <c r="F870" s="244"/>
      <c r="G870" s="244"/>
      <c r="H870" s="244"/>
      <c r="I870" s="244"/>
      <c r="J870" s="244"/>
      <c r="K870" s="244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</row>
    <row r="871" ht="14.25" customHeight="1">
      <c r="A871" s="244"/>
      <c r="B871" s="244"/>
      <c r="C871" s="244"/>
      <c r="D871" s="244"/>
      <c r="E871" s="244"/>
      <c r="F871" s="244"/>
      <c r="G871" s="244"/>
      <c r="H871" s="244"/>
      <c r="I871" s="244"/>
      <c r="J871" s="244"/>
      <c r="K871" s="244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</row>
    <row r="872" ht="14.25" customHeight="1">
      <c r="A872" s="244"/>
      <c r="B872" s="244"/>
      <c r="C872" s="244"/>
      <c r="D872" s="244"/>
      <c r="E872" s="244"/>
      <c r="F872" s="244"/>
      <c r="G872" s="244"/>
      <c r="H872" s="244"/>
      <c r="I872" s="244"/>
      <c r="J872" s="244"/>
      <c r="K872" s="244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</row>
    <row r="873" ht="14.25" customHeight="1">
      <c r="A873" s="244"/>
      <c r="B873" s="244"/>
      <c r="C873" s="244"/>
      <c r="D873" s="244"/>
      <c r="E873" s="244"/>
      <c r="F873" s="244"/>
      <c r="G873" s="244"/>
      <c r="H873" s="244"/>
      <c r="I873" s="244"/>
      <c r="J873" s="244"/>
      <c r="K873" s="244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</row>
    <row r="874" ht="14.25" customHeight="1">
      <c r="A874" s="244"/>
      <c r="B874" s="244"/>
      <c r="C874" s="244"/>
      <c r="D874" s="244"/>
      <c r="E874" s="244"/>
      <c r="F874" s="244"/>
      <c r="G874" s="244"/>
      <c r="H874" s="244"/>
      <c r="I874" s="244"/>
      <c r="J874" s="244"/>
      <c r="K874" s="244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</row>
    <row r="875" ht="14.25" customHeight="1">
      <c r="A875" s="244"/>
      <c r="B875" s="244"/>
      <c r="C875" s="244"/>
      <c r="D875" s="244"/>
      <c r="E875" s="244"/>
      <c r="F875" s="244"/>
      <c r="G875" s="244"/>
      <c r="H875" s="244"/>
      <c r="I875" s="244"/>
      <c r="J875" s="244"/>
      <c r="K875" s="244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</row>
    <row r="876" ht="14.25" customHeight="1">
      <c r="A876" s="244"/>
      <c r="B876" s="244"/>
      <c r="C876" s="244"/>
      <c r="D876" s="244"/>
      <c r="E876" s="244"/>
      <c r="F876" s="244"/>
      <c r="G876" s="244"/>
      <c r="H876" s="244"/>
      <c r="I876" s="244"/>
      <c r="J876" s="244"/>
      <c r="K876" s="244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</row>
    <row r="877" ht="14.25" customHeight="1">
      <c r="A877" s="244"/>
      <c r="B877" s="244"/>
      <c r="C877" s="244"/>
      <c r="D877" s="244"/>
      <c r="E877" s="244"/>
      <c r="F877" s="244"/>
      <c r="G877" s="244"/>
      <c r="H877" s="244"/>
      <c r="I877" s="244"/>
      <c r="J877" s="244"/>
      <c r="K877" s="244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</row>
    <row r="878" ht="14.25" customHeight="1">
      <c r="A878" s="244"/>
      <c r="B878" s="244"/>
      <c r="C878" s="244"/>
      <c r="D878" s="244"/>
      <c r="E878" s="244"/>
      <c r="F878" s="244"/>
      <c r="G878" s="244"/>
      <c r="H878" s="244"/>
      <c r="I878" s="244"/>
      <c r="J878" s="244"/>
      <c r="K878" s="244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</row>
    <row r="879" ht="14.25" customHeight="1">
      <c r="A879" s="244"/>
      <c r="B879" s="244"/>
      <c r="C879" s="244"/>
      <c r="D879" s="244"/>
      <c r="E879" s="244"/>
      <c r="F879" s="244"/>
      <c r="G879" s="244"/>
      <c r="H879" s="244"/>
      <c r="I879" s="244"/>
      <c r="J879" s="244"/>
      <c r="K879" s="244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</row>
    <row r="880" ht="14.25" customHeight="1">
      <c r="A880" s="244"/>
      <c r="B880" s="244"/>
      <c r="C880" s="244"/>
      <c r="D880" s="244"/>
      <c r="E880" s="244"/>
      <c r="F880" s="244"/>
      <c r="G880" s="244"/>
      <c r="H880" s="244"/>
      <c r="I880" s="244"/>
      <c r="J880" s="244"/>
      <c r="K880" s="244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</row>
    <row r="881" ht="14.25" customHeight="1">
      <c r="A881" s="244"/>
      <c r="B881" s="244"/>
      <c r="C881" s="244"/>
      <c r="D881" s="244"/>
      <c r="E881" s="244"/>
      <c r="F881" s="244"/>
      <c r="G881" s="244"/>
      <c r="H881" s="244"/>
      <c r="I881" s="244"/>
      <c r="J881" s="244"/>
      <c r="K881" s="244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</row>
    <row r="882" ht="14.25" customHeight="1">
      <c r="A882" s="244"/>
      <c r="B882" s="244"/>
      <c r="C882" s="244"/>
      <c r="D882" s="244"/>
      <c r="E882" s="244"/>
      <c r="F882" s="244"/>
      <c r="G882" s="244"/>
      <c r="H882" s="244"/>
      <c r="I882" s="244"/>
      <c r="J882" s="244"/>
      <c r="K882" s="244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</row>
    <row r="883" ht="14.25" customHeight="1">
      <c r="A883" s="244"/>
      <c r="B883" s="244"/>
      <c r="C883" s="244"/>
      <c r="D883" s="244"/>
      <c r="E883" s="244"/>
      <c r="F883" s="244"/>
      <c r="G883" s="244"/>
      <c r="H883" s="244"/>
      <c r="I883" s="244"/>
      <c r="J883" s="244"/>
      <c r="K883" s="244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</row>
    <row r="884" ht="14.25" customHeight="1">
      <c r="A884" s="244"/>
      <c r="B884" s="244"/>
      <c r="C884" s="244"/>
      <c r="D884" s="244"/>
      <c r="E884" s="244"/>
      <c r="F884" s="244"/>
      <c r="G884" s="244"/>
      <c r="H884" s="244"/>
      <c r="I884" s="244"/>
      <c r="J884" s="244"/>
      <c r="K884" s="244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</row>
    <row r="885" ht="14.25" customHeight="1">
      <c r="A885" s="244"/>
      <c r="B885" s="244"/>
      <c r="C885" s="244"/>
      <c r="D885" s="244"/>
      <c r="E885" s="244"/>
      <c r="F885" s="244"/>
      <c r="G885" s="244"/>
      <c r="H885" s="244"/>
      <c r="I885" s="244"/>
      <c r="J885" s="244"/>
      <c r="K885" s="244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</row>
    <row r="886" ht="14.25" customHeight="1">
      <c r="A886" s="244"/>
      <c r="B886" s="244"/>
      <c r="C886" s="244"/>
      <c r="D886" s="244"/>
      <c r="E886" s="244"/>
      <c r="F886" s="244"/>
      <c r="G886" s="244"/>
      <c r="H886" s="244"/>
      <c r="I886" s="244"/>
      <c r="J886" s="244"/>
      <c r="K886" s="244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</row>
    <row r="887" ht="14.25" customHeight="1">
      <c r="A887" s="244"/>
      <c r="B887" s="244"/>
      <c r="C887" s="244"/>
      <c r="D887" s="244"/>
      <c r="E887" s="244"/>
      <c r="F887" s="244"/>
      <c r="G887" s="244"/>
      <c r="H887" s="244"/>
      <c r="I887" s="244"/>
      <c r="J887" s="244"/>
      <c r="K887" s="244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</row>
    <row r="888" ht="14.25" customHeight="1">
      <c r="A888" s="244"/>
      <c r="B888" s="244"/>
      <c r="C888" s="244"/>
      <c r="D888" s="244"/>
      <c r="E888" s="244"/>
      <c r="F888" s="244"/>
      <c r="G888" s="244"/>
      <c r="H888" s="244"/>
      <c r="I888" s="244"/>
      <c r="J888" s="244"/>
      <c r="K888" s="244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</row>
    <row r="889" ht="14.25" customHeight="1">
      <c r="A889" s="244"/>
      <c r="B889" s="244"/>
      <c r="C889" s="244"/>
      <c r="D889" s="244"/>
      <c r="E889" s="244"/>
      <c r="F889" s="244"/>
      <c r="G889" s="244"/>
      <c r="H889" s="244"/>
      <c r="I889" s="244"/>
      <c r="J889" s="244"/>
      <c r="K889" s="244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</row>
    <row r="890" ht="14.25" customHeight="1">
      <c r="A890" s="244"/>
      <c r="B890" s="244"/>
      <c r="C890" s="244"/>
      <c r="D890" s="244"/>
      <c r="E890" s="244"/>
      <c r="F890" s="244"/>
      <c r="G890" s="244"/>
      <c r="H890" s="244"/>
      <c r="I890" s="244"/>
      <c r="J890" s="244"/>
      <c r="K890" s="244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</row>
    <row r="891" ht="14.25" customHeight="1">
      <c r="A891" s="244"/>
      <c r="B891" s="244"/>
      <c r="C891" s="244"/>
      <c r="D891" s="244"/>
      <c r="E891" s="244"/>
      <c r="F891" s="244"/>
      <c r="G891" s="244"/>
      <c r="H891" s="244"/>
      <c r="I891" s="244"/>
      <c r="J891" s="244"/>
      <c r="K891" s="244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</row>
    <row r="892" ht="14.25" customHeight="1">
      <c r="A892" s="244"/>
      <c r="B892" s="244"/>
      <c r="C892" s="244"/>
      <c r="D892" s="244"/>
      <c r="E892" s="244"/>
      <c r="F892" s="244"/>
      <c r="G892" s="244"/>
      <c r="H892" s="244"/>
      <c r="I892" s="244"/>
      <c r="J892" s="244"/>
      <c r="K892" s="244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</row>
    <row r="893" ht="14.25" customHeight="1">
      <c r="A893" s="244"/>
      <c r="B893" s="244"/>
      <c r="C893" s="244"/>
      <c r="D893" s="244"/>
      <c r="E893" s="244"/>
      <c r="F893" s="244"/>
      <c r="G893" s="244"/>
      <c r="H893" s="244"/>
      <c r="I893" s="244"/>
      <c r="J893" s="244"/>
      <c r="K893" s="244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</row>
    <row r="894" ht="14.25" customHeight="1">
      <c r="A894" s="244"/>
      <c r="B894" s="244"/>
      <c r="C894" s="244"/>
      <c r="D894" s="244"/>
      <c r="E894" s="244"/>
      <c r="F894" s="244"/>
      <c r="G894" s="244"/>
      <c r="H894" s="244"/>
      <c r="I894" s="244"/>
      <c r="J894" s="244"/>
      <c r="K894" s="244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</row>
    <row r="895" ht="14.25" customHeight="1">
      <c r="A895" s="244"/>
      <c r="B895" s="244"/>
      <c r="C895" s="244"/>
      <c r="D895" s="244"/>
      <c r="E895" s="244"/>
      <c r="F895" s="244"/>
      <c r="G895" s="244"/>
      <c r="H895" s="244"/>
      <c r="I895" s="244"/>
      <c r="J895" s="244"/>
      <c r="K895" s="244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</row>
    <row r="896" ht="14.25" customHeight="1">
      <c r="A896" s="244"/>
      <c r="B896" s="244"/>
      <c r="C896" s="244"/>
      <c r="D896" s="244"/>
      <c r="E896" s="244"/>
      <c r="F896" s="244"/>
      <c r="G896" s="244"/>
      <c r="H896" s="244"/>
      <c r="I896" s="244"/>
      <c r="J896" s="244"/>
      <c r="K896" s="244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</row>
    <row r="897" ht="14.25" customHeight="1">
      <c r="A897" s="244"/>
      <c r="B897" s="244"/>
      <c r="C897" s="244"/>
      <c r="D897" s="244"/>
      <c r="E897" s="244"/>
      <c r="F897" s="244"/>
      <c r="G897" s="244"/>
      <c r="H897" s="244"/>
      <c r="I897" s="244"/>
      <c r="J897" s="244"/>
      <c r="K897" s="244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</row>
    <row r="898" ht="14.25" customHeight="1">
      <c r="A898" s="244"/>
      <c r="B898" s="244"/>
      <c r="C898" s="244"/>
      <c r="D898" s="244"/>
      <c r="E898" s="244"/>
      <c r="F898" s="244"/>
      <c r="G898" s="244"/>
      <c r="H898" s="244"/>
      <c r="I898" s="244"/>
      <c r="J898" s="244"/>
      <c r="K898" s="244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</row>
    <row r="899" ht="14.25" customHeight="1">
      <c r="A899" s="244"/>
      <c r="B899" s="244"/>
      <c r="C899" s="244"/>
      <c r="D899" s="244"/>
      <c r="E899" s="244"/>
      <c r="F899" s="244"/>
      <c r="G899" s="244"/>
      <c r="H899" s="244"/>
      <c r="I899" s="244"/>
      <c r="J899" s="244"/>
      <c r="K899" s="244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</row>
    <row r="900" ht="14.25" customHeight="1">
      <c r="A900" s="244"/>
      <c r="B900" s="244"/>
      <c r="C900" s="244"/>
      <c r="D900" s="244"/>
      <c r="E900" s="244"/>
      <c r="F900" s="244"/>
      <c r="G900" s="244"/>
      <c r="H900" s="244"/>
      <c r="I900" s="244"/>
      <c r="J900" s="244"/>
      <c r="K900" s="244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</row>
    <row r="901" ht="14.25" customHeight="1">
      <c r="A901" s="244"/>
      <c r="B901" s="244"/>
      <c r="C901" s="244"/>
      <c r="D901" s="244"/>
      <c r="E901" s="244"/>
      <c r="F901" s="244"/>
      <c r="G901" s="244"/>
      <c r="H901" s="244"/>
      <c r="I901" s="244"/>
      <c r="J901" s="244"/>
      <c r="K901" s="244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</row>
    <row r="902" ht="14.25" customHeight="1">
      <c r="A902" s="244"/>
      <c r="B902" s="244"/>
      <c r="C902" s="244"/>
      <c r="D902" s="244"/>
      <c r="E902" s="244"/>
      <c r="F902" s="244"/>
      <c r="G902" s="244"/>
      <c r="H902" s="244"/>
      <c r="I902" s="244"/>
      <c r="J902" s="244"/>
      <c r="K902" s="244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</row>
    <row r="903" ht="14.25" customHeight="1">
      <c r="A903" s="244"/>
      <c r="B903" s="244"/>
      <c r="C903" s="244"/>
      <c r="D903" s="244"/>
      <c r="E903" s="244"/>
      <c r="F903" s="244"/>
      <c r="G903" s="244"/>
      <c r="H903" s="244"/>
      <c r="I903" s="244"/>
      <c r="J903" s="244"/>
      <c r="K903" s="244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</row>
    <row r="904" ht="14.25" customHeight="1">
      <c r="A904" s="244"/>
      <c r="B904" s="244"/>
      <c r="C904" s="244"/>
      <c r="D904" s="244"/>
      <c r="E904" s="244"/>
      <c r="F904" s="244"/>
      <c r="G904" s="244"/>
      <c r="H904" s="244"/>
      <c r="I904" s="244"/>
      <c r="J904" s="244"/>
      <c r="K904" s="244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</row>
    <row r="905" ht="14.25" customHeight="1">
      <c r="A905" s="244"/>
      <c r="B905" s="244"/>
      <c r="C905" s="244"/>
      <c r="D905" s="244"/>
      <c r="E905" s="244"/>
      <c r="F905" s="244"/>
      <c r="G905" s="244"/>
      <c r="H905" s="244"/>
      <c r="I905" s="244"/>
      <c r="J905" s="244"/>
      <c r="K905" s="244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</row>
    <row r="906" ht="14.25" customHeight="1">
      <c r="A906" s="244"/>
      <c r="B906" s="244"/>
      <c r="C906" s="244"/>
      <c r="D906" s="244"/>
      <c r="E906" s="244"/>
      <c r="F906" s="244"/>
      <c r="G906" s="244"/>
      <c r="H906" s="244"/>
      <c r="I906" s="244"/>
      <c r="J906" s="244"/>
      <c r="K906" s="244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</row>
    <row r="907" ht="14.25" customHeight="1">
      <c r="A907" s="244"/>
      <c r="B907" s="244"/>
      <c r="C907" s="244"/>
      <c r="D907" s="244"/>
      <c r="E907" s="244"/>
      <c r="F907" s="244"/>
      <c r="G907" s="244"/>
      <c r="H907" s="244"/>
      <c r="I907" s="244"/>
      <c r="J907" s="244"/>
      <c r="K907" s="244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</row>
    <row r="908" ht="14.25" customHeight="1">
      <c r="A908" s="244"/>
      <c r="B908" s="244"/>
      <c r="C908" s="244"/>
      <c r="D908" s="244"/>
      <c r="E908" s="244"/>
      <c r="F908" s="244"/>
      <c r="G908" s="244"/>
      <c r="H908" s="244"/>
      <c r="I908" s="244"/>
      <c r="J908" s="244"/>
      <c r="K908" s="244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</row>
    <row r="909" ht="14.25" customHeight="1">
      <c r="A909" s="244"/>
      <c r="B909" s="244"/>
      <c r="C909" s="244"/>
      <c r="D909" s="244"/>
      <c r="E909" s="244"/>
      <c r="F909" s="244"/>
      <c r="G909" s="244"/>
      <c r="H909" s="244"/>
      <c r="I909" s="244"/>
      <c r="J909" s="244"/>
      <c r="K909" s="244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</row>
    <row r="910" ht="14.25" customHeight="1">
      <c r="A910" s="244"/>
      <c r="B910" s="244"/>
      <c r="C910" s="244"/>
      <c r="D910" s="244"/>
      <c r="E910" s="244"/>
      <c r="F910" s="244"/>
      <c r="G910" s="244"/>
      <c r="H910" s="244"/>
      <c r="I910" s="244"/>
      <c r="J910" s="244"/>
      <c r="K910" s="244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</row>
    <row r="911" ht="14.25" customHeight="1">
      <c r="A911" s="244"/>
      <c r="B911" s="244"/>
      <c r="C911" s="244"/>
      <c r="D911" s="244"/>
      <c r="E911" s="244"/>
      <c r="F911" s="244"/>
      <c r="G911" s="244"/>
      <c r="H911" s="244"/>
      <c r="I911" s="244"/>
      <c r="J911" s="244"/>
      <c r="K911" s="244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</row>
    <row r="912" ht="14.25" customHeight="1">
      <c r="A912" s="244"/>
      <c r="B912" s="244"/>
      <c r="C912" s="244"/>
      <c r="D912" s="244"/>
      <c r="E912" s="244"/>
      <c r="F912" s="244"/>
      <c r="G912" s="244"/>
      <c r="H912" s="244"/>
      <c r="I912" s="244"/>
      <c r="J912" s="244"/>
      <c r="K912" s="244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</row>
    <row r="913" ht="14.25" customHeight="1">
      <c r="A913" s="244"/>
      <c r="B913" s="244"/>
      <c r="C913" s="244"/>
      <c r="D913" s="244"/>
      <c r="E913" s="244"/>
      <c r="F913" s="244"/>
      <c r="G913" s="244"/>
      <c r="H913" s="244"/>
      <c r="I913" s="244"/>
      <c r="J913" s="244"/>
      <c r="K913" s="244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</row>
    <row r="914" ht="14.25" customHeight="1">
      <c r="A914" s="244"/>
      <c r="B914" s="244"/>
      <c r="C914" s="244"/>
      <c r="D914" s="244"/>
      <c r="E914" s="244"/>
      <c r="F914" s="244"/>
      <c r="G914" s="244"/>
      <c r="H914" s="244"/>
      <c r="I914" s="244"/>
      <c r="J914" s="244"/>
      <c r="K914" s="244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</row>
    <row r="915" ht="14.25" customHeight="1">
      <c r="A915" s="244"/>
      <c r="B915" s="244"/>
      <c r="C915" s="244"/>
      <c r="D915" s="244"/>
      <c r="E915" s="244"/>
      <c r="F915" s="244"/>
      <c r="G915" s="244"/>
      <c r="H915" s="244"/>
      <c r="I915" s="244"/>
      <c r="J915" s="244"/>
      <c r="K915" s="244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</row>
    <row r="916" ht="14.25" customHeight="1">
      <c r="A916" s="244"/>
      <c r="B916" s="244"/>
      <c r="C916" s="244"/>
      <c r="D916" s="244"/>
      <c r="E916" s="244"/>
      <c r="F916" s="244"/>
      <c r="G916" s="244"/>
      <c r="H916" s="244"/>
      <c r="I916" s="244"/>
      <c r="J916" s="244"/>
      <c r="K916" s="244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</row>
    <row r="917" ht="14.25" customHeight="1">
      <c r="A917" s="244"/>
      <c r="B917" s="244"/>
      <c r="C917" s="244"/>
      <c r="D917" s="244"/>
      <c r="E917" s="244"/>
      <c r="F917" s="244"/>
      <c r="G917" s="244"/>
      <c r="H917" s="244"/>
      <c r="I917" s="244"/>
      <c r="J917" s="244"/>
      <c r="K917" s="244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</row>
    <row r="918" ht="14.25" customHeight="1">
      <c r="A918" s="244"/>
      <c r="B918" s="244"/>
      <c r="C918" s="244"/>
      <c r="D918" s="244"/>
      <c r="E918" s="244"/>
      <c r="F918" s="244"/>
      <c r="G918" s="244"/>
      <c r="H918" s="244"/>
      <c r="I918" s="244"/>
      <c r="J918" s="244"/>
      <c r="K918" s="244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</row>
    <row r="919" ht="14.25" customHeight="1">
      <c r="A919" s="244"/>
      <c r="B919" s="244"/>
      <c r="C919" s="244"/>
      <c r="D919" s="244"/>
      <c r="E919" s="244"/>
      <c r="F919" s="244"/>
      <c r="G919" s="244"/>
      <c r="H919" s="244"/>
      <c r="I919" s="244"/>
      <c r="J919" s="244"/>
      <c r="K919" s="244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</row>
    <row r="920" ht="14.25" customHeight="1">
      <c r="A920" s="244"/>
      <c r="B920" s="244"/>
      <c r="C920" s="244"/>
      <c r="D920" s="244"/>
      <c r="E920" s="244"/>
      <c r="F920" s="244"/>
      <c r="G920" s="244"/>
      <c r="H920" s="244"/>
      <c r="I920" s="244"/>
      <c r="J920" s="244"/>
      <c r="K920" s="244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</row>
    <row r="921" ht="14.25" customHeight="1">
      <c r="A921" s="244"/>
      <c r="B921" s="244"/>
      <c r="C921" s="244"/>
      <c r="D921" s="244"/>
      <c r="E921" s="244"/>
      <c r="F921" s="244"/>
      <c r="G921" s="244"/>
      <c r="H921" s="244"/>
      <c r="I921" s="244"/>
      <c r="J921" s="244"/>
      <c r="K921" s="244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</row>
    <row r="922" ht="14.25" customHeight="1">
      <c r="A922" s="244"/>
      <c r="B922" s="244"/>
      <c r="C922" s="244"/>
      <c r="D922" s="244"/>
      <c r="E922" s="244"/>
      <c r="F922" s="244"/>
      <c r="G922" s="244"/>
      <c r="H922" s="244"/>
      <c r="I922" s="244"/>
      <c r="J922" s="244"/>
      <c r="K922" s="244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</row>
    <row r="923" ht="14.25" customHeight="1">
      <c r="A923" s="244"/>
      <c r="B923" s="244"/>
      <c r="C923" s="244"/>
      <c r="D923" s="244"/>
      <c r="E923" s="244"/>
      <c r="F923" s="244"/>
      <c r="G923" s="244"/>
      <c r="H923" s="244"/>
      <c r="I923" s="244"/>
      <c r="J923" s="244"/>
      <c r="K923" s="244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</row>
    <row r="924" ht="14.25" customHeight="1">
      <c r="A924" s="244"/>
      <c r="B924" s="244"/>
      <c r="C924" s="244"/>
      <c r="D924" s="244"/>
      <c r="E924" s="244"/>
      <c r="F924" s="244"/>
      <c r="G924" s="244"/>
      <c r="H924" s="244"/>
      <c r="I924" s="244"/>
      <c r="J924" s="244"/>
      <c r="K924" s="244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</row>
    <row r="925" ht="14.25" customHeight="1">
      <c r="A925" s="244"/>
      <c r="B925" s="244"/>
      <c r="C925" s="244"/>
      <c r="D925" s="244"/>
      <c r="E925" s="244"/>
      <c r="F925" s="244"/>
      <c r="G925" s="244"/>
      <c r="H925" s="244"/>
      <c r="I925" s="244"/>
      <c r="J925" s="244"/>
      <c r="K925" s="244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</row>
    <row r="926" ht="14.25" customHeight="1">
      <c r="A926" s="244"/>
      <c r="B926" s="244"/>
      <c r="C926" s="244"/>
      <c r="D926" s="244"/>
      <c r="E926" s="244"/>
      <c r="F926" s="244"/>
      <c r="G926" s="244"/>
      <c r="H926" s="244"/>
      <c r="I926" s="244"/>
      <c r="J926" s="244"/>
      <c r="K926" s="244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</row>
    <row r="927" ht="14.25" customHeight="1">
      <c r="A927" s="244"/>
      <c r="B927" s="244"/>
      <c r="C927" s="244"/>
      <c r="D927" s="244"/>
      <c r="E927" s="244"/>
      <c r="F927" s="244"/>
      <c r="G927" s="244"/>
      <c r="H927" s="244"/>
      <c r="I927" s="244"/>
      <c r="J927" s="244"/>
      <c r="K927" s="244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</row>
    <row r="928" ht="14.25" customHeight="1">
      <c r="A928" s="244"/>
      <c r="B928" s="244"/>
      <c r="C928" s="244"/>
      <c r="D928" s="244"/>
      <c r="E928" s="244"/>
      <c r="F928" s="244"/>
      <c r="G928" s="244"/>
      <c r="H928" s="244"/>
      <c r="I928" s="244"/>
      <c r="J928" s="244"/>
      <c r="K928" s="244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</row>
    <row r="929" ht="14.25" customHeight="1">
      <c r="A929" s="244"/>
      <c r="B929" s="244"/>
      <c r="C929" s="244"/>
      <c r="D929" s="244"/>
      <c r="E929" s="244"/>
      <c r="F929" s="244"/>
      <c r="G929" s="244"/>
      <c r="H929" s="244"/>
      <c r="I929" s="244"/>
      <c r="J929" s="244"/>
      <c r="K929" s="244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</row>
    <row r="930" ht="14.25" customHeight="1">
      <c r="A930" s="244"/>
      <c r="B930" s="244"/>
      <c r="C930" s="244"/>
      <c r="D930" s="244"/>
      <c r="E930" s="244"/>
      <c r="F930" s="244"/>
      <c r="G930" s="244"/>
      <c r="H930" s="244"/>
      <c r="I930" s="244"/>
      <c r="J930" s="244"/>
      <c r="K930" s="244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</row>
    <row r="931" ht="14.25" customHeight="1">
      <c r="A931" s="244"/>
      <c r="B931" s="244"/>
      <c r="C931" s="244"/>
      <c r="D931" s="244"/>
      <c r="E931" s="244"/>
      <c r="F931" s="244"/>
      <c r="G931" s="244"/>
      <c r="H931" s="244"/>
      <c r="I931" s="244"/>
      <c r="J931" s="244"/>
      <c r="K931" s="244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</row>
    <row r="932" ht="14.25" customHeight="1">
      <c r="A932" s="244"/>
      <c r="B932" s="244"/>
      <c r="C932" s="244"/>
      <c r="D932" s="244"/>
      <c r="E932" s="244"/>
      <c r="F932" s="244"/>
      <c r="G932" s="244"/>
      <c r="H932" s="244"/>
      <c r="I932" s="244"/>
      <c r="J932" s="244"/>
      <c r="K932" s="244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</row>
    <row r="933" ht="14.25" customHeight="1">
      <c r="A933" s="244"/>
      <c r="B933" s="244"/>
      <c r="C933" s="244"/>
      <c r="D933" s="244"/>
      <c r="E933" s="244"/>
      <c r="F933" s="244"/>
      <c r="G933" s="244"/>
      <c r="H933" s="244"/>
      <c r="I933" s="244"/>
      <c r="J933" s="244"/>
      <c r="K933" s="244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</row>
    <row r="934" ht="14.25" customHeight="1">
      <c r="A934" s="244"/>
      <c r="B934" s="244"/>
      <c r="C934" s="244"/>
      <c r="D934" s="244"/>
      <c r="E934" s="244"/>
      <c r="F934" s="244"/>
      <c r="G934" s="244"/>
      <c r="H934" s="244"/>
      <c r="I934" s="244"/>
      <c r="J934" s="244"/>
      <c r="K934" s="244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</row>
    <row r="935" ht="14.25" customHeight="1">
      <c r="A935" s="244"/>
      <c r="B935" s="244"/>
      <c r="C935" s="244"/>
      <c r="D935" s="244"/>
      <c r="E935" s="244"/>
      <c r="F935" s="244"/>
      <c r="G935" s="244"/>
      <c r="H935" s="244"/>
      <c r="I935" s="244"/>
      <c r="J935" s="244"/>
      <c r="K935" s="244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</row>
    <row r="936" ht="14.25" customHeight="1">
      <c r="A936" s="244"/>
      <c r="B936" s="244"/>
      <c r="C936" s="244"/>
      <c r="D936" s="244"/>
      <c r="E936" s="244"/>
      <c r="F936" s="244"/>
      <c r="G936" s="244"/>
      <c r="H936" s="244"/>
      <c r="I936" s="244"/>
      <c r="J936" s="244"/>
      <c r="K936" s="244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</row>
    <row r="937" ht="14.25" customHeight="1">
      <c r="A937" s="244"/>
      <c r="B937" s="244"/>
      <c r="C937" s="244"/>
      <c r="D937" s="244"/>
      <c r="E937" s="244"/>
      <c r="F937" s="244"/>
      <c r="G937" s="244"/>
      <c r="H937" s="244"/>
      <c r="I937" s="244"/>
      <c r="J937" s="244"/>
      <c r="K937" s="244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</row>
    <row r="938" ht="14.25" customHeight="1">
      <c r="A938" s="244"/>
      <c r="B938" s="244"/>
      <c r="C938" s="244"/>
      <c r="D938" s="244"/>
      <c r="E938" s="244"/>
      <c r="F938" s="244"/>
      <c r="G938" s="244"/>
      <c r="H938" s="244"/>
      <c r="I938" s="244"/>
      <c r="J938" s="244"/>
      <c r="K938" s="244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</row>
    <row r="939" ht="14.25" customHeight="1">
      <c r="A939" s="244"/>
      <c r="B939" s="244"/>
      <c r="C939" s="244"/>
      <c r="D939" s="244"/>
      <c r="E939" s="244"/>
      <c r="F939" s="244"/>
      <c r="G939" s="244"/>
      <c r="H939" s="244"/>
      <c r="I939" s="244"/>
      <c r="J939" s="244"/>
      <c r="K939" s="244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</row>
    <row r="940" ht="14.25" customHeight="1">
      <c r="A940" s="244"/>
      <c r="B940" s="244"/>
      <c r="C940" s="244"/>
      <c r="D940" s="244"/>
      <c r="E940" s="244"/>
      <c r="F940" s="244"/>
      <c r="G940" s="244"/>
      <c r="H940" s="244"/>
      <c r="I940" s="244"/>
      <c r="J940" s="244"/>
      <c r="K940" s="244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</row>
    <row r="941" ht="14.25" customHeight="1">
      <c r="A941" s="244"/>
      <c r="B941" s="244"/>
      <c r="C941" s="244"/>
      <c r="D941" s="244"/>
      <c r="E941" s="244"/>
      <c r="F941" s="244"/>
      <c r="G941" s="244"/>
      <c r="H941" s="244"/>
      <c r="I941" s="244"/>
      <c r="J941" s="244"/>
      <c r="K941" s="244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</row>
    <row r="942" ht="14.25" customHeight="1">
      <c r="A942" s="244"/>
      <c r="B942" s="244"/>
      <c r="C942" s="244"/>
      <c r="D942" s="244"/>
      <c r="E942" s="244"/>
      <c r="F942" s="244"/>
      <c r="G942" s="244"/>
      <c r="H942" s="244"/>
      <c r="I942" s="244"/>
      <c r="J942" s="244"/>
      <c r="K942" s="244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</row>
    <row r="943" ht="14.25" customHeight="1">
      <c r="A943" s="244"/>
      <c r="B943" s="244"/>
      <c r="C943" s="244"/>
      <c r="D943" s="244"/>
      <c r="E943" s="244"/>
      <c r="F943" s="244"/>
      <c r="G943" s="244"/>
      <c r="H943" s="244"/>
      <c r="I943" s="244"/>
      <c r="J943" s="244"/>
      <c r="K943" s="244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</row>
    <row r="944" ht="14.25" customHeight="1">
      <c r="A944" s="244"/>
      <c r="B944" s="244"/>
      <c r="C944" s="244"/>
      <c r="D944" s="244"/>
      <c r="E944" s="244"/>
      <c r="F944" s="244"/>
      <c r="G944" s="244"/>
      <c r="H944" s="244"/>
      <c r="I944" s="244"/>
      <c r="J944" s="244"/>
      <c r="K944" s="244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</row>
    <row r="945" ht="14.25" customHeight="1">
      <c r="A945" s="244"/>
      <c r="B945" s="244"/>
      <c r="C945" s="244"/>
      <c r="D945" s="244"/>
      <c r="E945" s="244"/>
      <c r="F945" s="244"/>
      <c r="G945" s="244"/>
      <c r="H945" s="244"/>
      <c r="I945" s="244"/>
      <c r="J945" s="244"/>
      <c r="K945" s="244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</row>
    <row r="946" ht="14.25" customHeight="1">
      <c r="A946" s="244"/>
      <c r="B946" s="244"/>
      <c r="C946" s="244"/>
      <c r="D946" s="244"/>
      <c r="E946" s="244"/>
      <c r="F946" s="244"/>
      <c r="G946" s="244"/>
      <c r="H946" s="244"/>
      <c r="I946" s="244"/>
      <c r="J946" s="244"/>
      <c r="K946" s="244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</row>
    <row r="947" ht="14.25" customHeight="1">
      <c r="A947" s="244"/>
      <c r="B947" s="244"/>
      <c r="C947" s="244"/>
      <c r="D947" s="244"/>
      <c r="E947" s="244"/>
      <c r="F947" s="244"/>
      <c r="G947" s="244"/>
      <c r="H947" s="244"/>
      <c r="I947" s="244"/>
      <c r="J947" s="244"/>
      <c r="K947" s="244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</row>
    <row r="948" ht="14.25" customHeight="1">
      <c r="A948" s="244"/>
      <c r="B948" s="244"/>
      <c r="C948" s="244"/>
      <c r="D948" s="244"/>
      <c r="E948" s="244"/>
      <c r="F948" s="244"/>
      <c r="G948" s="244"/>
      <c r="H948" s="244"/>
      <c r="I948" s="244"/>
      <c r="J948" s="244"/>
      <c r="K948" s="244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</row>
    <row r="949" ht="14.25" customHeight="1">
      <c r="A949" s="244"/>
      <c r="B949" s="244"/>
      <c r="C949" s="244"/>
      <c r="D949" s="244"/>
      <c r="E949" s="244"/>
      <c r="F949" s="244"/>
      <c r="G949" s="244"/>
      <c r="H949" s="244"/>
      <c r="I949" s="244"/>
      <c r="J949" s="244"/>
      <c r="K949" s="244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</row>
    <row r="950" ht="14.25" customHeight="1">
      <c r="A950" s="244"/>
      <c r="B950" s="244"/>
      <c r="C950" s="244"/>
      <c r="D950" s="244"/>
      <c r="E950" s="244"/>
      <c r="F950" s="244"/>
      <c r="G950" s="244"/>
      <c r="H950" s="244"/>
      <c r="I950" s="244"/>
      <c r="J950" s="244"/>
      <c r="K950" s="244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</row>
    <row r="951" ht="14.25" customHeight="1">
      <c r="A951" s="244"/>
      <c r="B951" s="244"/>
      <c r="C951" s="244"/>
      <c r="D951" s="244"/>
      <c r="E951" s="244"/>
      <c r="F951" s="244"/>
      <c r="G951" s="244"/>
      <c r="H951" s="244"/>
      <c r="I951" s="244"/>
      <c r="J951" s="244"/>
      <c r="K951" s="244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</row>
    <row r="952" ht="14.25" customHeight="1">
      <c r="A952" s="244"/>
      <c r="B952" s="244"/>
      <c r="C952" s="244"/>
      <c r="D952" s="244"/>
      <c r="E952" s="244"/>
      <c r="F952" s="244"/>
      <c r="G952" s="244"/>
      <c r="H952" s="244"/>
      <c r="I952" s="244"/>
      <c r="J952" s="244"/>
      <c r="K952" s="244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</row>
    <row r="953" ht="14.25" customHeight="1">
      <c r="A953" s="244"/>
      <c r="B953" s="244"/>
      <c r="C953" s="244"/>
      <c r="D953" s="244"/>
      <c r="E953" s="244"/>
      <c r="F953" s="244"/>
      <c r="G953" s="244"/>
      <c r="H953" s="244"/>
      <c r="I953" s="244"/>
      <c r="J953" s="244"/>
      <c r="K953" s="244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</row>
    <row r="954" ht="14.25" customHeight="1">
      <c r="A954" s="244"/>
      <c r="B954" s="244"/>
      <c r="C954" s="244"/>
      <c r="D954" s="244"/>
      <c r="E954" s="244"/>
      <c r="F954" s="244"/>
      <c r="G954" s="244"/>
      <c r="H954" s="244"/>
      <c r="I954" s="244"/>
      <c r="J954" s="244"/>
      <c r="K954" s="244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</row>
    <row r="955" ht="14.25" customHeight="1">
      <c r="A955" s="244"/>
      <c r="B955" s="244"/>
      <c r="C955" s="244"/>
      <c r="D955" s="244"/>
      <c r="E955" s="244"/>
      <c r="F955" s="244"/>
      <c r="G955" s="244"/>
      <c r="H955" s="244"/>
      <c r="I955" s="244"/>
      <c r="J955" s="244"/>
      <c r="K955" s="244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</row>
    <row r="956" ht="14.25" customHeight="1">
      <c r="A956" s="244"/>
      <c r="B956" s="244"/>
      <c r="C956" s="244"/>
      <c r="D956" s="244"/>
      <c r="E956" s="244"/>
      <c r="F956" s="244"/>
      <c r="G956" s="244"/>
      <c r="H956" s="244"/>
      <c r="I956" s="244"/>
      <c r="J956" s="244"/>
      <c r="K956" s="244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</row>
    <row r="957" ht="14.25" customHeight="1">
      <c r="A957" s="244"/>
      <c r="B957" s="244"/>
      <c r="C957" s="244"/>
      <c r="D957" s="244"/>
      <c r="E957" s="244"/>
      <c r="F957" s="244"/>
      <c r="G957" s="244"/>
      <c r="H957" s="244"/>
      <c r="I957" s="244"/>
      <c r="J957" s="244"/>
      <c r="K957" s="244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</row>
    <row r="958" ht="14.25" customHeight="1">
      <c r="A958" s="244"/>
      <c r="B958" s="244"/>
      <c r="C958" s="244"/>
      <c r="D958" s="244"/>
      <c r="E958" s="244"/>
      <c r="F958" s="244"/>
      <c r="G958" s="244"/>
      <c r="H958" s="244"/>
      <c r="I958" s="244"/>
      <c r="J958" s="244"/>
      <c r="K958" s="244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</row>
    <row r="959" ht="14.25" customHeight="1">
      <c r="A959" s="244"/>
      <c r="B959" s="244"/>
      <c r="C959" s="244"/>
      <c r="D959" s="244"/>
      <c r="E959" s="244"/>
      <c r="F959" s="244"/>
      <c r="G959" s="244"/>
      <c r="H959" s="244"/>
      <c r="I959" s="244"/>
      <c r="J959" s="244"/>
      <c r="K959" s="244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</row>
    <row r="960" ht="14.25" customHeight="1">
      <c r="A960" s="244"/>
      <c r="B960" s="244"/>
      <c r="C960" s="244"/>
      <c r="D960" s="244"/>
      <c r="E960" s="244"/>
      <c r="F960" s="244"/>
      <c r="G960" s="244"/>
      <c r="H960" s="244"/>
      <c r="I960" s="244"/>
      <c r="J960" s="244"/>
      <c r="K960" s="244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</row>
    <row r="961" ht="14.25" customHeight="1">
      <c r="A961" s="244"/>
      <c r="B961" s="244"/>
      <c r="C961" s="244"/>
      <c r="D961" s="244"/>
      <c r="E961" s="244"/>
      <c r="F961" s="244"/>
      <c r="G961" s="244"/>
      <c r="H961" s="244"/>
      <c r="I961" s="244"/>
      <c r="J961" s="244"/>
      <c r="K961" s="244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</row>
    <row r="962" ht="14.25" customHeight="1">
      <c r="A962" s="244"/>
      <c r="B962" s="244"/>
      <c r="C962" s="244"/>
      <c r="D962" s="244"/>
      <c r="E962" s="244"/>
      <c r="F962" s="244"/>
      <c r="G962" s="244"/>
      <c r="H962" s="244"/>
      <c r="I962" s="244"/>
      <c r="J962" s="244"/>
      <c r="K962" s="244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</row>
    <row r="963" ht="14.25" customHeight="1">
      <c r="A963" s="244"/>
      <c r="B963" s="244"/>
      <c r="C963" s="244"/>
      <c r="D963" s="244"/>
      <c r="E963" s="244"/>
      <c r="F963" s="244"/>
      <c r="G963" s="244"/>
      <c r="H963" s="244"/>
      <c r="I963" s="244"/>
      <c r="J963" s="244"/>
      <c r="K963" s="244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</row>
    <row r="964" ht="14.25" customHeight="1">
      <c r="A964" s="244"/>
      <c r="B964" s="244"/>
      <c r="C964" s="244"/>
      <c r="D964" s="244"/>
      <c r="E964" s="244"/>
      <c r="F964" s="244"/>
      <c r="G964" s="244"/>
      <c r="H964" s="244"/>
      <c r="I964" s="244"/>
      <c r="J964" s="244"/>
      <c r="K964" s="244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</row>
    <row r="965" ht="14.25" customHeight="1">
      <c r="A965" s="244"/>
      <c r="B965" s="244"/>
      <c r="C965" s="244"/>
      <c r="D965" s="244"/>
      <c r="E965" s="244"/>
      <c r="F965" s="244"/>
      <c r="G965" s="244"/>
      <c r="H965" s="244"/>
      <c r="I965" s="244"/>
      <c r="J965" s="244"/>
      <c r="K965" s="244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</row>
    <row r="966" ht="14.25" customHeight="1">
      <c r="A966" s="244"/>
      <c r="B966" s="244"/>
      <c r="C966" s="244"/>
      <c r="D966" s="244"/>
      <c r="E966" s="244"/>
      <c r="F966" s="244"/>
      <c r="G966" s="244"/>
      <c r="H966" s="244"/>
      <c r="I966" s="244"/>
      <c r="J966" s="244"/>
      <c r="K966" s="244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</row>
    <row r="967" ht="14.25" customHeight="1">
      <c r="A967" s="244"/>
      <c r="B967" s="244"/>
      <c r="C967" s="244"/>
      <c r="D967" s="244"/>
      <c r="E967" s="244"/>
      <c r="F967" s="244"/>
      <c r="G967" s="244"/>
      <c r="H967" s="244"/>
      <c r="I967" s="244"/>
      <c r="J967" s="244"/>
      <c r="K967" s="244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</row>
    <row r="968" ht="14.25" customHeight="1">
      <c r="A968" s="244"/>
      <c r="B968" s="244"/>
      <c r="C968" s="244"/>
      <c r="D968" s="244"/>
      <c r="E968" s="244"/>
      <c r="F968" s="244"/>
      <c r="G968" s="244"/>
      <c r="H968" s="244"/>
      <c r="I968" s="244"/>
      <c r="J968" s="244"/>
      <c r="K968" s="244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</row>
    <row r="969" ht="14.25" customHeight="1">
      <c r="A969" s="244"/>
      <c r="B969" s="244"/>
      <c r="C969" s="244"/>
      <c r="D969" s="244"/>
      <c r="E969" s="244"/>
      <c r="F969" s="244"/>
      <c r="G969" s="244"/>
      <c r="H969" s="244"/>
      <c r="I969" s="244"/>
      <c r="J969" s="244"/>
      <c r="K969" s="244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</row>
    <row r="970" ht="14.25" customHeight="1">
      <c r="A970" s="244"/>
      <c r="B970" s="244"/>
      <c r="C970" s="244"/>
      <c r="D970" s="244"/>
      <c r="E970" s="244"/>
      <c r="F970" s="244"/>
      <c r="G970" s="244"/>
      <c r="H970" s="244"/>
      <c r="I970" s="244"/>
      <c r="J970" s="244"/>
      <c r="K970" s="244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</row>
    <row r="971" ht="14.25" customHeight="1">
      <c r="A971" s="244"/>
      <c r="B971" s="244"/>
      <c r="C971" s="244"/>
      <c r="D971" s="244"/>
      <c r="E971" s="244"/>
      <c r="F971" s="244"/>
      <c r="G971" s="244"/>
      <c r="H971" s="244"/>
      <c r="I971" s="244"/>
      <c r="J971" s="244"/>
      <c r="K971" s="244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</row>
    <row r="972" ht="14.25" customHeight="1">
      <c r="A972" s="244"/>
      <c r="B972" s="244"/>
      <c r="C972" s="244"/>
      <c r="D972" s="244"/>
      <c r="E972" s="244"/>
      <c r="F972" s="244"/>
      <c r="G972" s="244"/>
      <c r="H972" s="244"/>
      <c r="I972" s="244"/>
      <c r="J972" s="244"/>
      <c r="K972" s="244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</row>
    <row r="973" ht="14.25" customHeight="1">
      <c r="A973" s="244"/>
      <c r="B973" s="244"/>
      <c r="C973" s="244"/>
      <c r="D973" s="244"/>
      <c r="E973" s="244"/>
      <c r="F973" s="244"/>
      <c r="G973" s="244"/>
      <c r="H973" s="244"/>
      <c r="I973" s="244"/>
      <c r="J973" s="244"/>
      <c r="K973" s="244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</row>
    <row r="974" ht="14.25" customHeight="1">
      <c r="A974" s="244"/>
      <c r="B974" s="244"/>
      <c r="C974" s="244"/>
      <c r="D974" s="244"/>
      <c r="E974" s="244"/>
      <c r="F974" s="244"/>
      <c r="G974" s="244"/>
      <c r="H974" s="244"/>
      <c r="I974" s="244"/>
      <c r="J974" s="244"/>
      <c r="K974" s="244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</row>
    <row r="975" ht="14.25" customHeight="1">
      <c r="A975" s="244"/>
      <c r="B975" s="244"/>
      <c r="C975" s="244"/>
      <c r="D975" s="244"/>
      <c r="E975" s="244"/>
      <c r="F975" s="244"/>
      <c r="G975" s="244"/>
      <c r="H975" s="244"/>
      <c r="I975" s="244"/>
      <c r="J975" s="244"/>
      <c r="K975" s="244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</row>
    <row r="976" ht="14.25" customHeight="1">
      <c r="A976" s="244"/>
      <c r="B976" s="244"/>
      <c r="C976" s="244"/>
      <c r="D976" s="244"/>
      <c r="E976" s="244"/>
      <c r="F976" s="244"/>
      <c r="G976" s="244"/>
      <c r="H976" s="244"/>
      <c r="I976" s="244"/>
      <c r="J976" s="244"/>
      <c r="K976" s="244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</row>
    <row r="977" ht="14.25" customHeight="1">
      <c r="A977" s="244"/>
      <c r="B977" s="244"/>
      <c r="C977" s="244"/>
      <c r="D977" s="244"/>
      <c r="E977" s="244"/>
      <c r="F977" s="244"/>
      <c r="G977" s="244"/>
      <c r="H977" s="244"/>
      <c r="I977" s="244"/>
      <c r="J977" s="244"/>
      <c r="K977" s="244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</row>
    <row r="978" ht="14.25" customHeight="1">
      <c r="A978" s="244"/>
      <c r="B978" s="244"/>
      <c r="C978" s="244"/>
      <c r="D978" s="244"/>
      <c r="E978" s="244"/>
      <c r="F978" s="244"/>
      <c r="G978" s="244"/>
      <c r="H978" s="244"/>
      <c r="I978" s="244"/>
      <c r="J978" s="244"/>
      <c r="K978" s="244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</row>
    <row r="979" ht="14.25" customHeight="1">
      <c r="A979" s="244"/>
      <c r="B979" s="244"/>
      <c r="C979" s="244"/>
      <c r="D979" s="244"/>
      <c r="E979" s="244"/>
      <c r="F979" s="244"/>
      <c r="G979" s="244"/>
      <c r="H979" s="244"/>
      <c r="I979" s="244"/>
      <c r="J979" s="244"/>
      <c r="K979" s="244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</row>
    <row r="980" ht="14.25" customHeight="1">
      <c r="A980" s="244"/>
      <c r="B980" s="244"/>
      <c r="C980" s="244"/>
      <c r="D980" s="244"/>
      <c r="E980" s="244"/>
      <c r="F980" s="244"/>
      <c r="G980" s="244"/>
      <c r="H980" s="244"/>
      <c r="I980" s="244"/>
      <c r="J980" s="244"/>
      <c r="K980" s="244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</row>
    <row r="981" ht="14.25" customHeight="1">
      <c r="A981" s="244"/>
      <c r="B981" s="244"/>
      <c r="C981" s="244"/>
      <c r="D981" s="244"/>
      <c r="E981" s="244"/>
      <c r="F981" s="244"/>
      <c r="G981" s="244"/>
      <c r="H981" s="244"/>
      <c r="I981" s="244"/>
      <c r="J981" s="244"/>
      <c r="K981" s="244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</row>
    <row r="982" ht="14.25" customHeight="1">
      <c r="A982" s="244"/>
      <c r="B982" s="244"/>
      <c r="C982" s="244"/>
      <c r="D982" s="244"/>
      <c r="E982" s="244"/>
      <c r="F982" s="244"/>
      <c r="G982" s="244"/>
      <c r="H982" s="244"/>
      <c r="I982" s="244"/>
      <c r="J982" s="244"/>
      <c r="K982" s="244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</row>
    <row r="983" ht="14.25" customHeight="1">
      <c r="A983" s="244"/>
      <c r="B983" s="244"/>
      <c r="C983" s="244"/>
      <c r="D983" s="244"/>
      <c r="E983" s="244"/>
      <c r="F983" s="244"/>
      <c r="G983" s="244"/>
      <c r="H983" s="244"/>
      <c r="I983" s="244"/>
      <c r="J983" s="244"/>
      <c r="K983" s="244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  <c r="AA983" s="245"/>
    </row>
    <row r="984" ht="14.25" customHeight="1">
      <c r="A984" s="244"/>
      <c r="B984" s="244"/>
      <c r="C984" s="244"/>
      <c r="D984" s="244"/>
      <c r="E984" s="244"/>
      <c r="F984" s="244"/>
      <c r="G984" s="244"/>
      <c r="H984" s="244"/>
      <c r="I984" s="244"/>
      <c r="J984" s="244"/>
      <c r="K984" s="244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  <c r="AA984" s="245"/>
    </row>
    <row r="985" ht="14.25" customHeight="1">
      <c r="A985" s="244"/>
      <c r="B985" s="244"/>
      <c r="C985" s="244"/>
      <c r="D985" s="244"/>
      <c r="E985" s="244"/>
      <c r="F985" s="244"/>
      <c r="G985" s="244"/>
      <c r="H985" s="244"/>
      <c r="I985" s="244"/>
      <c r="J985" s="244"/>
      <c r="K985" s="244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  <c r="AA985" s="245"/>
    </row>
    <row r="986" ht="14.25" customHeight="1">
      <c r="A986" s="244"/>
      <c r="B986" s="244"/>
      <c r="C986" s="244"/>
      <c r="D986" s="244"/>
      <c r="E986" s="244"/>
      <c r="F986" s="244"/>
      <c r="G986" s="244"/>
      <c r="H986" s="244"/>
      <c r="I986" s="244"/>
      <c r="J986" s="244"/>
      <c r="K986" s="244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  <c r="AA986" s="245"/>
    </row>
    <row r="987" ht="14.25" customHeight="1">
      <c r="A987" s="244"/>
      <c r="B987" s="244"/>
      <c r="C987" s="244"/>
      <c r="D987" s="244"/>
      <c r="E987" s="244"/>
      <c r="F987" s="244"/>
      <c r="G987" s="244"/>
      <c r="H987" s="244"/>
      <c r="I987" s="244"/>
      <c r="J987" s="244"/>
      <c r="K987" s="244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  <c r="AA987" s="245"/>
    </row>
    <row r="988" ht="14.25" customHeight="1">
      <c r="A988" s="244"/>
      <c r="B988" s="244"/>
      <c r="C988" s="244"/>
      <c r="D988" s="244"/>
      <c r="E988" s="244"/>
      <c r="F988" s="244"/>
      <c r="G988" s="244"/>
      <c r="H988" s="244"/>
      <c r="I988" s="244"/>
      <c r="J988" s="244"/>
      <c r="K988" s="244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  <c r="AA988" s="245"/>
    </row>
    <row r="989" ht="14.25" customHeight="1">
      <c r="A989" s="244"/>
      <c r="B989" s="244"/>
      <c r="C989" s="244"/>
      <c r="D989" s="244"/>
      <c r="E989" s="244"/>
      <c r="F989" s="244"/>
      <c r="G989" s="244"/>
      <c r="H989" s="244"/>
      <c r="I989" s="244"/>
      <c r="J989" s="244"/>
      <c r="K989" s="244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  <c r="AA989" s="245"/>
    </row>
    <row r="990" ht="14.25" customHeight="1">
      <c r="A990" s="244"/>
      <c r="B990" s="244"/>
      <c r="C990" s="244"/>
      <c r="D990" s="244"/>
      <c r="E990" s="244"/>
      <c r="F990" s="244"/>
      <c r="G990" s="244"/>
      <c r="H990" s="244"/>
      <c r="I990" s="244"/>
      <c r="J990" s="244"/>
      <c r="K990" s="244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  <c r="AA990" s="245"/>
    </row>
    <row r="991" ht="14.25" customHeight="1">
      <c r="A991" s="244"/>
      <c r="B991" s="244"/>
      <c r="C991" s="244"/>
      <c r="D991" s="244"/>
      <c r="E991" s="244"/>
      <c r="F991" s="244"/>
      <c r="G991" s="244"/>
      <c r="H991" s="244"/>
      <c r="I991" s="244"/>
      <c r="J991" s="244"/>
      <c r="K991" s="244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  <c r="AA991" s="245"/>
    </row>
    <row r="992" ht="14.25" customHeight="1">
      <c r="A992" s="244"/>
      <c r="B992" s="244"/>
      <c r="C992" s="244"/>
      <c r="D992" s="244"/>
      <c r="E992" s="244"/>
      <c r="F992" s="244"/>
      <c r="G992" s="244"/>
      <c r="H992" s="244"/>
      <c r="I992" s="244"/>
      <c r="J992" s="244"/>
      <c r="K992" s="244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  <c r="AA992" s="245"/>
    </row>
    <row r="993" ht="14.25" customHeight="1">
      <c r="A993" s="244"/>
      <c r="B993" s="244"/>
      <c r="C993" s="244"/>
      <c r="D993" s="244"/>
      <c r="E993" s="244"/>
      <c r="F993" s="244"/>
      <c r="G993" s="244"/>
      <c r="H993" s="244"/>
      <c r="I993" s="244"/>
      <c r="J993" s="244"/>
      <c r="K993" s="244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  <c r="AA993" s="245"/>
    </row>
    <row r="994" ht="14.25" customHeight="1">
      <c r="A994" s="244"/>
      <c r="B994" s="244"/>
      <c r="C994" s="244"/>
      <c r="D994" s="244"/>
      <c r="E994" s="244"/>
      <c r="F994" s="244"/>
      <c r="G994" s="244"/>
      <c r="H994" s="244"/>
      <c r="I994" s="244"/>
      <c r="J994" s="244"/>
      <c r="K994" s="244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  <c r="AA994" s="245"/>
    </row>
    <row r="995" ht="14.25" customHeight="1">
      <c r="A995" s="244"/>
      <c r="B995" s="244"/>
      <c r="C995" s="244"/>
      <c r="D995" s="244"/>
      <c r="E995" s="244"/>
      <c r="F995" s="244"/>
      <c r="G995" s="244"/>
      <c r="H995" s="244"/>
      <c r="I995" s="244"/>
      <c r="J995" s="244"/>
      <c r="K995" s="244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  <c r="AA995" s="245"/>
    </row>
    <row r="996" ht="14.25" customHeight="1">
      <c r="A996" s="244"/>
      <c r="B996" s="244"/>
      <c r="C996" s="244"/>
      <c r="D996" s="244"/>
      <c r="E996" s="244"/>
      <c r="F996" s="244"/>
      <c r="G996" s="244"/>
      <c r="H996" s="244"/>
      <c r="I996" s="244"/>
      <c r="J996" s="244"/>
      <c r="K996" s="244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  <c r="AA996" s="245"/>
    </row>
    <row r="997" ht="14.25" customHeight="1">
      <c r="A997" s="244"/>
      <c r="B997" s="244"/>
      <c r="C997" s="244"/>
      <c r="D997" s="244"/>
      <c r="E997" s="244"/>
      <c r="F997" s="244"/>
      <c r="G997" s="244"/>
      <c r="H997" s="244"/>
      <c r="I997" s="244"/>
      <c r="J997" s="244"/>
      <c r="K997" s="244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  <c r="AA997" s="245"/>
    </row>
    <row r="998" ht="14.25" customHeight="1">
      <c r="A998" s="244"/>
      <c r="B998" s="244"/>
      <c r="C998" s="244"/>
      <c r="D998" s="244"/>
      <c r="E998" s="244"/>
      <c r="F998" s="244"/>
      <c r="G998" s="244"/>
      <c r="H998" s="244"/>
      <c r="I998" s="244"/>
      <c r="J998" s="244"/>
      <c r="K998" s="244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  <c r="AA998" s="245"/>
    </row>
    <row r="999" ht="14.25" customHeight="1">
      <c r="A999" s="244"/>
      <c r="B999" s="244"/>
      <c r="C999" s="244"/>
      <c r="D999" s="244"/>
      <c r="E999" s="244"/>
      <c r="F999" s="244"/>
      <c r="G999" s="244"/>
      <c r="H999" s="244"/>
      <c r="I999" s="244"/>
      <c r="J999" s="244"/>
      <c r="K999" s="244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  <c r="AA999" s="245"/>
    </row>
    <row r="1000" ht="14.25" customHeight="1">
      <c r="A1000" s="244"/>
      <c r="B1000" s="244"/>
      <c r="C1000" s="244"/>
      <c r="D1000" s="244"/>
      <c r="E1000" s="244"/>
      <c r="F1000" s="244"/>
      <c r="G1000" s="244"/>
      <c r="H1000" s="244"/>
      <c r="I1000" s="244"/>
      <c r="J1000" s="244"/>
      <c r="K1000" s="244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  <c r="AA1000" s="245"/>
    </row>
    <row r="1001" ht="14.25" customHeight="1">
      <c r="A1001" s="244"/>
      <c r="B1001" s="244"/>
      <c r="C1001" s="244"/>
      <c r="D1001" s="244"/>
      <c r="E1001" s="244"/>
      <c r="F1001" s="244"/>
      <c r="G1001" s="244"/>
      <c r="H1001" s="244"/>
      <c r="I1001" s="244"/>
      <c r="J1001" s="244"/>
      <c r="K1001" s="244"/>
      <c r="L1001" s="245"/>
      <c r="M1001" s="245"/>
      <c r="N1001" s="245"/>
      <c r="O1001" s="245"/>
      <c r="P1001" s="245"/>
      <c r="Q1001" s="245"/>
      <c r="R1001" s="245"/>
      <c r="S1001" s="245"/>
      <c r="T1001" s="245"/>
      <c r="U1001" s="245"/>
      <c r="V1001" s="245"/>
      <c r="W1001" s="245"/>
      <c r="X1001" s="245"/>
      <c r="Y1001" s="245"/>
      <c r="Z1001" s="245"/>
      <c r="AA1001" s="245"/>
    </row>
    <row r="1002" ht="14.25" customHeight="1">
      <c r="A1002" s="244"/>
      <c r="B1002" s="244"/>
      <c r="C1002" s="244"/>
      <c r="D1002" s="244"/>
      <c r="E1002" s="244"/>
      <c r="F1002" s="244"/>
      <c r="G1002" s="244"/>
      <c r="H1002" s="244"/>
      <c r="I1002" s="244"/>
      <c r="J1002" s="244"/>
      <c r="K1002" s="244"/>
      <c r="L1002" s="245"/>
      <c r="M1002" s="245"/>
      <c r="N1002" s="245"/>
      <c r="O1002" s="245"/>
      <c r="P1002" s="245"/>
      <c r="Q1002" s="245"/>
      <c r="R1002" s="245"/>
      <c r="S1002" s="245"/>
      <c r="T1002" s="245"/>
      <c r="U1002" s="245"/>
      <c r="V1002" s="245"/>
      <c r="W1002" s="245"/>
      <c r="X1002" s="245"/>
      <c r="Y1002" s="245"/>
      <c r="Z1002" s="245"/>
      <c r="AA1002" s="245"/>
    </row>
    <row r="1003" ht="14.25" customHeight="1">
      <c r="A1003" s="244"/>
      <c r="B1003" s="244"/>
      <c r="C1003" s="244"/>
      <c r="D1003" s="244"/>
      <c r="E1003" s="244"/>
      <c r="F1003" s="244"/>
      <c r="G1003" s="244"/>
      <c r="H1003" s="244"/>
      <c r="I1003" s="244"/>
      <c r="J1003" s="244"/>
      <c r="K1003" s="244"/>
      <c r="L1003" s="245"/>
      <c r="M1003" s="245"/>
      <c r="N1003" s="245"/>
      <c r="O1003" s="245"/>
      <c r="P1003" s="245"/>
      <c r="Q1003" s="245"/>
      <c r="R1003" s="245"/>
      <c r="S1003" s="245"/>
      <c r="T1003" s="245"/>
      <c r="U1003" s="245"/>
      <c r="V1003" s="245"/>
      <c r="W1003" s="245"/>
      <c r="X1003" s="245"/>
      <c r="Y1003" s="245"/>
      <c r="Z1003" s="245"/>
      <c r="AA1003" s="245"/>
    </row>
    <row r="1004" ht="14.25" customHeight="1">
      <c r="A1004" s="244"/>
      <c r="B1004" s="244"/>
      <c r="C1004" s="244"/>
      <c r="D1004" s="244"/>
      <c r="E1004" s="244"/>
      <c r="F1004" s="244"/>
      <c r="G1004" s="244"/>
      <c r="H1004" s="244"/>
      <c r="I1004" s="244"/>
      <c r="J1004" s="244"/>
      <c r="K1004" s="244"/>
      <c r="L1004" s="245"/>
      <c r="M1004" s="245"/>
      <c r="N1004" s="245"/>
      <c r="O1004" s="245"/>
      <c r="P1004" s="245"/>
      <c r="Q1004" s="245"/>
      <c r="R1004" s="245"/>
      <c r="S1004" s="245"/>
      <c r="T1004" s="245"/>
      <c r="U1004" s="245"/>
      <c r="V1004" s="245"/>
      <c r="W1004" s="245"/>
      <c r="X1004" s="245"/>
      <c r="Y1004" s="245"/>
      <c r="Z1004" s="245"/>
      <c r="AA1004" s="245"/>
    </row>
    <row r="1005" ht="14.25" customHeight="1">
      <c r="A1005" s="244"/>
      <c r="B1005" s="244"/>
      <c r="C1005" s="244"/>
      <c r="D1005" s="244"/>
      <c r="E1005" s="244"/>
      <c r="F1005" s="244"/>
      <c r="G1005" s="244"/>
      <c r="H1005" s="244"/>
      <c r="I1005" s="244"/>
      <c r="J1005" s="244"/>
      <c r="K1005" s="244"/>
      <c r="L1005" s="245"/>
      <c r="M1005" s="245"/>
      <c r="N1005" s="245"/>
      <c r="O1005" s="245"/>
      <c r="P1005" s="245"/>
      <c r="Q1005" s="245"/>
      <c r="R1005" s="245"/>
      <c r="S1005" s="245"/>
      <c r="T1005" s="245"/>
      <c r="U1005" s="245"/>
      <c r="V1005" s="245"/>
      <c r="W1005" s="245"/>
      <c r="X1005" s="245"/>
      <c r="Y1005" s="245"/>
      <c r="Z1005" s="245"/>
      <c r="AA1005" s="245"/>
    </row>
    <row r="1006" ht="14.25" customHeight="1">
      <c r="A1006" s="244"/>
      <c r="B1006" s="244"/>
      <c r="C1006" s="244"/>
      <c r="D1006" s="244"/>
      <c r="E1006" s="244"/>
      <c r="F1006" s="244"/>
      <c r="G1006" s="244"/>
      <c r="H1006" s="244"/>
      <c r="I1006" s="244"/>
      <c r="J1006" s="244"/>
      <c r="K1006" s="244"/>
      <c r="L1006" s="245"/>
      <c r="M1006" s="245"/>
      <c r="N1006" s="245"/>
      <c r="O1006" s="245"/>
      <c r="P1006" s="245"/>
      <c r="Q1006" s="245"/>
      <c r="R1006" s="245"/>
      <c r="S1006" s="245"/>
      <c r="T1006" s="245"/>
      <c r="U1006" s="245"/>
      <c r="V1006" s="245"/>
      <c r="W1006" s="245"/>
      <c r="X1006" s="245"/>
      <c r="Y1006" s="245"/>
      <c r="Z1006" s="245"/>
      <c r="AA1006" s="245"/>
    </row>
    <row r="1007" ht="14.25" customHeight="1">
      <c r="A1007" s="244"/>
      <c r="B1007" s="244"/>
      <c r="C1007" s="244"/>
      <c r="D1007" s="244"/>
      <c r="E1007" s="244"/>
      <c r="F1007" s="244"/>
      <c r="G1007" s="244"/>
      <c r="H1007" s="244"/>
      <c r="I1007" s="244"/>
      <c r="J1007" s="244"/>
      <c r="K1007" s="244"/>
      <c r="L1007" s="245"/>
      <c r="M1007" s="245"/>
      <c r="N1007" s="245"/>
      <c r="O1007" s="245"/>
      <c r="P1007" s="245"/>
      <c r="Q1007" s="245"/>
      <c r="R1007" s="245"/>
      <c r="S1007" s="245"/>
      <c r="T1007" s="245"/>
      <c r="U1007" s="245"/>
      <c r="V1007" s="245"/>
      <c r="W1007" s="245"/>
      <c r="X1007" s="245"/>
      <c r="Y1007" s="245"/>
      <c r="Z1007" s="245"/>
      <c r="AA1007" s="245"/>
    </row>
    <row r="1008" ht="14.25" customHeight="1">
      <c r="A1008" s="244"/>
      <c r="B1008" s="244"/>
      <c r="C1008" s="244"/>
      <c r="D1008" s="244"/>
      <c r="E1008" s="244"/>
      <c r="F1008" s="244"/>
      <c r="G1008" s="244"/>
      <c r="H1008" s="244"/>
      <c r="I1008" s="244"/>
      <c r="J1008" s="244"/>
      <c r="K1008" s="244"/>
      <c r="L1008" s="245"/>
      <c r="M1008" s="245"/>
      <c r="N1008" s="245"/>
      <c r="O1008" s="245"/>
      <c r="P1008" s="245"/>
      <c r="Q1008" s="245"/>
      <c r="R1008" s="245"/>
      <c r="S1008" s="245"/>
      <c r="T1008" s="245"/>
      <c r="U1008" s="245"/>
      <c r="V1008" s="245"/>
      <c r="W1008" s="245"/>
      <c r="X1008" s="245"/>
      <c r="Y1008" s="245"/>
      <c r="Z1008" s="245"/>
      <c r="AA1008" s="245"/>
    </row>
    <row r="1009" ht="14.25" customHeight="1">
      <c r="A1009" s="244"/>
      <c r="B1009" s="244"/>
      <c r="C1009" s="244"/>
      <c r="D1009" s="244"/>
      <c r="E1009" s="244"/>
      <c r="F1009" s="244"/>
      <c r="G1009" s="244"/>
      <c r="H1009" s="244"/>
      <c r="I1009" s="244"/>
      <c r="J1009" s="244"/>
      <c r="K1009" s="244"/>
      <c r="L1009" s="245"/>
      <c r="M1009" s="245"/>
      <c r="N1009" s="245"/>
      <c r="O1009" s="245"/>
      <c r="P1009" s="245"/>
      <c r="Q1009" s="245"/>
      <c r="R1009" s="245"/>
      <c r="S1009" s="245"/>
      <c r="T1009" s="245"/>
      <c r="U1009" s="245"/>
      <c r="V1009" s="245"/>
      <c r="W1009" s="245"/>
      <c r="X1009" s="245"/>
      <c r="Y1009" s="245"/>
      <c r="Z1009" s="245"/>
      <c r="AA1009" s="245"/>
    </row>
    <row r="1010" ht="14.25" customHeight="1">
      <c r="A1010" s="244"/>
      <c r="B1010" s="244"/>
      <c r="C1010" s="244"/>
      <c r="D1010" s="244"/>
      <c r="E1010" s="244"/>
      <c r="F1010" s="244"/>
      <c r="G1010" s="244"/>
      <c r="H1010" s="244"/>
      <c r="I1010" s="244"/>
      <c r="J1010" s="244"/>
      <c r="K1010" s="244"/>
      <c r="L1010" s="245"/>
      <c r="M1010" s="245"/>
      <c r="N1010" s="245"/>
      <c r="O1010" s="245"/>
      <c r="P1010" s="245"/>
      <c r="Q1010" s="245"/>
      <c r="R1010" s="245"/>
      <c r="S1010" s="245"/>
      <c r="T1010" s="245"/>
      <c r="U1010" s="245"/>
      <c r="V1010" s="245"/>
      <c r="W1010" s="245"/>
      <c r="X1010" s="245"/>
      <c r="Y1010" s="245"/>
      <c r="Z1010" s="245"/>
      <c r="AA1010" s="245"/>
    </row>
    <row r="1011" ht="14.25" customHeight="1">
      <c r="A1011" s="244"/>
      <c r="B1011" s="244"/>
      <c r="C1011" s="244"/>
      <c r="D1011" s="244"/>
      <c r="E1011" s="244"/>
      <c r="F1011" s="244"/>
      <c r="G1011" s="244"/>
      <c r="H1011" s="244"/>
      <c r="I1011" s="244"/>
      <c r="J1011" s="244"/>
      <c r="K1011" s="244"/>
      <c r="L1011" s="245"/>
      <c r="M1011" s="245"/>
      <c r="N1011" s="245"/>
      <c r="O1011" s="245"/>
      <c r="P1011" s="245"/>
      <c r="Q1011" s="245"/>
      <c r="R1011" s="245"/>
      <c r="S1011" s="245"/>
      <c r="T1011" s="245"/>
      <c r="U1011" s="245"/>
      <c r="V1011" s="245"/>
      <c r="W1011" s="245"/>
      <c r="X1011" s="245"/>
      <c r="Y1011" s="245"/>
      <c r="Z1011" s="245"/>
      <c r="AA1011" s="245"/>
    </row>
    <row r="1012" ht="14.25" customHeight="1">
      <c r="A1012" s="244"/>
      <c r="B1012" s="244"/>
      <c r="C1012" s="244"/>
      <c r="D1012" s="244"/>
      <c r="E1012" s="244"/>
      <c r="F1012" s="244"/>
      <c r="G1012" s="244"/>
      <c r="H1012" s="244"/>
      <c r="I1012" s="244"/>
      <c r="J1012" s="244"/>
      <c r="K1012" s="244"/>
      <c r="L1012" s="245"/>
      <c r="M1012" s="245"/>
      <c r="N1012" s="245"/>
      <c r="O1012" s="245"/>
      <c r="P1012" s="245"/>
      <c r="Q1012" s="245"/>
      <c r="R1012" s="245"/>
      <c r="S1012" s="245"/>
      <c r="T1012" s="245"/>
      <c r="U1012" s="245"/>
      <c r="V1012" s="245"/>
      <c r="W1012" s="245"/>
      <c r="X1012" s="245"/>
      <c r="Y1012" s="245"/>
      <c r="Z1012" s="245"/>
      <c r="AA1012" s="245"/>
    </row>
    <row r="1013" ht="14.25" customHeight="1">
      <c r="A1013" s="244"/>
      <c r="B1013" s="244"/>
      <c r="C1013" s="244"/>
      <c r="D1013" s="244"/>
      <c r="E1013" s="244"/>
      <c r="F1013" s="244"/>
      <c r="G1013" s="244"/>
      <c r="H1013" s="244"/>
      <c r="I1013" s="244"/>
      <c r="J1013" s="244"/>
      <c r="K1013" s="244"/>
      <c r="L1013" s="245"/>
      <c r="M1013" s="245"/>
      <c r="N1013" s="245"/>
      <c r="O1013" s="245"/>
      <c r="P1013" s="245"/>
      <c r="Q1013" s="245"/>
      <c r="R1013" s="245"/>
      <c r="S1013" s="245"/>
      <c r="T1013" s="245"/>
      <c r="U1013" s="245"/>
      <c r="V1013" s="245"/>
      <c r="W1013" s="245"/>
      <c r="X1013" s="245"/>
      <c r="Y1013" s="245"/>
      <c r="Z1013" s="245"/>
      <c r="AA1013" s="245"/>
    </row>
    <row r="1014" ht="14.25" customHeight="1">
      <c r="A1014" s="244"/>
      <c r="B1014" s="244"/>
      <c r="C1014" s="244"/>
      <c r="D1014" s="244"/>
      <c r="E1014" s="244"/>
      <c r="F1014" s="244"/>
      <c r="G1014" s="244"/>
      <c r="H1014" s="244"/>
      <c r="I1014" s="244"/>
      <c r="J1014" s="244"/>
      <c r="K1014" s="244"/>
      <c r="L1014" s="245"/>
      <c r="M1014" s="245"/>
      <c r="N1014" s="245"/>
      <c r="O1014" s="245"/>
      <c r="P1014" s="245"/>
      <c r="Q1014" s="245"/>
      <c r="R1014" s="245"/>
      <c r="S1014" s="245"/>
      <c r="T1014" s="245"/>
      <c r="U1014" s="245"/>
      <c r="V1014" s="245"/>
      <c r="W1014" s="245"/>
      <c r="X1014" s="245"/>
      <c r="Y1014" s="245"/>
      <c r="Z1014" s="245"/>
      <c r="AA1014" s="245"/>
    </row>
    <row r="1015" ht="14.25" customHeight="1">
      <c r="A1015" s="244"/>
      <c r="B1015" s="244"/>
      <c r="C1015" s="244"/>
      <c r="D1015" s="244"/>
      <c r="E1015" s="244"/>
      <c r="F1015" s="244"/>
      <c r="G1015" s="244"/>
      <c r="H1015" s="244"/>
      <c r="I1015" s="244"/>
      <c r="J1015" s="244"/>
      <c r="K1015" s="244"/>
      <c r="L1015" s="245"/>
      <c r="M1015" s="245"/>
      <c r="N1015" s="245"/>
      <c r="O1015" s="245"/>
      <c r="P1015" s="245"/>
      <c r="Q1015" s="245"/>
      <c r="R1015" s="245"/>
      <c r="S1015" s="245"/>
      <c r="T1015" s="245"/>
      <c r="U1015" s="245"/>
      <c r="V1015" s="245"/>
      <c r="W1015" s="245"/>
      <c r="X1015" s="245"/>
      <c r="Y1015" s="245"/>
      <c r="Z1015" s="245"/>
      <c r="AA1015" s="245"/>
    </row>
    <row r="1016" ht="14.25" customHeight="1">
      <c r="A1016" s="244"/>
      <c r="B1016" s="244"/>
      <c r="C1016" s="244"/>
      <c r="D1016" s="244"/>
      <c r="E1016" s="244"/>
      <c r="F1016" s="244"/>
      <c r="G1016" s="244"/>
      <c r="H1016" s="244"/>
      <c r="I1016" s="244"/>
      <c r="J1016" s="244"/>
      <c r="K1016" s="244"/>
      <c r="L1016" s="245"/>
      <c r="M1016" s="245"/>
      <c r="N1016" s="245"/>
      <c r="O1016" s="245"/>
      <c r="P1016" s="245"/>
      <c r="Q1016" s="245"/>
      <c r="R1016" s="245"/>
      <c r="S1016" s="245"/>
      <c r="T1016" s="245"/>
      <c r="U1016" s="245"/>
      <c r="V1016" s="245"/>
      <c r="W1016" s="245"/>
      <c r="X1016" s="245"/>
      <c r="Y1016" s="245"/>
      <c r="Z1016" s="245"/>
      <c r="AA1016" s="245"/>
    </row>
    <row r="1017" ht="14.25" customHeight="1">
      <c r="A1017" s="244"/>
      <c r="B1017" s="244"/>
      <c r="C1017" s="244"/>
      <c r="D1017" s="244"/>
      <c r="E1017" s="244"/>
      <c r="F1017" s="244"/>
      <c r="G1017" s="244"/>
      <c r="H1017" s="244"/>
      <c r="I1017" s="244"/>
      <c r="J1017" s="244"/>
      <c r="K1017" s="244"/>
      <c r="L1017" s="245"/>
      <c r="M1017" s="245"/>
      <c r="N1017" s="245"/>
      <c r="O1017" s="245"/>
      <c r="P1017" s="245"/>
      <c r="Q1017" s="245"/>
      <c r="R1017" s="245"/>
      <c r="S1017" s="245"/>
      <c r="T1017" s="245"/>
      <c r="U1017" s="245"/>
      <c r="V1017" s="245"/>
      <c r="W1017" s="245"/>
      <c r="X1017" s="245"/>
      <c r="Y1017" s="245"/>
      <c r="Z1017" s="245"/>
      <c r="AA1017" s="245"/>
    </row>
    <row r="1018" ht="14.25" customHeight="1">
      <c r="A1018" s="244"/>
      <c r="B1018" s="244"/>
      <c r="C1018" s="244"/>
      <c r="D1018" s="244"/>
      <c r="E1018" s="244"/>
      <c r="F1018" s="244"/>
      <c r="G1018" s="244"/>
      <c r="H1018" s="244"/>
      <c r="I1018" s="244"/>
      <c r="J1018" s="244"/>
      <c r="K1018" s="244"/>
      <c r="L1018" s="245"/>
      <c r="M1018" s="245"/>
      <c r="N1018" s="245"/>
      <c r="O1018" s="245"/>
      <c r="P1018" s="245"/>
      <c r="Q1018" s="245"/>
      <c r="R1018" s="245"/>
      <c r="S1018" s="245"/>
      <c r="T1018" s="245"/>
      <c r="U1018" s="245"/>
      <c r="V1018" s="245"/>
      <c r="W1018" s="245"/>
      <c r="X1018" s="245"/>
      <c r="Y1018" s="245"/>
      <c r="Z1018" s="245"/>
      <c r="AA1018" s="245"/>
    </row>
    <row r="1019" ht="14.25" customHeight="1">
      <c r="A1019" s="244"/>
      <c r="B1019" s="244"/>
      <c r="C1019" s="244"/>
      <c r="D1019" s="244"/>
      <c r="E1019" s="244"/>
      <c r="F1019" s="244"/>
      <c r="G1019" s="244"/>
      <c r="H1019" s="244"/>
      <c r="I1019" s="244"/>
      <c r="J1019" s="244"/>
      <c r="K1019" s="244"/>
      <c r="L1019" s="245"/>
      <c r="M1019" s="245"/>
      <c r="N1019" s="245"/>
      <c r="O1019" s="245"/>
      <c r="P1019" s="245"/>
      <c r="Q1019" s="245"/>
      <c r="R1019" s="245"/>
      <c r="S1019" s="245"/>
      <c r="T1019" s="245"/>
      <c r="U1019" s="245"/>
      <c r="V1019" s="245"/>
      <c r="W1019" s="245"/>
      <c r="X1019" s="245"/>
      <c r="Y1019" s="245"/>
      <c r="Z1019" s="245"/>
      <c r="AA1019" s="245"/>
    </row>
    <row r="1020" ht="14.25" customHeight="1">
      <c r="A1020" s="244"/>
      <c r="B1020" s="244"/>
      <c r="C1020" s="244"/>
      <c r="D1020" s="244"/>
      <c r="E1020" s="244"/>
      <c r="F1020" s="244"/>
      <c r="G1020" s="244"/>
      <c r="H1020" s="244"/>
      <c r="I1020" s="244"/>
      <c r="J1020" s="244"/>
      <c r="K1020" s="244"/>
      <c r="L1020" s="245"/>
      <c r="M1020" s="245"/>
      <c r="N1020" s="245"/>
      <c r="O1020" s="245"/>
      <c r="P1020" s="245"/>
      <c r="Q1020" s="245"/>
      <c r="R1020" s="245"/>
      <c r="S1020" s="245"/>
      <c r="T1020" s="245"/>
      <c r="U1020" s="245"/>
      <c r="V1020" s="245"/>
      <c r="W1020" s="245"/>
      <c r="X1020" s="245"/>
      <c r="Y1020" s="245"/>
      <c r="Z1020" s="245"/>
      <c r="AA1020" s="245"/>
    </row>
  </sheetData>
  <mergeCells count="30">
    <mergeCell ref="A1:H1"/>
    <mergeCell ref="A9:M9"/>
    <mergeCell ref="A20:M20"/>
    <mergeCell ref="A51:M51"/>
    <mergeCell ref="A63:M63"/>
    <mergeCell ref="B64:M64"/>
    <mergeCell ref="B65:M65"/>
    <mergeCell ref="B66:M66"/>
    <mergeCell ref="B67:M67"/>
    <mergeCell ref="B68:M68"/>
    <mergeCell ref="B69:M69"/>
    <mergeCell ref="B70:M70"/>
    <mergeCell ref="B71:M71"/>
    <mergeCell ref="B72:M72"/>
    <mergeCell ref="B73:M73"/>
    <mergeCell ref="B74:M74"/>
    <mergeCell ref="B75:M75"/>
    <mergeCell ref="B76:M76"/>
    <mergeCell ref="B77:M77"/>
    <mergeCell ref="B78:M78"/>
    <mergeCell ref="B79:M79"/>
    <mergeCell ref="B87:M87"/>
    <mergeCell ref="B88:M88"/>
    <mergeCell ref="B80:M80"/>
    <mergeCell ref="B81:M81"/>
    <mergeCell ref="B82:M82"/>
    <mergeCell ref="B83:M83"/>
    <mergeCell ref="B84:M84"/>
    <mergeCell ref="B85:M85"/>
    <mergeCell ref="B86:M86"/>
  </mergeCells>
  <dataValidations>
    <dataValidation type="list" allowBlank="1" sqref="A22:A48 B53:B60">
      <formula1>"📌 ЗАДАЧА,📦 ПРОЕКТ,🔬 ГИПОТЕЗА,💡 ИДЕЯ"</formula1>
    </dataValidation>
    <dataValidation type="list" allowBlank="1" sqref="I34">
      <formula1>"⏸️ Не начато,🔄 В работе,✅ Выполнено,⏸️ На паузе,❌ Отменено,⚠️ Требует решения,Опаздываем"</formula1>
    </dataValidation>
    <dataValidation type="list" allowBlank="1" sqref="F11:F12 F14:F16 F18">
      <formula1>"On track,Опаздываем,Выполнено,Не начато,Требует внимания"</formula1>
    </dataValidation>
    <dataValidation type="list" allowBlank="1" sqref="F17">
      <formula1>"On track,Опаздываем,Выполнено,Не начато,Требует внимания,Запланировано"</formula1>
    </dataValidation>
    <dataValidation type="list" allowBlank="1" sqref="B22:B48 D53:D60">
      <formula1>"Разработана реализуется,Достигнуты показатели активности:,Пользователями пройдено 10 000+,IT-команда выполнила,9/9 сервисов SuperApp запущены,100 грантов и,Сервис «Пробные тесты» успешно,100% внутренних грантов GeOnline"</formula1>
    </dataValidation>
    <dataValidation type="list" allowBlank="1" sqref="E53:E60">
      <formula1>"High,Medium,Low"</formula1>
    </dataValidation>
    <dataValidation type="list" allowBlank="1" sqref="F22:I32 F33:J33 F34:H34 J34 F35:J36 F37:I37 F38:J41 F42:I48">
      <formula1>"⏸️ Не начато,🔄 В работе,✅ Выполнено,⏸️ На паузе,❌ Отменено,⚠️ Требует решения"</formula1>
    </dataValidation>
    <dataValidation type="list" allowBlank="1" sqref="F13">
      <formula1>"On track,Опаздываем,Выполнено,Не начато,Требует внимания,Тестируется"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5.0"/>
    <col customWidth="1" min="3" max="3" width="48.57"/>
    <col customWidth="1" min="4" max="4" width="15.0"/>
    <col customWidth="1" min="5" max="5" width="25.86"/>
    <col customWidth="1" min="6" max="6" width="18.29"/>
    <col customWidth="1" min="7" max="7" width="18.43"/>
    <col customWidth="1" min="8" max="8" width="25.29"/>
    <col customWidth="1" min="9" max="9" width="21.14"/>
    <col customWidth="1" min="10" max="11" width="25.0"/>
    <col customWidth="1" min="12" max="12" width="15.71"/>
    <col customWidth="1" min="13" max="27" width="8.71"/>
  </cols>
  <sheetData>
    <row r="1" ht="21.0" customHeight="1">
      <c r="A1" s="276" t="s">
        <v>1195</v>
      </c>
      <c r="B1" s="206"/>
      <c r="C1" s="206"/>
      <c r="D1" s="206"/>
      <c r="E1" s="206"/>
      <c r="F1" s="206"/>
      <c r="G1" s="206"/>
      <c r="H1" s="207"/>
      <c r="I1" s="244"/>
      <c r="J1" s="244"/>
      <c r="K1" s="244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</row>
    <row r="2" ht="14.25" customHeight="1">
      <c r="A2" s="246" t="s">
        <v>991</v>
      </c>
      <c r="B2" s="245" t="s">
        <v>901</v>
      </c>
      <c r="C2" s="244"/>
      <c r="D2" s="244"/>
      <c r="E2" s="244"/>
      <c r="F2" s="244"/>
      <c r="G2" s="244"/>
      <c r="H2" s="244"/>
      <c r="I2" s="244"/>
      <c r="J2" s="244"/>
      <c r="K2" s="244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</row>
    <row r="3" ht="14.25" customHeight="1">
      <c r="A3" s="246" t="s">
        <v>992</v>
      </c>
      <c r="B3" s="245" t="s">
        <v>101</v>
      </c>
      <c r="C3" s="244"/>
      <c r="D3" s="244"/>
      <c r="E3" s="244"/>
      <c r="F3" s="244"/>
      <c r="G3" s="244"/>
      <c r="H3" s="244"/>
      <c r="I3" s="244"/>
      <c r="J3" s="244"/>
      <c r="K3" s="244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</row>
    <row r="4" ht="14.25" customHeight="1">
      <c r="A4" s="246" t="s">
        <v>993</v>
      </c>
      <c r="B4" s="245" t="s">
        <v>902</v>
      </c>
      <c r="C4" s="244"/>
      <c r="D4" s="244"/>
      <c r="E4" s="244"/>
      <c r="F4" s="244"/>
      <c r="G4" s="244"/>
      <c r="H4" s="244"/>
      <c r="I4" s="244"/>
      <c r="J4" s="244"/>
      <c r="K4" s="244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</row>
    <row r="5" ht="14.25" customHeight="1">
      <c r="A5" s="246" t="s">
        <v>994</v>
      </c>
      <c r="B5" s="245" t="s">
        <v>882</v>
      </c>
      <c r="C5" s="244"/>
      <c r="D5" s="244"/>
      <c r="E5" s="244"/>
      <c r="F5" s="244"/>
      <c r="G5" s="244"/>
      <c r="H5" s="244"/>
      <c r="I5" s="244"/>
      <c r="J5" s="244"/>
      <c r="K5" s="244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</row>
    <row r="6" ht="14.25" customHeight="1">
      <c r="A6" s="247" t="s">
        <v>995</v>
      </c>
      <c r="B6" s="258"/>
      <c r="C6" s="259" t="s">
        <v>1196</v>
      </c>
      <c r="D6" s="244"/>
      <c r="E6" s="244"/>
      <c r="F6" s="244"/>
      <c r="G6" s="244"/>
      <c r="H6" s="244"/>
      <c r="I6" s="244"/>
      <c r="J6" s="244"/>
      <c r="K6" s="244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</row>
    <row r="7" ht="14.25" customHeight="1">
      <c r="A7" s="247" t="s">
        <v>997</v>
      </c>
      <c r="B7" s="258" t="s">
        <v>1197</v>
      </c>
      <c r="C7" s="259" t="s">
        <v>1198</v>
      </c>
      <c r="D7" s="244"/>
      <c r="E7" s="244"/>
      <c r="F7" s="244"/>
      <c r="G7" s="244"/>
      <c r="H7" s="244"/>
      <c r="I7" s="244"/>
      <c r="J7" s="244"/>
      <c r="K7" s="244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</row>
    <row r="8" ht="14.25" customHeight="1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</row>
    <row r="9" ht="15.0" customHeight="1">
      <c r="A9" s="277" t="s">
        <v>999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7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</row>
    <row r="10" ht="28.5" customHeight="1">
      <c r="A10" s="252" t="s">
        <v>914</v>
      </c>
      <c r="B10" s="252" t="s">
        <v>1000</v>
      </c>
      <c r="C10" s="252" t="s">
        <v>915</v>
      </c>
      <c r="D10" s="252" t="s">
        <v>916</v>
      </c>
      <c r="E10" s="252" t="s">
        <v>917</v>
      </c>
      <c r="F10" s="252" t="s">
        <v>1001</v>
      </c>
      <c r="G10" s="252" t="s">
        <v>22</v>
      </c>
      <c r="H10" s="252" t="s">
        <v>1002</v>
      </c>
      <c r="I10" s="244"/>
      <c r="J10" s="244"/>
      <c r="K10" s="244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</row>
    <row r="11" ht="28.5" customHeight="1">
      <c r="A11" s="253" t="s">
        <v>929</v>
      </c>
      <c r="B11" s="253" t="s">
        <v>243</v>
      </c>
      <c r="C11" s="253" t="s">
        <v>243</v>
      </c>
      <c r="D11" s="253" t="s">
        <v>930</v>
      </c>
      <c r="E11" s="253" t="s">
        <v>931</v>
      </c>
      <c r="F11" s="254" t="s">
        <v>1084</v>
      </c>
      <c r="G11" s="253"/>
      <c r="H11" s="254" t="s">
        <v>1199</v>
      </c>
      <c r="I11" s="244"/>
      <c r="J11" s="244"/>
      <c r="K11" s="244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</row>
    <row r="12" ht="28.5" customHeight="1">
      <c r="A12" s="253" t="s">
        <v>932</v>
      </c>
      <c r="B12" s="253" t="s">
        <v>1200</v>
      </c>
      <c r="C12" s="253" t="s">
        <v>245</v>
      </c>
      <c r="D12" s="278">
        <v>0.13</v>
      </c>
      <c r="E12" s="278">
        <v>0.2</v>
      </c>
      <c r="F12" s="254" t="s">
        <v>1084</v>
      </c>
      <c r="G12" s="253"/>
      <c r="H12" s="253"/>
      <c r="I12" s="244"/>
      <c r="J12" s="244"/>
      <c r="K12" s="244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</row>
    <row r="13" ht="28.5" customHeight="1">
      <c r="A13" s="253" t="s">
        <v>935</v>
      </c>
      <c r="B13" s="253" t="s">
        <v>1201</v>
      </c>
      <c r="C13" s="253" t="s">
        <v>246</v>
      </c>
      <c r="D13" s="253" t="s">
        <v>247</v>
      </c>
      <c r="E13" s="253" t="s">
        <v>248</v>
      </c>
      <c r="F13" s="254" t="s">
        <v>1080</v>
      </c>
      <c r="G13" s="253"/>
      <c r="H13" s="253"/>
      <c r="I13" s="244"/>
      <c r="J13" s="244"/>
      <c r="K13" s="244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</row>
    <row r="14" ht="129.0" customHeight="1">
      <c r="A14" s="253"/>
      <c r="B14" s="253"/>
      <c r="C14" s="254" t="s">
        <v>1202</v>
      </c>
      <c r="D14" s="254" t="s">
        <v>1203</v>
      </c>
      <c r="E14" s="254" t="s">
        <v>1204</v>
      </c>
      <c r="F14" s="254" t="s">
        <v>1078</v>
      </c>
      <c r="G14" s="253"/>
      <c r="H14" s="253"/>
      <c r="I14" s="244"/>
      <c r="J14" s="258"/>
      <c r="K14" s="258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</row>
    <row r="15" ht="129.0" customHeight="1">
      <c r="A15" s="253"/>
      <c r="B15" s="253"/>
      <c r="C15" s="254" t="s">
        <v>1205</v>
      </c>
      <c r="D15" s="253"/>
      <c r="E15" s="254" t="s">
        <v>1204</v>
      </c>
      <c r="F15" s="254" t="s">
        <v>1206</v>
      </c>
      <c r="G15" s="253"/>
      <c r="H15" s="253"/>
      <c r="I15" s="244"/>
      <c r="J15" s="258"/>
      <c r="K15" s="258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</row>
    <row r="16" ht="129.0" customHeight="1">
      <c r="A16" s="253" t="s">
        <v>936</v>
      </c>
      <c r="B16" s="253" t="s">
        <v>1207</v>
      </c>
      <c r="C16" s="253" t="s">
        <v>249</v>
      </c>
      <c r="D16" s="253"/>
      <c r="E16" s="253" t="s">
        <v>250</v>
      </c>
      <c r="F16" s="254" t="s">
        <v>1206</v>
      </c>
      <c r="G16" s="253"/>
      <c r="H16" s="253"/>
      <c r="I16" s="244"/>
      <c r="J16" s="258"/>
      <c r="K16" s="258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</row>
    <row r="17" ht="14.25" customHeight="1">
      <c r="A17" s="244"/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</row>
    <row r="18" ht="15.0" customHeight="1">
      <c r="A18" s="255" t="s">
        <v>1014</v>
      </c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7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</row>
    <row r="19" ht="14.25" customHeight="1">
      <c r="A19" s="256" t="s">
        <v>32</v>
      </c>
      <c r="B19" s="256" t="s">
        <v>1015</v>
      </c>
      <c r="C19" s="256" t="s">
        <v>1016</v>
      </c>
      <c r="D19" s="256" t="s">
        <v>23</v>
      </c>
      <c r="E19" s="256" t="s">
        <v>22</v>
      </c>
      <c r="F19" s="256" t="s">
        <v>1017</v>
      </c>
      <c r="G19" s="256" t="s">
        <v>1018</v>
      </c>
      <c r="H19" s="256" t="s">
        <v>1019</v>
      </c>
      <c r="I19" s="256" t="s">
        <v>1020</v>
      </c>
      <c r="J19" s="257" t="s">
        <v>1090</v>
      </c>
      <c r="K19" s="256" t="s">
        <v>1021</v>
      </c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</row>
    <row r="20" ht="14.25" customHeight="1">
      <c r="A20" s="253" t="s">
        <v>1022</v>
      </c>
      <c r="B20" s="253" t="s">
        <v>1208</v>
      </c>
      <c r="C20" s="253" t="s">
        <v>1209</v>
      </c>
      <c r="D20" s="253" t="s">
        <v>141</v>
      </c>
      <c r="E20" s="253" t="s">
        <v>1210</v>
      </c>
      <c r="F20" s="253" t="s">
        <v>1045</v>
      </c>
      <c r="G20" s="254" t="s">
        <v>1211</v>
      </c>
      <c r="H20" s="254" t="s">
        <v>1045</v>
      </c>
      <c r="I20" s="254" t="s">
        <v>1045</v>
      </c>
      <c r="J20" s="253"/>
      <c r="K20" s="253" t="s">
        <v>1212</v>
      </c>
      <c r="L20" s="259" t="s">
        <v>1213</v>
      </c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</row>
    <row r="21" ht="14.25" customHeight="1">
      <c r="A21" s="253" t="s">
        <v>1022</v>
      </c>
      <c r="B21" s="253" t="s">
        <v>1214</v>
      </c>
      <c r="C21" s="253" t="s">
        <v>1215</v>
      </c>
      <c r="D21" s="253" t="s">
        <v>141</v>
      </c>
      <c r="E21" s="253" t="s">
        <v>1210</v>
      </c>
      <c r="F21" s="253" t="s">
        <v>1045</v>
      </c>
      <c r="G21" s="254" t="s">
        <v>1211</v>
      </c>
      <c r="H21" s="254" t="s">
        <v>1045</v>
      </c>
      <c r="I21" s="254" t="s">
        <v>1045</v>
      </c>
      <c r="J21" s="253"/>
      <c r="K21" s="253" t="s">
        <v>1216</v>
      </c>
      <c r="L21" s="259" t="s">
        <v>1217</v>
      </c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</row>
    <row r="22" ht="14.25" customHeight="1">
      <c r="A22" s="253" t="s">
        <v>1024</v>
      </c>
      <c r="B22" s="253" t="s">
        <v>1214</v>
      </c>
      <c r="C22" s="253" t="s">
        <v>1218</v>
      </c>
      <c r="D22" s="253" t="s">
        <v>1219</v>
      </c>
      <c r="E22" s="253" t="s">
        <v>1220</v>
      </c>
      <c r="F22" s="253" t="s">
        <v>1045</v>
      </c>
      <c r="G22" s="254" t="s">
        <v>1221</v>
      </c>
      <c r="H22" s="254" t="s">
        <v>1045</v>
      </c>
      <c r="I22" s="254" t="s">
        <v>1045</v>
      </c>
      <c r="J22" s="253"/>
      <c r="K22" s="253" t="s">
        <v>1222</v>
      </c>
      <c r="L22" s="259" t="s">
        <v>1223</v>
      </c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</row>
    <row r="23" ht="14.25" customHeight="1">
      <c r="A23" s="253" t="s">
        <v>1022</v>
      </c>
      <c r="B23" s="253" t="s">
        <v>1208</v>
      </c>
      <c r="C23" s="254" t="s">
        <v>1224</v>
      </c>
      <c r="D23" s="253" t="s">
        <v>141</v>
      </c>
      <c r="E23" s="253" t="s">
        <v>1210</v>
      </c>
      <c r="F23" s="253" t="s">
        <v>1045</v>
      </c>
      <c r="G23" s="253"/>
      <c r="H23" s="253"/>
      <c r="I23" s="253"/>
      <c r="J23" s="253"/>
      <c r="K23" s="253" t="s">
        <v>1225</v>
      </c>
      <c r="L23" s="258" t="s">
        <v>1226</v>
      </c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</row>
    <row r="24" ht="14.25" customHeight="1">
      <c r="A24" s="253" t="s">
        <v>1024</v>
      </c>
      <c r="B24" s="253" t="s">
        <v>1208</v>
      </c>
      <c r="C24" s="253" t="s">
        <v>1227</v>
      </c>
      <c r="D24" s="253" t="s">
        <v>141</v>
      </c>
      <c r="E24" s="253" t="s">
        <v>1228</v>
      </c>
      <c r="F24" s="253" t="s">
        <v>1045</v>
      </c>
      <c r="G24" s="254" t="s">
        <v>1221</v>
      </c>
      <c r="H24" s="254" t="s">
        <v>1045</v>
      </c>
      <c r="I24" s="254" t="s">
        <v>1229</v>
      </c>
      <c r="J24" s="253"/>
      <c r="K24" s="253" t="s">
        <v>1230</v>
      </c>
      <c r="L24" s="258" t="s">
        <v>1231</v>
      </c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</row>
    <row r="25" ht="14.25" customHeight="1">
      <c r="A25" s="253" t="s">
        <v>1025</v>
      </c>
      <c r="B25" s="253" t="s">
        <v>1208</v>
      </c>
      <c r="C25" s="253" t="s">
        <v>606</v>
      </c>
      <c r="D25" s="253" t="s">
        <v>141</v>
      </c>
      <c r="E25" s="253" t="s">
        <v>1232</v>
      </c>
      <c r="F25" s="253" t="s">
        <v>1053</v>
      </c>
      <c r="G25" s="253"/>
      <c r="H25" s="253"/>
      <c r="I25" s="253"/>
      <c r="J25" s="254"/>
      <c r="K25" s="254" t="s">
        <v>1233</v>
      </c>
      <c r="L25" s="258" t="s">
        <v>1234</v>
      </c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</row>
    <row r="26" ht="14.25" customHeight="1">
      <c r="A26" s="253" t="s">
        <v>1023</v>
      </c>
      <c r="B26" s="254" t="s">
        <v>1200</v>
      </c>
      <c r="C26" s="254" t="s">
        <v>1235</v>
      </c>
      <c r="D26" s="254" t="s">
        <v>141</v>
      </c>
      <c r="E26" s="254" t="s">
        <v>1232</v>
      </c>
      <c r="F26" s="253"/>
      <c r="G26" s="253"/>
      <c r="H26" s="253"/>
      <c r="I26" s="253"/>
      <c r="J26" s="253"/>
      <c r="K26" s="253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</row>
    <row r="27" ht="14.25" customHeight="1">
      <c r="A27" s="253" t="s">
        <v>1022</v>
      </c>
      <c r="B27" s="254" t="s">
        <v>243</v>
      </c>
      <c r="C27" s="254" t="s">
        <v>1236</v>
      </c>
      <c r="D27" s="254" t="s">
        <v>1237</v>
      </c>
      <c r="E27" s="254" t="s">
        <v>1238</v>
      </c>
      <c r="F27" s="253"/>
      <c r="G27" s="254" t="s">
        <v>1045</v>
      </c>
      <c r="H27" s="254" t="s">
        <v>1043</v>
      </c>
      <c r="I27" s="253"/>
      <c r="J27" s="254"/>
      <c r="K27" s="254" t="s">
        <v>1239</v>
      </c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</row>
    <row r="28" ht="14.25" customHeight="1">
      <c r="A28" s="254" t="s">
        <v>1022</v>
      </c>
      <c r="B28" s="254" t="s">
        <v>243</v>
      </c>
      <c r="C28" s="254" t="s">
        <v>1240</v>
      </c>
      <c r="D28" s="254" t="s">
        <v>1237</v>
      </c>
      <c r="E28" s="254" t="s">
        <v>621</v>
      </c>
      <c r="F28" s="253"/>
      <c r="G28" s="254" t="s">
        <v>1045</v>
      </c>
      <c r="H28" s="254" t="s">
        <v>1043</v>
      </c>
      <c r="I28" s="254" t="s">
        <v>1045</v>
      </c>
      <c r="J28" s="254" t="s">
        <v>1043</v>
      </c>
      <c r="K28" s="254" t="s">
        <v>1241</v>
      </c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</row>
    <row r="29" ht="14.25" customHeight="1">
      <c r="A29" s="253"/>
      <c r="B29" s="254" t="s">
        <v>243</v>
      </c>
      <c r="C29" s="254" t="s">
        <v>1242</v>
      </c>
      <c r="D29" s="254" t="s">
        <v>141</v>
      </c>
      <c r="E29" s="254" t="s">
        <v>1243</v>
      </c>
      <c r="F29" s="253"/>
      <c r="G29" s="254" t="s">
        <v>1045</v>
      </c>
      <c r="H29" s="254" t="s">
        <v>1102</v>
      </c>
      <c r="I29" s="254" t="s">
        <v>1102</v>
      </c>
      <c r="J29" s="254" t="s">
        <v>1047</v>
      </c>
      <c r="K29" s="253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</row>
    <row r="30" ht="14.25" customHeight="1">
      <c r="A30" s="253"/>
      <c r="B30" s="254" t="s">
        <v>243</v>
      </c>
      <c r="C30" s="254" t="s">
        <v>1244</v>
      </c>
      <c r="D30" s="254" t="s">
        <v>1245</v>
      </c>
      <c r="E30" s="254" t="s">
        <v>621</v>
      </c>
      <c r="F30" s="253"/>
      <c r="G30" s="254" t="s">
        <v>1045</v>
      </c>
      <c r="H30" s="254" t="s">
        <v>1043</v>
      </c>
      <c r="I30" s="254" t="s">
        <v>1043</v>
      </c>
      <c r="J30" s="254" t="s">
        <v>1043</v>
      </c>
      <c r="K30" s="253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</row>
    <row r="31" ht="14.25" customHeight="1">
      <c r="A31" s="253" t="s">
        <v>1024</v>
      </c>
      <c r="B31" s="253"/>
      <c r="C31" s="254" t="s">
        <v>1246</v>
      </c>
      <c r="D31" s="254" t="s">
        <v>141</v>
      </c>
      <c r="E31" s="254" t="s">
        <v>1247</v>
      </c>
      <c r="F31" s="253"/>
      <c r="G31" s="254" t="s">
        <v>1045</v>
      </c>
      <c r="H31" s="254" t="s">
        <v>1102</v>
      </c>
      <c r="I31" s="254" t="s">
        <v>1102</v>
      </c>
      <c r="J31" s="254" t="s">
        <v>1047</v>
      </c>
      <c r="K31" s="253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</row>
    <row r="32" ht="14.25" customHeight="1">
      <c r="A32" s="254" t="s">
        <v>1025</v>
      </c>
      <c r="B32" s="253"/>
      <c r="C32" s="254" t="s">
        <v>1248</v>
      </c>
      <c r="D32" s="254" t="s">
        <v>141</v>
      </c>
      <c r="E32" s="254" t="s">
        <v>1249</v>
      </c>
      <c r="F32" s="253"/>
      <c r="G32" s="254" t="s">
        <v>1045</v>
      </c>
      <c r="H32" s="254" t="s">
        <v>1102</v>
      </c>
      <c r="I32" s="254" t="s">
        <v>1102</v>
      </c>
      <c r="J32" s="254" t="s">
        <v>1047</v>
      </c>
      <c r="K32" s="253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</row>
    <row r="33" ht="14.25" customHeight="1">
      <c r="A33" s="254" t="s">
        <v>1024</v>
      </c>
      <c r="B33" s="253"/>
      <c r="C33" s="254" t="s">
        <v>1250</v>
      </c>
      <c r="D33" s="254" t="s">
        <v>1251</v>
      </c>
      <c r="E33" s="254" t="s">
        <v>1252</v>
      </c>
      <c r="F33" s="253"/>
      <c r="G33" s="254"/>
      <c r="H33" s="253"/>
      <c r="I33" s="254" t="s">
        <v>1043</v>
      </c>
      <c r="J33" s="254" t="s">
        <v>1045</v>
      </c>
      <c r="K33" s="253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</row>
    <row r="34" ht="14.25" customHeight="1">
      <c r="A34" s="253"/>
      <c r="B34" s="253"/>
      <c r="C34" s="254" t="s">
        <v>1253</v>
      </c>
      <c r="D34" s="254" t="s">
        <v>1254</v>
      </c>
      <c r="E34" s="254"/>
      <c r="F34" s="253"/>
      <c r="G34" s="254"/>
      <c r="H34" s="253"/>
      <c r="I34" s="254" t="s">
        <v>1102</v>
      </c>
      <c r="J34" s="254" t="s">
        <v>1102</v>
      </c>
      <c r="K34" s="253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</row>
    <row r="35" ht="14.25" customHeight="1">
      <c r="A35" s="254" t="s">
        <v>1022</v>
      </c>
      <c r="B35" s="254" t="s">
        <v>1200</v>
      </c>
      <c r="C35" s="254" t="s">
        <v>1255</v>
      </c>
      <c r="D35" s="254" t="s">
        <v>1256</v>
      </c>
      <c r="E35" s="254" t="s">
        <v>1257</v>
      </c>
      <c r="F35" s="253"/>
      <c r="G35" s="254"/>
      <c r="H35" s="253"/>
      <c r="I35" s="254" t="s">
        <v>1045</v>
      </c>
      <c r="J35" s="254" t="s">
        <v>1102</v>
      </c>
      <c r="K35" s="253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</row>
    <row r="36" ht="14.25" customHeight="1">
      <c r="A36" s="254" t="s">
        <v>1024</v>
      </c>
      <c r="B36" s="253"/>
      <c r="C36" s="254" t="s">
        <v>1258</v>
      </c>
      <c r="D36" s="254" t="s">
        <v>141</v>
      </c>
      <c r="E36" s="254"/>
      <c r="F36" s="253"/>
      <c r="G36" s="254"/>
      <c r="H36" s="253"/>
      <c r="I36" s="254" t="s">
        <v>1043</v>
      </c>
      <c r="J36" s="253"/>
      <c r="K36" s="253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</row>
    <row r="37" ht="14.25" customHeight="1">
      <c r="A37" s="254" t="s">
        <v>1022</v>
      </c>
      <c r="B37" s="253"/>
      <c r="C37" s="254" t="s">
        <v>1259</v>
      </c>
      <c r="D37" s="254"/>
      <c r="E37" s="254" t="s">
        <v>1260</v>
      </c>
      <c r="F37" s="253"/>
      <c r="G37" s="254"/>
      <c r="H37" s="253"/>
      <c r="I37" s="254" t="s">
        <v>1045</v>
      </c>
      <c r="J37" s="254" t="s">
        <v>1045</v>
      </c>
      <c r="K37" s="254" t="s">
        <v>1261</v>
      </c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</row>
    <row r="38" ht="14.25" customHeight="1">
      <c r="A38" s="254" t="s">
        <v>1022</v>
      </c>
      <c r="B38" s="253"/>
      <c r="C38" s="254" t="s">
        <v>1262</v>
      </c>
      <c r="D38" s="254" t="s">
        <v>1263</v>
      </c>
      <c r="E38" s="254" t="s">
        <v>1264</v>
      </c>
      <c r="F38" s="253"/>
      <c r="G38" s="254"/>
      <c r="H38" s="253"/>
      <c r="I38" s="253"/>
      <c r="J38" s="253"/>
      <c r="K38" s="253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</row>
    <row r="39" ht="14.25" customHeight="1">
      <c r="A39" s="254" t="s">
        <v>1022</v>
      </c>
      <c r="B39" s="253"/>
      <c r="C39" s="254" t="s">
        <v>1265</v>
      </c>
      <c r="D39" s="254" t="s">
        <v>1266</v>
      </c>
      <c r="E39" s="254" t="s">
        <v>1267</v>
      </c>
      <c r="F39" s="253"/>
      <c r="G39" s="254"/>
      <c r="H39" s="253"/>
      <c r="I39" s="253"/>
      <c r="J39" s="253"/>
      <c r="K39" s="253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</row>
    <row r="40" ht="14.25" customHeight="1">
      <c r="A40" s="254" t="s">
        <v>1022</v>
      </c>
      <c r="B40" s="253"/>
      <c r="C40" s="254" t="s">
        <v>1268</v>
      </c>
      <c r="D40" s="254" t="s">
        <v>1269</v>
      </c>
      <c r="E40" s="254" t="s">
        <v>1267</v>
      </c>
      <c r="F40" s="253"/>
      <c r="G40" s="254"/>
      <c r="H40" s="253"/>
      <c r="I40" s="253"/>
      <c r="J40" s="253"/>
      <c r="K40" s="253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</row>
    <row r="41" ht="14.25" customHeight="1">
      <c r="A41" s="254" t="s">
        <v>1022</v>
      </c>
      <c r="B41" s="253"/>
      <c r="C41" s="254" t="s">
        <v>1270</v>
      </c>
      <c r="D41" s="254" t="s">
        <v>141</v>
      </c>
      <c r="E41" s="254" t="s">
        <v>1170</v>
      </c>
      <c r="F41" s="253"/>
      <c r="G41" s="254"/>
      <c r="H41" s="253"/>
      <c r="I41" s="253"/>
      <c r="J41" s="253"/>
      <c r="K41" s="254" t="s">
        <v>1271</v>
      </c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</row>
    <row r="42" ht="14.25" customHeight="1">
      <c r="A42" s="253"/>
      <c r="B42" s="253"/>
      <c r="C42" s="254"/>
      <c r="D42" s="254"/>
      <c r="E42" s="254"/>
      <c r="F42" s="253"/>
      <c r="G42" s="254"/>
      <c r="H42" s="253"/>
      <c r="I42" s="253"/>
      <c r="J42" s="253"/>
      <c r="K42" s="253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</row>
    <row r="43" ht="14.25" customHeight="1">
      <c r="A43" s="253"/>
      <c r="B43" s="253"/>
      <c r="C43" s="254"/>
      <c r="D43" s="254"/>
      <c r="E43" s="254"/>
      <c r="F43" s="253"/>
      <c r="G43" s="254"/>
      <c r="H43" s="253"/>
      <c r="I43" s="253"/>
      <c r="J43" s="253"/>
      <c r="K43" s="253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</row>
    <row r="44" ht="14.25" customHeight="1">
      <c r="A44" s="253"/>
      <c r="B44" s="253"/>
      <c r="C44" s="254"/>
      <c r="D44" s="254"/>
      <c r="E44" s="254"/>
      <c r="F44" s="253"/>
      <c r="G44" s="254"/>
      <c r="H44" s="253"/>
      <c r="I44" s="253"/>
      <c r="J44" s="253"/>
      <c r="K44" s="253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</row>
    <row r="45" ht="14.25" customHeight="1">
      <c r="A45" s="253"/>
      <c r="B45" s="253"/>
      <c r="C45" s="254"/>
      <c r="D45" s="254"/>
      <c r="E45" s="254"/>
      <c r="F45" s="253"/>
      <c r="G45" s="254"/>
      <c r="H45" s="253"/>
      <c r="I45" s="253"/>
      <c r="J45" s="253"/>
      <c r="K45" s="253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</row>
    <row r="46" ht="14.25" customHeight="1">
      <c r="A46" s="253" t="s">
        <v>1025</v>
      </c>
      <c r="B46" s="253"/>
      <c r="C46" s="254"/>
      <c r="D46" s="254"/>
      <c r="E46" s="254"/>
      <c r="F46" s="253"/>
      <c r="G46" s="254" t="s">
        <v>1045</v>
      </c>
      <c r="H46" s="253"/>
      <c r="I46" s="253"/>
      <c r="J46" s="253"/>
      <c r="K46" s="253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</row>
    <row r="47" ht="14.25" customHeight="1">
      <c r="A47" s="244"/>
      <c r="B47" s="244"/>
      <c r="C47" s="244"/>
      <c r="D47" s="244"/>
      <c r="E47" s="244"/>
      <c r="F47" s="244"/>
      <c r="G47" s="244"/>
      <c r="H47" s="244"/>
      <c r="I47" s="244"/>
      <c r="J47" s="244"/>
      <c r="K47" s="244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</row>
    <row r="48" ht="14.25" customHeight="1">
      <c r="A48" s="244"/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</row>
    <row r="49" ht="14.25" customHeight="1">
      <c r="A49" s="261" t="s">
        <v>1026</v>
      </c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7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</row>
    <row r="50" ht="24.0" customHeight="1">
      <c r="A50" s="262" t="s">
        <v>377</v>
      </c>
      <c r="B50" s="262" t="s">
        <v>32</v>
      </c>
      <c r="C50" s="262" t="s">
        <v>1027</v>
      </c>
      <c r="D50" s="262" t="s">
        <v>1028</v>
      </c>
      <c r="E50" s="262" t="s">
        <v>154</v>
      </c>
      <c r="F50" s="262" t="s">
        <v>1029</v>
      </c>
      <c r="G50" s="262" t="s">
        <v>381</v>
      </c>
      <c r="H50" s="244"/>
      <c r="I50" s="244"/>
      <c r="J50" s="244"/>
      <c r="K50" s="244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</row>
    <row r="51" ht="14.25" customHeight="1">
      <c r="A51" s="263" t="s">
        <v>1116</v>
      </c>
      <c r="B51" s="263" t="s">
        <v>1025</v>
      </c>
      <c r="C51" s="263" t="s">
        <v>1272</v>
      </c>
      <c r="D51" s="265" t="s">
        <v>243</v>
      </c>
      <c r="E51" s="263" t="s">
        <v>1118</v>
      </c>
      <c r="F51" s="263" t="s">
        <v>1119</v>
      </c>
      <c r="G51" s="263" t="s">
        <v>1053</v>
      </c>
      <c r="H51" s="244"/>
      <c r="I51" s="244"/>
      <c r="J51" s="244"/>
      <c r="K51" s="244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</row>
    <row r="52" ht="14.25" customHeight="1">
      <c r="A52" s="263" t="s">
        <v>1120</v>
      </c>
      <c r="B52" s="263" t="s">
        <v>1023</v>
      </c>
      <c r="C52" s="263" t="s">
        <v>1273</v>
      </c>
      <c r="D52" s="265" t="s">
        <v>1200</v>
      </c>
      <c r="E52" s="263" t="s">
        <v>1183</v>
      </c>
      <c r="F52" s="263" t="s">
        <v>1119</v>
      </c>
      <c r="G52" s="263" t="s">
        <v>1053</v>
      </c>
      <c r="H52" s="244"/>
      <c r="I52" s="244"/>
      <c r="J52" s="244"/>
      <c r="K52" s="244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</row>
    <row r="53" ht="14.25" customHeight="1">
      <c r="A53" s="263"/>
      <c r="B53" s="263"/>
      <c r="C53" s="263"/>
      <c r="D53" s="263"/>
      <c r="E53" s="263"/>
      <c r="F53" s="263"/>
      <c r="G53" s="263"/>
      <c r="H53" s="244"/>
      <c r="I53" s="244"/>
      <c r="J53" s="244"/>
      <c r="K53" s="244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</row>
    <row r="54" ht="14.25" customHeight="1">
      <c r="A54" s="263"/>
      <c r="B54" s="263"/>
      <c r="C54" s="263"/>
      <c r="D54" s="263"/>
      <c r="E54" s="263"/>
      <c r="F54" s="263"/>
      <c r="G54" s="263"/>
      <c r="H54" s="244"/>
      <c r="I54" s="244"/>
      <c r="J54" s="244"/>
      <c r="K54" s="244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</row>
    <row r="55" ht="14.25" customHeight="1">
      <c r="A55" s="263"/>
      <c r="B55" s="263"/>
      <c r="C55" s="263"/>
      <c r="D55" s="263"/>
      <c r="E55" s="263"/>
      <c r="F55" s="263"/>
      <c r="G55" s="263"/>
      <c r="H55" s="244"/>
      <c r="I55" s="244"/>
      <c r="J55" s="244"/>
      <c r="K55" s="244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</row>
    <row r="56" ht="14.25" customHeight="1">
      <c r="A56" s="244"/>
      <c r="B56" s="244"/>
      <c r="C56" s="244"/>
      <c r="D56" s="244"/>
      <c r="E56" s="244"/>
      <c r="F56" s="244"/>
      <c r="G56" s="244"/>
      <c r="H56" s="244"/>
      <c r="I56" s="244"/>
      <c r="J56" s="244"/>
      <c r="K56" s="244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</row>
    <row r="57" ht="14.25" customHeight="1">
      <c r="A57" s="244"/>
      <c r="B57" s="244"/>
      <c r="C57" s="244"/>
      <c r="D57" s="244"/>
      <c r="E57" s="244"/>
      <c r="F57" s="244"/>
      <c r="G57" s="244"/>
      <c r="H57" s="244"/>
      <c r="I57" s="244"/>
      <c r="J57" s="244"/>
      <c r="K57" s="244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</row>
    <row r="58" ht="14.25" customHeight="1">
      <c r="A58" s="267" t="s">
        <v>1030</v>
      </c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20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</row>
    <row r="59" ht="14.25" customHeight="1">
      <c r="A59" s="268"/>
      <c r="B59" s="269" t="s">
        <v>1031</v>
      </c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20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</row>
    <row r="60" ht="14.25" customHeight="1">
      <c r="A60" s="268" t="s">
        <v>1024</v>
      </c>
      <c r="B60" s="269" t="s">
        <v>1032</v>
      </c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20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</row>
    <row r="61" ht="14.25" customHeight="1">
      <c r="A61" s="268" t="s">
        <v>1023</v>
      </c>
      <c r="B61" s="269" t="s">
        <v>1033</v>
      </c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20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</row>
    <row r="62" ht="14.25" customHeight="1">
      <c r="A62" s="268" t="s">
        <v>1022</v>
      </c>
      <c r="B62" s="269" t="s">
        <v>1034</v>
      </c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20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</row>
    <row r="63" ht="14.25" customHeight="1">
      <c r="A63" s="268" t="s">
        <v>1025</v>
      </c>
      <c r="B63" s="269" t="s">
        <v>1035</v>
      </c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20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</row>
    <row r="64" ht="14.25" customHeight="1">
      <c r="A64" s="268"/>
      <c r="B64" s="269" t="s">
        <v>1036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20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</row>
    <row r="65" ht="14.25" customHeight="1">
      <c r="A65" s="268" t="s">
        <v>1037</v>
      </c>
      <c r="B65" s="269" t="s">
        <v>1038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20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</row>
    <row r="66" ht="14.25" customHeight="1">
      <c r="A66" s="268" t="s">
        <v>1039</v>
      </c>
      <c r="B66" s="269" t="s">
        <v>1040</v>
      </c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20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</row>
    <row r="67" ht="14.25" customHeight="1">
      <c r="A67" s="268" t="s">
        <v>1041</v>
      </c>
      <c r="B67" s="269" t="s">
        <v>1042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20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</row>
    <row r="68" ht="14.25" customHeight="1">
      <c r="A68" s="268" t="s">
        <v>1043</v>
      </c>
      <c r="B68" s="269" t="s">
        <v>1044</v>
      </c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20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</row>
    <row r="69" ht="14.25" customHeight="1">
      <c r="A69" s="268" t="s">
        <v>1045</v>
      </c>
      <c r="B69" s="269" t="s">
        <v>1046</v>
      </c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20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</row>
    <row r="70" ht="14.25" customHeight="1">
      <c r="A70" s="268" t="s">
        <v>1047</v>
      </c>
      <c r="B70" s="269" t="s">
        <v>1048</v>
      </c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20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</row>
    <row r="71" ht="14.25" customHeight="1">
      <c r="A71" s="268" t="s">
        <v>1049</v>
      </c>
      <c r="B71" s="269" t="s">
        <v>1050</v>
      </c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20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</row>
    <row r="72" ht="14.25" customHeight="1">
      <c r="A72" s="268" t="s">
        <v>1051</v>
      </c>
      <c r="B72" s="269" t="s">
        <v>1052</v>
      </c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20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</row>
    <row r="73" ht="14.25" customHeight="1">
      <c r="A73" s="268" t="s">
        <v>1053</v>
      </c>
      <c r="B73" s="269" t="s">
        <v>1054</v>
      </c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20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</row>
    <row r="74" ht="14.25" customHeight="1">
      <c r="A74" s="268"/>
      <c r="B74" s="269" t="s">
        <v>1055</v>
      </c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20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</row>
    <row r="75" ht="14.25" customHeight="1">
      <c r="A75" s="268" t="s">
        <v>1056</v>
      </c>
      <c r="B75" s="269" t="s">
        <v>1057</v>
      </c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20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</row>
    <row r="76" ht="14.25" customHeight="1">
      <c r="A76" s="268" t="s">
        <v>1058</v>
      </c>
      <c r="B76" s="269" t="s">
        <v>1059</v>
      </c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20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</row>
    <row r="77" ht="14.25" customHeight="1">
      <c r="A77" s="268" t="s">
        <v>1060</v>
      </c>
      <c r="B77" s="269" t="s">
        <v>1061</v>
      </c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20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</row>
    <row r="78" ht="14.25" customHeight="1">
      <c r="A78" s="268" t="s">
        <v>1062</v>
      </c>
      <c r="B78" s="269" t="s">
        <v>1063</v>
      </c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20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</row>
    <row r="79" ht="14.25" customHeight="1">
      <c r="A79" s="268"/>
      <c r="B79" s="269" t="s">
        <v>1064</v>
      </c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20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</row>
    <row r="80" ht="14.25" customHeight="1">
      <c r="A80" s="268" t="s">
        <v>1065</v>
      </c>
      <c r="B80" s="269" t="s">
        <v>1066</v>
      </c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20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</row>
    <row r="81" ht="14.25" customHeight="1">
      <c r="A81" s="268" t="s">
        <v>1067</v>
      </c>
      <c r="B81" s="269" t="s">
        <v>1068</v>
      </c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20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</row>
    <row r="82" ht="14.25" customHeight="1">
      <c r="A82" s="268" t="s">
        <v>1069</v>
      </c>
      <c r="B82" s="269" t="s">
        <v>1070</v>
      </c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20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</row>
    <row r="83" ht="14.25" customHeight="1">
      <c r="A83" s="268" t="s">
        <v>1071</v>
      </c>
      <c r="B83" s="269" t="s">
        <v>1072</v>
      </c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20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</row>
    <row r="84" ht="14.25" customHeight="1">
      <c r="A84" s="244"/>
      <c r="B84" s="244"/>
      <c r="C84" s="244"/>
      <c r="D84" s="244"/>
      <c r="E84" s="244"/>
      <c r="F84" s="244"/>
      <c r="G84" s="244"/>
      <c r="H84" s="244"/>
      <c r="I84" s="244"/>
      <c r="J84" s="244"/>
      <c r="K84" s="244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</row>
    <row r="85" ht="14.25" customHeight="1">
      <c r="A85" s="244"/>
      <c r="B85" s="244"/>
      <c r="C85" s="244"/>
      <c r="D85" s="244"/>
      <c r="E85" s="244"/>
      <c r="F85" s="244"/>
      <c r="G85" s="244"/>
      <c r="H85" s="244"/>
      <c r="I85" s="244"/>
      <c r="J85" s="244"/>
      <c r="K85" s="244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</row>
    <row r="86" ht="14.25" customHeight="1">
      <c r="A86" s="244"/>
      <c r="B86" s="244"/>
      <c r="C86" s="244"/>
      <c r="D86" s="244"/>
      <c r="E86" s="244"/>
      <c r="F86" s="244"/>
      <c r="G86" s="244"/>
      <c r="H86" s="244"/>
      <c r="I86" s="244"/>
      <c r="J86" s="244"/>
      <c r="K86" s="244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</row>
    <row r="87" ht="14.25" customHeight="1">
      <c r="A87" s="244"/>
      <c r="B87" s="244"/>
      <c r="C87" s="244"/>
      <c r="D87" s="244"/>
      <c r="E87" s="244"/>
      <c r="F87" s="244"/>
      <c r="G87" s="244"/>
      <c r="H87" s="244"/>
      <c r="I87" s="244"/>
      <c r="J87" s="244"/>
      <c r="K87" s="244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</row>
    <row r="88" ht="14.25" customHeight="1">
      <c r="A88" s="244"/>
      <c r="B88" s="244"/>
      <c r="C88" s="244"/>
      <c r="D88" s="244"/>
      <c r="E88" s="244"/>
      <c r="F88" s="244"/>
      <c r="G88" s="244"/>
      <c r="H88" s="244"/>
      <c r="I88" s="244"/>
      <c r="J88" s="244"/>
      <c r="K88" s="244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</row>
    <row r="89" ht="14.25" customHeight="1">
      <c r="A89" s="244"/>
      <c r="B89" s="244"/>
      <c r="C89" s="244"/>
      <c r="D89" s="244"/>
      <c r="E89" s="244"/>
      <c r="F89" s="244"/>
      <c r="G89" s="244"/>
      <c r="H89" s="244"/>
      <c r="I89" s="244"/>
      <c r="J89" s="244"/>
      <c r="K89" s="244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</row>
    <row r="90" ht="14.25" customHeight="1">
      <c r="A90" s="244"/>
      <c r="B90" s="244"/>
      <c r="C90" s="244"/>
      <c r="D90" s="244"/>
      <c r="E90" s="244"/>
      <c r="F90" s="244"/>
      <c r="G90" s="244"/>
      <c r="H90" s="244"/>
      <c r="I90" s="244"/>
      <c r="J90" s="244"/>
      <c r="K90" s="244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</row>
    <row r="91" ht="14.25" customHeight="1">
      <c r="A91" s="244"/>
      <c r="B91" s="244"/>
      <c r="C91" s="244"/>
      <c r="D91" s="244"/>
      <c r="E91" s="244"/>
      <c r="F91" s="244"/>
      <c r="G91" s="244"/>
      <c r="H91" s="244"/>
      <c r="I91" s="244"/>
      <c r="J91" s="244"/>
      <c r="K91" s="244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</row>
    <row r="92" ht="14.25" customHeight="1">
      <c r="A92" s="244"/>
      <c r="B92" s="244"/>
      <c r="C92" s="244"/>
      <c r="D92" s="244"/>
      <c r="E92" s="244"/>
      <c r="F92" s="244"/>
      <c r="G92" s="244"/>
      <c r="H92" s="244"/>
      <c r="I92" s="244"/>
      <c r="J92" s="244"/>
      <c r="K92" s="244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</row>
    <row r="93" ht="14.25" customHeight="1">
      <c r="A93" s="244"/>
      <c r="B93" s="244"/>
      <c r="C93" s="244"/>
      <c r="D93" s="244"/>
      <c r="E93" s="244"/>
      <c r="F93" s="244"/>
      <c r="G93" s="244"/>
      <c r="H93" s="244"/>
      <c r="I93" s="244"/>
      <c r="J93" s="244"/>
      <c r="K93" s="244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</row>
    <row r="94" ht="14.25" customHeight="1">
      <c r="A94" s="244"/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</row>
    <row r="95" ht="14.25" customHeight="1">
      <c r="A95" s="244"/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</row>
    <row r="96" ht="14.25" customHeight="1">
      <c r="A96" s="244"/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</row>
    <row r="97" ht="14.25" customHeight="1">
      <c r="A97" s="24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</row>
    <row r="98" ht="14.25" customHeight="1">
      <c r="A98" s="24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</row>
    <row r="99" ht="14.25" customHeight="1">
      <c r="A99" s="24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</row>
    <row r="100" ht="14.25" customHeight="1">
      <c r="A100" s="244"/>
      <c r="B100" s="244"/>
      <c r="C100" s="244"/>
      <c r="D100" s="244"/>
      <c r="E100" s="244"/>
      <c r="F100" s="244"/>
      <c r="G100" s="244"/>
      <c r="H100" s="244"/>
      <c r="I100" s="244"/>
      <c r="J100" s="244"/>
      <c r="K100" s="244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</row>
    <row r="101" ht="14.25" customHeight="1">
      <c r="A101" s="244"/>
      <c r="B101" s="244"/>
      <c r="C101" s="244"/>
      <c r="D101" s="244"/>
      <c r="E101" s="244"/>
      <c r="F101" s="244"/>
      <c r="G101" s="244"/>
      <c r="H101" s="244"/>
      <c r="I101" s="244"/>
      <c r="J101" s="244"/>
      <c r="K101" s="244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</row>
    <row r="102" ht="14.25" customHeight="1">
      <c r="A102" s="244"/>
      <c r="B102" s="244"/>
      <c r="C102" s="244"/>
      <c r="D102" s="244"/>
      <c r="E102" s="244"/>
      <c r="F102" s="244"/>
      <c r="G102" s="244"/>
      <c r="H102" s="244"/>
      <c r="I102" s="244"/>
      <c r="J102" s="244"/>
      <c r="K102" s="244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</row>
    <row r="103" ht="14.25" customHeight="1">
      <c r="A103" s="244"/>
      <c r="B103" s="244"/>
      <c r="C103" s="244"/>
      <c r="D103" s="244"/>
      <c r="E103" s="244"/>
      <c r="F103" s="244"/>
      <c r="G103" s="244"/>
      <c r="H103" s="244"/>
      <c r="I103" s="244"/>
      <c r="J103" s="244"/>
      <c r="K103" s="244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</row>
    <row r="104" ht="14.25" customHeight="1">
      <c r="A104" s="244"/>
      <c r="B104" s="244"/>
      <c r="C104" s="244"/>
      <c r="D104" s="244"/>
      <c r="E104" s="244"/>
      <c r="F104" s="244"/>
      <c r="G104" s="244"/>
      <c r="H104" s="244"/>
      <c r="I104" s="244"/>
      <c r="J104" s="244"/>
      <c r="K104" s="244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</row>
    <row r="105" ht="14.25" customHeight="1">
      <c r="A105" s="244"/>
      <c r="B105" s="244"/>
      <c r="C105" s="244"/>
      <c r="D105" s="244"/>
      <c r="E105" s="244"/>
      <c r="F105" s="244"/>
      <c r="G105" s="244"/>
      <c r="H105" s="244"/>
      <c r="I105" s="244"/>
      <c r="J105" s="244"/>
      <c r="K105" s="244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</row>
    <row r="106" ht="14.25" customHeight="1">
      <c r="A106" s="244"/>
      <c r="B106" s="244"/>
      <c r="C106" s="244"/>
      <c r="D106" s="244"/>
      <c r="E106" s="244"/>
      <c r="F106" s="244"/>
      <c r="G106" s="244"/>
      <c r="H106" s="244"/>
      <c r="I106" s="244"/>
      <c r="J106" s="244"/>
      <c r="K106" s="244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</row>
    <row r="107" ht="14.25" customHeight="1">
      <c r="A107" s="244"/>
      <c r="B107" s="244"/>
      <c r="C107" s="244"/>
      <c r="D107" s="244"/>
      <c r="E107" s="244"/>
      <c r="F107" s="244"/>
      <c r="G107" s="244"/>
      <c r="H107" s="244"/>
      <c r="I107" s="244"/>
      <c r="J107" s="244"/>
      <c r="K107" s="244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</row>
    <row r="108" ht="14.25" customHeight="1">
      <c r="A108" s="244"/>
      <c r="B108" s="244"/>
      <c r="C108" s="244"/>
      <c r="D108" s="244"/>
      <c r="E108" s="244"/>
      <c r="F108" s="244"/>
      <c r="G108" s="244"/>
      <c r="H108" s="244"/>
      <c r="I108" s="244"/>
      <c r="J108" s="244"/>
      <c r="K108" s="244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</row>
    <row r="109" ht="14.25" customHeight="1">
      <c r="A109" s="244"/>
      <c r="B109" s="244"/>
      <c r="C109" s="244"/>
      <c r="D109" s="244"/>
      <c r="E109" s="244"/>
      <c r="F109" s="244"/>
      <c r="G109" s="244"/>
      <c r="H109" s="244"/>
      <c r="I109" s="244"/>
      <c r="J109" s="244"/>
      <c r="K109" s="244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</row>
    <row r="110" ht="14.25" customHeight="1">
      <c r="A110" s="244"/>
      <c r="B110" s="244"/>
      <c r="C110" s="244"/>
      <c r="D110" s="244"/>
      <c r="E110" s="244"/>
      <c r="F110" s="244"/>
      <c r="G110" s="244"/>
      <c r="H110" s="244"/>
      <c r="I110" s="244"/>
      <c r="J110" s="244"/>
      <c r="K110" s="244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</row>
    <row r="111" ht="14.25" customHeight="1">
      <c r="A111" s="244"/>
      <c r="B111" s="244"/>
      <c r="C111" s="244"/>
      <c r="D111" s="244"/>
      <c r="E111" s="244"/>
      <c r="F111" s="244"/>
      <c r="G111" s="244"/>
      <c r="H111" s="244"/>
      <c r="I111" s="244"/>
      <c r="J111" s="244"/>
      <c r="K111" s="244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</row>
    <row r="112" ht="14.25" customHeight="1">
      <c r="A112" s="244"/>
      <c r="B112" s="244"/>
      <c r="C112" s="244"/>
      <c r="D112" s="244"/>
      <c r="E112" s="244"/>
      <c r="F112" s="244"/>
      <c r="G112" s="244"/>
      <c r="H112" s="244"/>
      <c r="I112" s="244"/>
      <c r="J112" s="244"/>
      <c r="K112" s="244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</row>
    <row r="113" ht="14.25" customHeight="1">
      <c r="A113" s="244"/>
      <c r="B113" s="244"/>
      <c r="C113" s="244"/>
      <c r="D113" s="244"/>
      <c r="E113" s="244"/>
      <c r="F113" s="244"/>
      <c r="G113" s="244"/>
      <c r="H113" s="244"/>
      <c r="I113" s="244"/>
      <c r="J113" s="244"/>
      <c r="K113" s="244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</row>
    <row r="114" ht="14.25" customHeight="1">
      <c r="A114" s="244"/>
      <c r="B114" s="244"/>
      <c r="C114" s="244"/>
      <c r="D114" s="244"/>
      <c r="E114" s="244"/>
      <c r="F114" s="244"/>
      <c r="G114" s="244"/>
      <c r="H114" s="244"/>
      <c r="I114" s="244"/>
      <c r="J114" s="244"/>
      <c r="K114" s="244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</row>
    <row r="115" ht="14.25" customHeight="1">
      <c r="A115" s="244"/>
      <c r="B115" s="244"/>
      <c r="C115" s="244"/>
      <c r="D115" s="244"/>
      <c r="E115" s="244"/>
      <c r="F115" s="244"/>
      <c r="G115" s="244"/>
      <c r="H115" s="244"/>
      <c r="I115" s="244"/>
      <c r="J115" s="244"/>
      <c r="K115" s="244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</row>
    <row r="116" ht="14.25" customHeight="1">
      <c r="A116" s="244"/>
      <c r="B116" s="244"/>
      <c r="C116" s="244"/>
      <c r="D116" s="244"/>
      <c r="E116" s="244"/>
      <c r="F116" s="244"/>
      <c r="G116" s="244"/>
      <c r="H116" s="244"/>
      <c r="I116" s="244"/>
      <c r="J116" s="244"/>
      <c r="K116" s="244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</row>
    <row r="117" ht="14.25" customHeight="1">
      <c r="A117" s="244"/>
      <c r="B117" s="244"/>
      <c r="C117" s="244"/>
      <c r="D117" s="244"/>
      <c r="E117" s="244"/>
      <c r="F117" s="244"/>
      <c r="G117" s="244"/>
      <c r="H117" s="244"/>
      <c r="I117" s="244"/>
      <c r="J117" s="244"/>
      <c r="K117" s="244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</row>
    <row r="118" ht="14.25" customHeight="1">
      <c r="A118" s="244"/>
      <c r="B118" s="244"/>
      <c r="C118" s="244"/>
      <c r="D118" s="244"/>
      <c r="E118" s="244"/>
      <c r="F118" s="244"/>
      <c r="G118" s="244"/>
      <c r="H118" s="244"/>
      <c r="I118" s="244"/>
      <c r="J118" s="244"/>
      <c r="K118" s="244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</row>
    <row r="119" ht="14.25" customHeight="1">
      <c r="A119" s="244"/>
      <c r="B119" s="244"/>
      <c r="C119" s="244"/>
      <c r="D119" s="244"/>
      <c r="E119" s="244"/>
      <c r="F119" s="244"/>
      <c r="G119" s="244"/>
      <c r="H119" s="244"/>
      <c r="I119" s="244"/>
      <c r="J119" s="244"/>
      <c r="K119" s="244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</row>
    <row r="120" ht="14.25" customHeight="1">
      <c r="A120" s="244"/>
      <c r="B120" s="244"/>
      <c r="C120" s="244"/>
      <c r="D120" s="244"/>
      <c r="E120" s="244"/>
      <c r="F120" s="244"/>
      <c r="G120" s="244"/>
      <c r="H120" s="244"/>
      <c r="I120" s="244"/>
      <c r="J120" s="244"/>
      <c r="K120" s="244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</row>
    <row r="121" ht="14.25" customHeight="1">
      <c r="A121" s="244"/>
      <c r="B121" s="244"/>
      <c r="C121" s="244"/>
      <c r="D121" s="244"/>
      <c r="E121" s="244"/>
      <c r="F121" s="244"/>
      <c r="G121" s="244"/>
      <c r="H121" s="244"/>
      <c r="I121" s="244"/>
      <c r="J121" s="244"/>
      <c r="K121" s="244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</row>
    <row r="122" ht="14.25" customHeight="1">
      <c r="A122" s="244"/>
      <c r="B122" s="244"/>
      <c r="C122" s="244"/>
      <c r="D122" s="244"/>
      <c r="E122" s="244"/>
      <c r="F122" s="244"/>
      <c r="G122" s="244"/>
      <c r="H122" s="244"/>
      <c r="I122" s="244"/>
      <c r="J122" s="244"/>
      <c r="K122" s="244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</row>
    <row r="123" ht="14.25" customHeight="1">
      <c r="A123" s="244"/>
      <c r="B123" s="244"/>
      <c r="C123" s="244"/>
      <c r="D123" s="244"/>
      <c r="E123" s="244"/>
      <c r="F123" s="244"/>
      <c r="G123" s="244"/>
      <c r="H123" s="244"/>
      <c r="I123" s="244"/>
      <c r="J123" s="244"/>
      <c r="K123" s="244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</row>
    <row r="124" ht="14.25" customHeight="1">
      <c r="A124" s="244"/>
      <c r="B124" s="244"/>
      <c r="C124" s="244"/>
      <c r="D124" s="244"/>
      <c r="E124" s="244"/>
      <c r="F124" s="244"/>
      <c r="G124" s="244"/>
      <c r="H124" s="244"/>
      <c r="I124" s="244"/>
      <c r="J124" s="244"/>
      <c r="K124" s="244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</row>
    <row r="125" ht="14.25" customHeight="1">
      <c r="A125" s="244"/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</row>
    <row r="126" ht="14.25" customHeight="1">
      <c r="A126" s="244"/>
      <c r="B126" s="244"/>
      <c r="C126" s="244"/>
      <c r="D126" s="244"/>
      <c r="E126" s="244"/>
      <c r="F126" s="244"/>
      <c r="G126" s="244"/>
      <c r="H126" s="244"/>
      <c r="I126" s="244"/>
      <c r="J126" s="244"/>
      <c r="K126" s="244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</row>
    <row r="127" ht="14.25" customHeight="1">
      <c r="A127" s="244"/>
      <c r="B127" s="244"/>
      <c r="C127" s="244"/>
      <c r="D127" s="244"/>
      <c r="E127" s="244"/>
      <c r="F127" s="244"/>
      <c r="G127" s="244"/>
      <c r="H127" s="244"/>
      <c r="I127" s="244"/>
      <c r="J127" s="244"/>
      <c r="K127" s="244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</row>
    <row r="128" ht="14.25" customHeight="1">
      <c r="A128" s="244"/>
      <c r="B128" s="244"/>
      <c r="C128" s="244"/>
      <c r="D128" s="244"/>
      <c r="E128" s="244"/>
      <c r="F128" s="244"/>
      <c r="G128" s="244"/>
      <c r="H128" s="244"/>
      <c r="I128" s="244"/>
      <c r="J128" s="244"/>
      <c r="K128" s="244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</row>
    <row r="129" ht="14.25" customHeight="1">
      <c r="A129" s="244"/>
      <c r="B129" s="244"/>
      <c r="C129" s="244"/>
      <c r="D129" s="244"/>
      <c r="E129" s="244"/>
      <c r="F129" s="244"/>
      <c r="G129" s="244"/>
      <c r="H129" s="244"/>
      <c r="I129" s="244"/>
      <c r="J129" s="244"/>
      <c r="K129" s="244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</row>
    <row r="130" ht="14.25" customHeight="1">
      <c r="A130" s="244"/>
      <c r="B130" s="244"/>
      <c r="C130" s="244"/>
      <c r="D130" s="244"/>
      <c r="E130" s="244"/>
      <c r="F130" s="244"/>
      <c r="G130" s="244"/>
      <c r="H130" s="244"/>
      <c r="I130" s="244"/>
      <c r="J130" s="244"/>
      <c r="K130" s="244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</row>
    <row r="131" ht="14.25" customHeight="1">
      <c r="A131" s="244"/>
      <c r="B131" s="244"/>
      <c r="C131" s="244"/>
      <c r="D131" s="244"/>
      <c r="E131" s="244"/>
      <c r="F131" s="244"/>
      <c r="G131" s="244"/>
      <c r="H131" s="244"/>
      <c r="I131" s="244"/>
      <c r="J131" s="244"/>
      <c r="K131" s="244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</row>
    <row r="132" ht="14.25" customHeight="1">
      <c r="A132" s="244"/>
      <c r="B132" s="244"/>
      <c r="C132" s="244"/>
      <c r="D132" s="244"/>
      <c r="E132" s="244"/>
      <c r="F132" s="244"/>
      <c r="G132" s="244"/>
      <c r="H132" s="244"/>
      <c r="I132" s="244"/>
      <c r="J132" s="244"/>
      <c r="K132" s="244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</row>
    <row r="133" ht="14.25" customHeight="1">
      <c r="A133" s="244"/>
      <c r="B133" s="244"/>
      <c r="C133" s="244"/>
      <c r="D133" s="244"/>
      <c r="E133" s="244"/>
      <c r="F133" s="244"/>
      <c r="G133" s="244"/>
      <c r="H133" s="244"/>
      <c r="I133" s="244"/>
      <c r="J133" s="244"/>
      <c r="K133" s="244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</row>
    <row r="134" ht="14.25" customHeight="1">
      <c r="A134" s="244"/>
      <c r="B134" s="244"/>
      <c r="C134" s="244"/>
      <c r="D134" s="244"/>
      <c r="E134" s="244"/>
      <c r="F134" s="244"/>
      <c r="G134" s="244"/>
      <c r="H134" s="244"/>
      <c r="I134" s="244"/>
      <c r="J134" s="244"/>
      <c r="K134" s="244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</row>
    <row r="135" ht="14.25" customHeight="1">
      <c r="A135" s="244"/>
      <c r="B135" s="244"/>
      <c r="C135" s="244"/>
      <c r="D135" s="244"/>
      <c r="E135" s="244"/>
      <c r="F135" s="244"/>
      <c r="G135" s="244"/>
      <c r="H135" s="244"/>
      <c r="I135" s="244"/>
      <c r="J135" s="244"/>
      <c r="K135" s="244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</row>
    <row r="136" ht="14.25" customHeight="1">
      <c r="A136" s="244"/>
      <c r="B136" s="244"/>
      <c r="C136" s="244"/>
      <c r="D136" s="244"/>
      <c r="E136" s="244"/>
      <c r="F136" s="244"/>
      <c r="G136" s="244"/>
      <c r="H136" s="244"/>
      <c r="I136" s="244"/>
      <c r="J136" s="244"/>
      <c r="K136" s="244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</row>
    <row r="137" ht="14.25" customHeight="1">
      <c r="A137" s="244"/>
      <c r="B137" s="244"/>
      <c r="C137" s="244"/>
      <c r="D137" s="244"/>
      <c r="E137" s="244"/>
      <c r="F137" s="244"/>
      <c r="G137" s="244"/>
      <c r="H137" s="244"/>
      <c r="I137" s="244"/>
      <c r="J137" s="244"/>
      <c r="K137" s="244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</row>
    <row r="138" ht="14.25" customHeight="1">
      <c r="A138" s="244"/>
      <c r="B138" s="244"/>
      <c r="C138" s="244"/>
      <c r="D138" s="244"/>
      <c r="E138" s="244"/>
      <c r="F138" s="244"/>
      <c r="G138" s="244"/>
      <c r="H138" s="244"/>
      <c r="I138" s="244"/>
      <c r="J138" s="244"/>
      <c r="K138" s="244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</row>
    <row r="139" ht="14.25" customHeight="1">
      <c r="A139" s="244"/>
      <c r="B139" s="244"/>
      <c r="C139" s="244"/>
      <c r="D139" s="244"/>
      <c r="E139" s="244"/>
      <c r="F139" s="244"/>
      <c r="G139" s="244"/>
      <c r="H139" s="244"/>
      <c r="I139" s="244"/>
      <c r="J139" s="244"/>
      <c r="K139" s="244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</row>
    <row r="140" ht="14.25" customHeight="1">
      <c r="A140" s="244"/>
      <c r="B140" s="244"/>
      <c r="C140" s="244"/>
      <c r="D140" s="244"/>
      <c r="E140" s="244"/>
      <c r="F140" s="244"/>
      <c r="G140" s="244"/>
      <c r="H140" s="244"/>
      <c r="I140" s="244"/>
      <c r="J140" s="244"/>
      <c r="K140" s="244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</row>
    <row r="141" ht="14.25" customHeight="1">
      <c r="A141" s="244"/>
      <c r="B141" s="244"/>
      <c r="C141" s="244"/>
      <c r="D141" s="244"/>
      <c r="E141" s="244"/>
      <c r="F141" s="244"/>
      <c r="G141" s="244"/>
      <c r="H141" s="244"/>
      <c r="I141" s="244"/>
      <c r="J141" s="244"/>
      <c r="K141" s="244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</row>
    <row r="142" ht="14.25" customHeight="1">
      <c r="A142" s="244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</row>
    <row r="143" ht="14.25" customHeight="1">
      <c r="A143" s="244"/>
      <c r="B143" s="244"/>
      <c r="C143" s="244"/>
      <c r="D143" s="244"/>
      <c r="E143" s="244"/>
      <c r="F143" s="244"/>
      <c r="G143" s="244"/>
      <c r="H143" s="244"/>
      <c r="I143" s="244"/>
      <c r="J143" s="244"/>
      <c r="K143" s="244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</row>
    <row r="144" ht="14.25" customHeight="1">
      <c r="A144" s="244"/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</row>
    <row r="145" ht="14.25" customHeight="1">
      <c r="A145" s="244"/>
      <c r="B145" s="244"/>
      <c r="C145" s="244"/>
      <c r="D145" s="244"/>
      <c r="E145" s="244"/>
      <c r="F145" s="244"/>
      <c r="G145" s="244"/>
      <c r="H145" s="244"/>
      <c r="I145" s="244"/>
      <c r="J145" s="244"/>
      <c r="K145" s="244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</row>
    <row r="146" ht="14.25" customHeight="1">
      <c r="A146" s="244"/>
      <c r="B146" s="244"/>
      <c r="C146" s="244"/>
      <c r="D146" s="244"/>
      <c r="E146" s="244"/>
      <c r="F146" s="244"/>
      <c r="G146" s="244"/>
      <c r="H146" s="244"/>
      <c r="I146" s="244"/>
      <c r="J146" s="244"/>
      <c r="K146" s="244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</row>
    <row r="147" ht="14.25" customHeight="1">
      <c r="A147" s="244"/>
      <c r="B147" s="244"/>
      <c r="C147" s="244"/>
      <c r="D147" s="244"/>
      <c r="E147" s="244"/>
      <c r="F147" s="244"/>
      <c r="G147" s="244"/>
      <c r="H147" s="244"/>
      <c r="I147" s="244"/>
      <c r="J147" s="244"/>
      <c r="K147" s="244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</row>
    <row r="148" ht="14.25" customHeight="1">
      <c r="A148" s="244"/>
      <c r="B148" s="244"/>
      <c r="C148" s="244"/>
      <c r="D148" s="244"/>
      <c r="E148" s="244"/>
      <c r="F148" s="244"/>
      <c r="G148" s="244"/>
      <c r="H148" s="244"/>
      <c r="I148" s="244"/>
      <c r="J148" s="244"/>
      <c r="K148" s="244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</row>
    <row r="149" ht="14.25" customHeight="1">
      <c r="A149" s="244"/>
      <c r="B149" s="244"/>
      <c r="C149" s="244"/>
      <c r="D149" s="244"/>
      <c r="E149" s="244"/>
      <c r="F149" s="244"/>
      <c r="G149" s="244"/>
      <c r="H149" s="244"/>
      <c r="I149" s="244"/>
      <c r="J149" s="244"/>
      <c r="K149" s="244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</row>
    <row r="150" ht="14.25" customHeight="1">
      <c r="A150" s="244"/>
      <c r="B150" s="244"/>
      <c r="C150" s="244"/>
      <c r="D150" s="244"/>
      <c r="E150" s="244"/>
      <c r="F150" s="244"/>
      <c r="G150" s="244"/>
      <c r="H150" s="244"/>
      <c r="I150" s="244"/>
      <c r="J150" s="244"/>
      <c r="K150" s="244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</row>
    <row r="151" ht="14.25" customHeight="1">
      <c r="A151" s="244"/>
      <c r="B151" s="244"/>
      <c r="C151" s="244"/>
      <c r="D151" s="244"/>
      <c r="E151" s="244"/>
      <c r="F151" s="244"/>
      <c r="G151" s="244"/>
      <c r="H151" s="244"/>
      <c r="I151" s="244"/>
      <c r="J151" s="244"/>
      <c r="K151" s="244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</row>
    <row r="152" ht="14.25" customHeight="1">
      <c r="A152" s="244"/>
      <c r="B152" s="244"/>
      <c r="C152" s="244"/>
      <c r="D152" s="244"/>
      <c r="E152" s="244"/>
      <c r="F152" s="244"/>
      <c r="G152" s="244"/>
      <c r="H152" s="244"/>
      <c r="I152" s="244"/>
      <c r="J152" s="244"/>
      <c r="K152" s="244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</row>
    <row r="153" ht="14.25" customHeight="1">
      <c r="A153" s="244"/>
      <c r="B153" s="244"/>
      <c r="C153" s="244"/>
      <c r="D153" s="244"/>
      <c r="E153" s="244"/>
      <c r="F153" s="244"/>
      <c r="G153" s="244"/>
      <c r="H153" s="244"/>
      <c r="I153" s="244"/>
      <c r="J153" s="244"/>
      <c r="K153" s="244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</row>
    <row r="154" ht="14.25" customHeight="1">
      <c r="A154" s="244"/>
      <c r="B154" s="244"/>
      <c r="C154" s="244"/>
      <c r="D154" s="244"/>
      <c r="E154" s="244"/>
      <c r="F154" s="244"/>
      <c r="G154" s="244"/>
      <c r="H154" s="244"/>
      <c r="I154" s="244"/>
      <c r="J154" s="244"/>
      <c r="K154" s="244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</row>
    <row r="155" ht="14.25" customHeight="1">
      <c r="A155" s="244"/>
      <c r="B155" s="244"/>
      <c r="C155" s="244"/>
      <c r="D155" s="244"/>
      <c r="E155" s="244"/>
      <c r="F155" s="244"/>
      <c r="G155" s="244"/>
      <c r="H155" s="244"/>
      <c r="I155" s="244"/>
      <c r="J155" s="244"/>
      <c r="K155" s="244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</row>
    <row r="156" ht="14.25" customHeight="1">
      <c r="A156" s="244"/>
      <c r="B156" s="244"/>
      <c r="C156" s="244"/>
      <c r="D156" s="244"/>
      <c r="E156" s="244"/>
      <c r="F156" s="244"/>
      <c r="G156" s="244"/>
      <c r="H156" s="244"/>
      <c r="I156" s="244"/>
      <c r="J156" s="244"/>
      <c r="K156" s="244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</row>
    <row r="157" ht="14.25" customHeight="1">
      <c r="A157" s="244"/>
      <c r="B157" s="244"/>
      <c r="C157" s="244"/>
      <c r="D157" s="244"/>
      <c r="E157" s="244"/>
      <c r="F157" s="244"/>
      <c r="G157" s="244"/>
      <c r="H157" s="244"/>
      <c r="I157" s="244"/>
      <c r="J157" s="244"/>
      <c r="K157" s="244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</row>
    <row r="158" ht="14.25" customHeight="1">
      <c r="A158" s="244"/>
      <c r="B158" s="244"/>
      <c r="C158" s="244"/>
      <c r="D158" s="244"/>
      <c r="E158" s="244"/>
      <c r="F158" s="244"/>
      <c r="G158" s="244"/>
      <c r="H158" s="244"/>
      <c r="I158" s="244"/>
      <c r="J158" s="244"/>
      <c r="K158" s="244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</row>
    <row r="159" ht="14.25" customHeight="1">
      <c r="A159" s="244"/>
      <c r="B159" s="244"/>
      <c r="C159" s="244"/>
      <c r="D159" s="244"/>
      <c r="E159" s="244"/>
      <c r="F159" s="244"/>
      <c r="G159" s="244"/>
      <c r="H159" s="244"/>
      <c r="I159" s="244"/>
      <c r="J159" s="244"/>
      <c r="K159" s="244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</row>
    <row r="160" ht="14.25" customHeight="1">
      <c r="A160" s="244"/>
      <c r="B160" s="244"/>
      <c r="C160" s="244"/>
      <c r="D160" s="244"/>
      <c r="E160" s="244"/>
      <c r="F160" s="244"/>
      <c r="G160" s="244"/>
      <c r="H160" s="244"/>
      <c r="I160" s="244"/>
      <c r="J160" s="244"/>
      <c r="K160" s="244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</row>
    <row r="161" ht="14.25" customHeight="1">
      <c r="A161" s="244"/>
      <c r="B161" s="244"/>
      <c r="C161" s="244"/>
      <c r="D161" s="244"/>
      <c r="E161" s="244"/>
      <c r="F161" s="244"/>
      <c r="G161" s="244"/>
      <c r="H161" s="244"/>
      <c r="I161" s="244"/>
      <c r="J161" s="244"/>
      <c r="K161" s="244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</row>
    <row r="162" ht="14.25" customHeight="1">
      <c r="A162" s="244"/>
      <c r="B162" s="244"/>
      <c r="C162" s="244"/>
      <c r="D162" s="244"/>
      <c r="E162" s="244"/>
      <c r="F162" s="244"/>
      <c r="G162" s="244"/>
      <c r="H162" s="244"/>
      <c r="I162" s="244"/>
      <c r="J162" s="244"/>
      <c r="K162" s="244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</row>
    <row r="163" ht="14.25" customHeight="1">
      <c r="A163" s="244"/>
      <c r="B163" s="244"/>
      <c r="C163" s="244"/>
      <c r="D163" s="244"/>
      <c r="E163" s="244"/>
      <c r="F163" s="244"/>
      <c r="G163" s="244"/>
      <c r="H163" s="244"/>
      <c r="I163" s="244"/>
      <c r="J163" s="244"/>
      <c r="K163" s="244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</row>
    <row r="164" ht="14.25" customHeight="1">
      <c r="A164" s="244"/>
      <c r="B164" s="244"/>
      <c r="C164" s="244"/>
      <c r="D164" s="244"/>
      <c r="E164" s="244"/>
      <c r="F164" s="244"/>
      <c r="G164" s="244"/>
      <c r="H164" s="244"/>
      <c r="I164" s="244"/>
      <c r="J164" s="244"/>
      <c r="K164" s="244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</row>
    <row r="165" ht="14.25" customHeight="1">
      <c r="A165" s="244"/>
      <c r="B165" s="244"/>
      <c r="C165" s="244"/>
      <c r="D165" s="244"/>
      <c r="E165" s="244"/>
      <c r="F165" s="244"/>
      <c r="G165" s="244"/>
      <c r="H165" s="244"/>
      <c r="I165" s="244"/>
      <c r="J165" s="244"/>
      <c r="K165" s="244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</row>
    <row r="166" ht="14.25" customHeight="1">
      <c r="A166" s="244"/>
      <c r="B166" s="244"/>
      <c r="C166" s="244"/>
      <c r="D166" s="244"/>
      <c r="E166" s="244"/>
      <c r="F166" s="244"/>
      <c r="G166" s="244"/>
      <c r="H166" s="244"/>
      <c r="I166" s="244"/>
      <c r="J166" s="244"/>
      <c r="K166" s="244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</row>
    <row r="167" ht="14.25" customHeight="1">
      <c r="A167" s="244"/>
      <c r="B167" s="244"/>
      <c r="C167" s="244"/>
      <c r="D167" s="244"/>
      <c r="E167" s="244"/>
      <c r="F167" s="244"/>
      <c r="G167" s="244"/>
      <c r="H167" s="244"/>
      <c r="I167" s="244"/>
      <c r="J167" s="244"/>
      <c r="K167" s="244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</row>
    <row r="168" ht="14.25" customHeight="1">
      <c r="A168" s="244"/>
      <c r="B168" s="244"/>
      <c r="C168" s="244"/>
      <c r="D168" s="244"/>
      <c r="E168" s="244"/>
      <c r="F168" s="244"/>
      <c r="G168" s="244"/>
      <c r="H168" s="244"/>
      <c r="I168" s="244"/>
      <c r="J168" s="244"/>
      <c r="K168" s="244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</row>
    <row r="169" ht="14.25" customHeight="1">
      <c r="A169" s="244"/>
      <c r="B169" s="244"/>
      <c r="C169" s="244"/>
      <c r="D169" s="244"/>
      <c r="E169" s="244"/>
      <c r="F169" s="244"/>
      <c r="G169" s="244"/>
      <c r="H169" s="244"/>
      <c r="I169" s="244"/>
      <c r="J169" s="244"/>
      <c r="K169" s="244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</row>
    <row r="170" ht="14.25" customHeight="1">
      <c r="A170" s="244"/>
      <c r="B170" s="244"/>
      <c r="C170" s="244"/>
      <c r="D170" s="244"/>
      <c r="E170" s="244"/>
      <c r="F170" s="244"/>
      <c r="G170" s="244"/>
      <c r="H170" s="244"/>
      <c r="I170" s="244"/>
      <c r="J170" s="244"/>
      <c r="K170" s="244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</row>
    <row r="171" ht="14.25" customHeight="1">
      <c r="A171" s="244"/>
      <c r="B171" s="244"/>
      <c r="C171" s="244"/>
      <c r="D171" s="244"/>
      <c r="E171" s="244"/>
      <c r="F171" s="244"/>
      <c r="G171" s="244"/>
      <c r="H171" s="244"/>
      <c r="I171" s="244"/>
      <c r="J171" s="244"/>
      <c r="K171" s="244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</row>
    <row r="172" ht="14.25" customHeight="1">
      <c r="A172" s="244"/>
      <c r="B172" s="244"/>
      <c r="C172" s="244"/>
      <c r="D172" s="244"/>
      <c r="E172" s="244"/>
      <c r="F172" s="244"/>
      <c r="G172" s="244"/>
      <c r="H172" s="244"/>
      <c r="I172" s="244"/>
      <c r="J172" s="244"/>
      <c r="K172" s="244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</row>
    <row r="173" ht="14.25" customHeight="1">
      <c r="A173" s="244"/>
      <c r="B173" s="244"/>
      <c r="C173" s="244"/>
      <c r="D173" s="244"/>
      <c r="E173" s="244"/>
      <c r="F173" s="244"/>
      <c r="G173" s="244"/>
      <c r="H173" s="244"/>
      <c r="I173" s="244"/>
      <c r="J173" s="244"/>
      <c r="K173" s="244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</row>
    <row r="174" ht="14.25" customHeight="1">
      <c r="A174" s="244"/>
      <c r="B174" s="244"/>
      <c r="C174" s="244"/>
      <c r="D174" s="244"/>
      <c r="E174" s="244"/>
      <c r="F174" s="244"/>
      <c r="G174" s="244"/>
      <c r="H174" s="244"/>
      <c r="I174" s="244"/>
      <c r="J174" s="244"/>
      <c r="K174" s="244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</row>
    <row r="175" ht="14.25" customHeight="1">
      <c r="A175" s="244"/>
      <c r="B175" s="244"/>
      <c r="C175" s="244"/>
      <c r="D175" s="244"/>
      <c r="E175" s="244"/>
      <c r="F175" s="244"/>
      <c r="G175" s="244"/>
      <c r="H175" s="244"/>
      <c r="I175" s="244"/>
      <c r="J175" s="244"/>
      <c r="K175" s="244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</row>
    <row r="176" ht="14.25" customHeight="1">
      <c r="A176" s="244"/>
      <c r="B176" s="244"/>
      <c r="C176" s="244"/>
      <c r="D176" s="244"/>
      <c r="E176" s="244"/>
      <c r="F176" s="244"/>
      <c r="G176" s="244"/>
      <c r="H176" s="244"/>
      <c r="I176" s="244"/>
      <c r="J176" s="244"/>
      <c r="K176" s="244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</row>
    <row r="177" ht="14.25" customHeight="1">
      <c r="A177" s="244"/>
      <c r="B177" s="244"/>
      <c r="C177" s="244"/>
      <c r="D177" s="244"/>
      <c r="E177" s="244"/>
      <c r="F177" s="244"/>
      <c r="G177" s="244"/>
      <c r="H177" s="244"/>
      <c r="I177" s="244"/>
      <c r="J177" s="244"/>
      <c r="K177" s="244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</row>
    <row r="178" ht="14.25" customHeight="1">
      <c r="A178" s="244"/>
      <c r="B178" s="244"/>
      <c r="C178" s="244"/>
      <c r="D178" s="244"/>
      <c r="E178" s="244"/>
      <c r="F178" s="244"/>
      <c r="G178" s="244"/>
      <c r="H178" s="244"/>
      <c r="I178" s="244"/>
      <c r="J178" s="244"/>
      <c r="K178" s="244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</row>
    <row r="179" ht="14.25" customHeight="1">
      <c r="A179" s="244"/>
      <c r="B179" s="244"/>
      <c r="C179" s="244"/>
      <c r="D179" s="244"/>
      <c r="E179" s="244"/>
      <c r="F179" s="244"/>
      <c r="G179" s="244"/>
      <c r="H179" s="244"/>
      <c r="I179" s="244"/>
      <c r="J179" s="244"/>
      <c r="K179" s="244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</row>
    <row r="180" ht="14.25" customHeight="1">
      <c r="A180" s="244"/>
      <c r="B180" s="244"/>
      <c r="C180" s="244"/>
      <c r="D180" s="244"/>
      <c r="E180" s="244"/>
      <c r="F180" s="244"/>
      <c r="G180" s="244"/>
      <c r="H180" s="244"/>
      <c r="I180" s="244"/>
      <c r="J180" s="244"/>
      <c r="K180" s="244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</row>
    <row r="181" ht="14.25" customHeight="1">
      <c r="A181" s="244"/>
      <c r="B181" s="244"/>
      <c r="C181" s="244"/>
      <c r="D181" s="244"/>
      <c r="E181" s="244"/>
      <c r="F181" s="244"/>
      <c r="G181" s="244"/>
      <c r="H181" s="244"/>
      <c r="I181" s="244"/>
      <c r="J181" s="244"/>
      <c r="K181" s="244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</row>
    <row r="182" ht="14.25" customHeight="1">
      <c r="A182" s="244"/>
      <c r="B182" s="244"/>
      <c r="C182" s="244"/>
      <c r="D182" s="244"/>
      <c r="E182" s="244"/>
      <c r="F182" s="244"/>
      <c r="G182" s="244"/>
      <c r="H182" s="244"/>
      <c r="I182" s="244"/>
      <c r="J182" s="244"/>
      <c r="K182" s="244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</row>
    <row r="183" ht="14.25" customHeight="1">
      <c r="A183" s="244"/>
      <c r="B183" s="244"/>
      <c r="C183" s="244"/>
      <c r="D183" s="244"/>
      <c r="E183" s="244"/>
      <c r="F183" s="244"/>
      <c r="G183" s="244"/>
      <c r="H183" s="244"/>
      <c r="I183" s="244"/>
      <c r="J183" s="244"/>
      <c r="K183" s="244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</row>
    <row r="184" ht="14.25" customHeight="1">
      <c r="A184" s="244"/>
      <c r="B184" s="244"/>
      <c r="C184" s="244"/>
      <c r="D184" s="244"/>
      <c r="E184" s="244"/>
      <c r="F184" s="244"/>
      <c r="G184" s="244"/>
      <c r="H184" s="244"/>
      <c r="I184" s="244"/>
      <c r="J184" s="244"/>
      <c r="K184" s="244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</row>
    <row r="185" ht="14.25" customHeight="1">
      <c r="A185" s="244"/>
      <c r="B185" s="244"/>
      <c r="C185" s="244"/>
      <c r="D185" s="244"/>
      <c r="E185" s="244"/>
      <c r="F185" s="244"/>
      <c r="G185" s="244"/>
      <c r="H185" s="244"/>
      <c r="I185" s="244"/>
      <c r="J185" s="244"/>
      <c r="K185" s="244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</row>
    <row r="186" ht="14.25" customHeight="1">
      <c r="A186" s="244"/>
      <c r="B186" s="244"/>
      <c r="C186" s="244"/>
      <c r="D186" s="244"/>
      <c r="E186" s="244"/>
      <c r="F186" s="244"/>
      <c r="G186" s="244"/>
      <c r="H186" s="244"/>
      <c r="I186" s="244"/>
      <c r="J186" s="244"/>
      <c r="K186" s="244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</row>
    <row r="187" ht="14.25" customHeight="1">
      <c r="A187" s="244"/>
      <c r="B187" s="244"/>
      <c r="C187" s="244"/>
      <c r="D187" s="244"/>
      <c r="E187" s="244"/>
      <c r="F187" s="244"/>
      <c r="G187" s="244"/>
      <c r="H187" s="244"/>
      <c r="I187" s="244"/>
      <c r="J187" s="244"/>
      <c r="K187" s="244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</row>
    <row r="188" ht="14.25" customHeight="1">
      <c r="A188" s="244"/>
      <c r="B188" s="244"/>
      <c r="C188" s="244"/>
      <c r="D188" s="244"/>
      <c r="E188" s="244"/>
      <c r="F188" s="244"/>
      <c r="G188" s="244"/>
      <c r="H188" s="244"/>
      <c r="I188" s="244"/>
      <c r="J188" s="244"/>
      <c r="K188" s="244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</row>
    <row r="189" ht="14.25" customHeight="1">
      <c r="A189" s="244"/>
      <c r="B189" s="244"/>
      <c r="C189" s="244"/>
      <c r="D189" s="244"/>
      <c r="E189" s="244"/>
      <c r="F189" s="244"/>
      <c r="G189" s="244"/>
      <c r="H189" s="244"/>
      <c r="I189" s="244"/>
      <c r="J189" s="244"/>
      <c r="K189" s="244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</row>
    <row r="190" ht="14.25" customHeight="1">
      <c r="A190" s="244"/>
      <c r="B190" s="244"/>
      <c r="C190" s="244"/>
      <c r="D190" s="244"/>
      <c r="E190" s="244"/>
      <c r="F190" s="244"/>
      <c r="G190" s="244"/>
      <c r="H190" s="244"/>
      <c r="I190" s="244"/>
      <c r="J190" s="244"/>
      <c r="K190" s="244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</row>
    <row r="191" ht="14.25" customHeight="1">
      <c r="A191" s="244"/>
      <c r="B191" s="244"/>
      <c r="C191" s="244"/>
      <c r="D191" s="244"/>
      <c r="E191" s="244"/>
      <c r="F191" s="244"/>
      <c r="G191" s="244"/>
      <c r="H191" s="244"/>
      <c r="I191" s="244"/>
      <c r="J191" s="244"/>
      <c r="K191" s="244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</row>
    <row r="192" ht="14.25" customHeight="1">
      <c r="A192" s="244"/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</row>
    <row r="193" ht="14.25" customHeight="1">
      <c r="A193" s="244"/>
      <c r="B193" s="244"/>
      <c r="C193" s="244"/>
      <c r="D193" s="244"/>
      <c r="E193" s="244"/>
      <c r="F193" s="244"/>
      <c r="G193" s="244"/>
      <c r="H193" s="244"/>
      <c r="I193" s="244"/>
      <c r="J193" s="244"/>
      <c r="K193" s="244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</row>
    <row r="194" ht="14.25" customHeight="1">
      <c r="A194" s="244"/>
      <c r="B194" s="244"/>
      <c r="C194" s="244"/>
      <c r="D194" s="244"/>
      <c r="E194" s="244"/>
      <c r="F194" s="244"/>
      <c r="G194" s="244"/>
      <c r="H194" s="244"/>
      <c r="I194" s="244"/>
      <c r="J194" s="244"/>
      <c r="K194" s="244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</row>
    <row r="195" ht="14.25" customHeight="1">
      <c r="A195" s="244"/>
      <c r="B195" s="244"/>
      <c r="C195" s="244"/>
      <c r="D195" s="244"/>
      <c r="E195" s="244"/>
      <c r="F195" s="244"/>
      <c r="G195" s="244"/>
      <c r="H195" s="244"/>
      <c r="I195" s="244"/>
      <c r="J195" s="244"/>
      <c r="K195" s="244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</row>
    <row r="196" ht="14.25" customHeight="1">
      <c r="A196" s="244"/>
      <c r="B196" s="244"/>
      <c r="C196" s="244"/>
      <c r="D196" s="244"/>
      <c r="E196" s="244"/>
      <c r="F196" s="244"/>
      <c r="G196" s="244"/>
      <c r="H196" s="244"/>
      <c r="I196" s="244"/>
      <c r="J196" s="244"/>
      <c r="K196" s="244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</row>
    <row r="197" ht="14.25" customHeight="1">
      <c r="A197" s="244"/>
      <c r="B197" s="244"/>
      <c r="C197" s="244"/>
      <c r="D197" s="244"/>
      <c r="E197" s="244"/>
      <c r="F197" s="244"/>
      <c r="G197" s="244"/>
      <c r="H197" s="244"/>
      <c r="I197" s="244"/>
      <c r="J197" s="244"/>
      <c r="K197" s="244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</row>
    <row r="198" ht="14.25" customHeight="1">
      <c r="A198" s="244"/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</row>
    <row r="199" ht="14.25" customHeight="1">
      <c r="A199" s="244"/>
      <c r="B199" s="244"/>
      <c r="C199" s="244"/>
      <c r="D199" s="244"/>
      <c r="E199" s="244"/>
      <c r="F199" s="244"/>
      <c r="G199" s="244"/>
      <c r="H199" s="244"/>
      <c r="I199" s="244"/>
      <c r="J199" s="244"/>
      <c r="K199" s="244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</row>
    <row r="200" ht="14.25" customHeight="1">
      <c r="A200" s="244"/>
      <c r="B200" s="244"/>
      <c r="C200" s="244"/>
      <c r="D200" s="244"/>
      <c r="E200" s="244"/>
      <c r="F200" s="244"/>
      <c r="G200" s="244"/>
      <c r="H200" s="244"/>
      <c r="I200" s="244"/>
      <c r="J200" s="244"/>
      <c r="K200" s="244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</row>
    <row r="201" ht="14.25" customHeight="1">
      <c r="A201" s="244"/>
      <c r="B201" s="244"/>
      <c r="C201" s="244"/>
      <c r="D201" s="244"/>
      <c r="E201" s="244"/>
      <c r="F201" s="244"/>
      <c r="G201" s="244"/>
      <c r="H201" s="244"/>
      <c r="I201" s="244"/>
      <c r="J201" s="244"/>
      <c r="K201" s="244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</row>
    <row r="202" ht="14.25" customHeight="1">
      <c r="A202" s="244"/>
      <c r="B202" s="244"/>
      <c r="C202" s="244"/>
      <c r="D202" s="244"/>
      <c r="E202" s="244"/>
      <c r="F202" s="244"/>
      <c r="G202" s="244"/>
      <c r="H202" s="244"/>
      <c r="I202" s="244"/>
      <c r="J202" s="244"/>
      <c r="K202" s="244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</row>
    <row r="203" ht="14.25" customHeight="1">
      <c r="A203" s="244"/>
      <c r="B203" s="244"/>
      <c r="C203" s="244"/>
      <c r="D203" s="244"/>
      <c r="E203" s="244"/>
      <c r="F203" s="244"/>
      <c r="G203" s="244"/>
      <c r="H203" s="244"/>
      <c r="I203" s="244"/>
      <c r="J203" s="244"/>
      <c r="K203" s="244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</row>
    <row r="204" ht="14.25" customHeight="1">
      <c r="A204" s="244"/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</row>
    <row r="205" ht="14.25" customHeight="1">
      <c r="A205" s="244"/>
      <c r="B205" s="244"/>
      <c r="C205" s="244"/>
      <c r="D205" s="244"/>
      <c r="E205" s="244"/>
      <c r="F205" s="244"/>
      <c r="G205" s="244"/>
      <c r="H205" s="244"/>
      <c r="I205" s="244"/>
      <c r="J205" s="244"/>
      <c r="K205" s="244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</row>
    <row r="206" ht="14.25" customHeight="1">
      <c r="A206" s="244"/>
      <c r="B206" s="244"/>
      <c r="C206" s="244"/>
      <c r="D206" s="244"/>
      <c r="E206" s="244"/>
      <c r="F206" s="244"/>
      <c r="G206" s="244"/>
      <c r="H206" s="244"/>
      <c r="I206" s="244"/>
      <c r="J206" s="244"/>
      <c r="K206" s="244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</row>
    <row r="207" ht="14.25" customHeight="1">
      <c r="A207" s="244"/>
      <c r="B207" s="244"/>
      <c r="C207" s="244"/>
      <c r="D207" s="244"/>
      <c r="E207" s="244"/>
      <c r="F207" s="244"/>
      <c r="G207" s="244"/>
      <c r="H207" s="244"/>
      <c r="I207" s="244"/>
      <c r="J207" s="244"/>
      <c r="K207" s="244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</row>
    <row r="208" ht="14.25" customHeight="1">
      <c r="A208" s="244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</row>
    <row r="209" ht="14.25" customHeight="1">
      <c r="A209" s="244"/>
      <c r="B209" s="244"/>
      <c r="C209" s="244"/>
      <c r="D209" s="244"/>
      <c r="E209" s="244"/>
      <c r="F209" s="244"/>
      <c r="G209" s="244"/>
      <c r="H209" s="244"/>
      <c r="I209" s="244"/>
      <c r="J209" s="244"/>
      <c r="K209" s="244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</row>
    <row r="210" ht="14.25" customHeight="1">
      <c r="A210" s="244"/>
      <c r="B210" s="244"/>
      <c r="C210" s="244"/>
      <c r="D210" s="244"/>
      <c r="E210" s="244"/>
      <c r="F210" s="244"/>
      <c r="G210" s="244"/>
      <c r="H210" s="244"/>
      <c r="I210" s="244"/>
      <c r="J210" s="244"/>
      <c r="K210" s="244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</row>
    <row r="211" ht="14.25" customHeight="1">
      <c r="A211" s="244"/>
      <c r="B211" s="244"/>
      <c r="C211" s="244"/>
      <c r="D211" s="244"/>
      <c r="E211" s="244"/>
      <c r="F211" s="244"/>
      <c r="G211" s="244"/>
      <c r="H211" s="244"/>
      <c r="I211" s="244"/>
      <c r="J211" s="244"/>
      <c r="K211" s="244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</row>
    <row r="212" ht="14.25" customHeight="1">
      <c r="A212" s="244"/>
      <c r="B212" s="244"/>
      <c r="C212" s="244"/>
      <c r="D212" s="244"/>
      <c r="E212" s="244"/>
      <c r="F212" s="244"/>
      <c r="G212" s="244"/>
      <c r="H212" s="244"/>
      <c r="I212" s="244"/>
      <c r="J212" s="244"/>
      <c r="K212" s="244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</row>
    <row r="213" ht="14.25" customHeight="1">
      <c r="A213" s="244"/>
      <c r="B213" s="244"/>
      <c r="C213" s="244"/>
      <c r="D213" s="244"/>
      <c r="E213" s="244"/>
      <c r="F213" s="244"/>
      <c r="G213" s="244"/>
      <c r="H213" s="244"/>
      <c r="I213" s="244"/>
      <c r="J213" s="244"/>
      <c r="K213" s="244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</row>
    <row r="214" ht="14.25" customHeight="1">
      <c r="A214" s="244"/>
      <c r="B214" s="244"/>
      <c r="C214" s="244"/>
      <c r="D214" s="244"/>
      <c r="E214" s="244"/>
      <c r="F214" s="244"/>
      <c r="G214" s="244"/>
      <c r="H214" s="244"/>
      <c r="I214" s="244"/>
      <c r="J214" s="244"/>
      <c r="K214" s="244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</row>
    <row r="215" ht="14.25" customHeight="1">
      <c r="A215" s="244"/>
      <c r="B215" s="244"/>
      <c r="C215" s="244"/>
      <c r="D215" s="244"/>
      <c r="E215" s="244"/>
      <c r="F215" s="244"/>
      <c r="G215" s="244"/>
      <c r="H215" s="244"/>
      <c r="I215" s="244"/>
      <c r="J215" s="244"/>
      <c r="K215" s="244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</row>
    <row r="216" ht="14.25" customHeight="1">
      <c r="A216" s="244"/>
      <c r="B216" s="244"/>
      <c r="C216" s="244"/>
      <c r="D216" s="244"/>
      <c r="E216" s="244"/>
      <c r="F216" s="244"/>
      <c r="G216" s="244"/>
      <c r="H216" s="244"/>
      <c r="I216" s="244"/>
      <c r="J216" s="244"/>
      <c r="K216" s="244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</row>
    <row r="217" ht="14.25" customHeight="1">
      <c r="A217" s="244"/>
      <c r="B217" s="244"/>
      <c r="C217" s="244"/>
      <c r="D217" s="244"/>
      <c r="E217" s="244"/>
      <c r="F217" s="244"/>
      <c r="G217" s="244"/>
      <c r="H217" s="244"/>
      <c r="I217" s="244"/>
      <c r="J217" s="244"/>
      <c r="K217" s="244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</row>
    <row r="218" ht="14.25" customHeight="1">
      <c r="A218" s="244"/>
      <c r="B218" s="244"/>
      <c r="C218" s="244"/>
      <c r="D218" s="244"/>
      <c r="E218" s="244"/>
      <c r="F218" s="244"/>
      <c r="G218" s="244"/>
      <c r="H218" s="244"/>
      <c r="I218" s="244"/>
      <c r="J218" s="244"/>
      <c r="K218" s="244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</row>
    <row r="219" ht="14.25" customHeight="1">
      <c r="A219" s="244"/>
      <c r="B219" s="244"/>
      <c r="C219" s="244"/>
      <c r="D219" s="244"/>
      <c r="E219" s="244"/>
      <c r="F219" s="244"/>
      <c r="G219" s="244"/>
      <c r="H219" s="244"/>
      <c r="I219" s="244"/>
      <c r="J219" s="244"/>
      <c r="K219" s="244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</row>
    <row r="220" ht="14.25" customHeight="1">
      <c r="A220" s="244"/>
      <c r="B220" s="244"/>
      <c r="C220" s="244"/>
      <c r="D220" s="244"/>
      <c r="E220" s="244"/>
      <c r="F220" s="244"/>
      <c r="G220" s="244"/>
      <c r="H220" s="244"/>
      <c r="I220" s="244"/>
      <c r="J220" s="244"/>
      <c r="K220" s="244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</row>
    <row r="221" ht="14.25" customHeight="1">
      <c r="A221" s="244"/>
      <c r="B221" s="244"/>
      <c r="C221" s="244"/>
      <c r="D221" s="244"/>
      <c r="E221" s="244"/>
      <c r="F221" s="244"/>
      <c r="G221" s="244"/>
      <c r="H221" s="244"/>
      <c r="I221" s="244"/>
      <c r="J221" s="244"/>
      <c r="K221" s="244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</row>
    <row r="222" ht="14.25" customHeight="1">
      <c r="A222" s="244"/>
      <c r="B222" s="244"/>
      <c r="C222" s="244"/>
      <c r="D222" s="244"/>
      <c r="E222" s="244"/>
      <c r="F222" s="244"/>
      <c r="G222" s="244"/>
      <c r="H222" s="244"/>
      <c r="I222" s="244"/>
      <c r="J222" s="244"/>
      <c r="K222" s="244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</row>
    <row r="223" ht="14.25" customHeight="1">
      <c r="A223" s="244"/>
      <c r="B223" s="244"/>
      <c r="C223" s="244"/>
      <c r="D223" s="244"/>
      <c r="E223" s="244"/>
      <c r="F223" s="244"/>
      <c r="G223" s="244"/>
      <c r="H223" s="244"/>
      <c r="I223" s="244"/>
      <c r="J223" s="244"/>
      <c r="K223" s="244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</row>
    <row r="224" ht="14.25" customHeight="1">
      <c r="A224" s="244"/>
      <c r="B224" s="244"/>
      <c r="C224" s="244"/>
      <c r="D224" s="244"/>
      <c r="E224" s="244"/>
      <c r="F224" s="244"/>
      <c r="G224" s="244"/>
      <c r="H224" s="244"/>
      <c r="I224" s="244"/>
      <c r="J224" s="244"/>
      <c r="K224" s="244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</row>
    <row r="225" ht="14.25" customHeight="1">
      <c r="A225" s="244"/>
      <c r="B225" s="244"/>
      <c r="C225" s="244"/>
      <c r="D225" s="244"/>
      <c r="E225" s="244"/>
      <c r="F225" s="244"/>
      <c r="G225" s="244"/>
      <c r="H225" s="244"/>
      <c r="I225" s="244"/>
      <c r="J225" s="244"/>
      <c r="K225" s="244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</row>
    <row r="226" ht="14.25" customHeight="1">
      <c r="A226" s="244"/>
      <c r="B226" s="244"/>
      <c r="C226" s="244"/>
      <c r="D226" s="244"/>
      <c r="E226" s="244"/>
      <c r="F226" s="244"/>
      <c r="G226" s="244"/>
      <c r="H226" s="244"/>
      <c r="I226" s="244"/>
      <c r="J226" s="244"/>
      <c r="K226" s="244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</row>
    <row r="227" ht="14.25" customHeight="1">
      <c r="A227" s="244"/>
      <c r="B227" s="244"/>
      <c r="C227" s="244"/>
      <c r="D227" s="244"/>
      <c r="E227" s="244"/>
      <c r="F227" s="244"/>
      <c r="G227" s="244"/>
      <c r="H227" s="244"/>
      <c r="I227" s="244"/>
      <c r="J227" s="244"/>
      <c r="K227" s="244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</row>
    <row r="228" ht="14.25" customHeight="1">
      <c r="A228" s="244"/>
      <c r="B228" s="244"/>
      <c r="C228" s="244"/>
      <c r="D228" s="244"/>
      <c r="E228" s="244"/>
      <c r="F228" s="244"/>
      <c r="G228" s="244"/>
      <c r="H228" s="244"/>
      <c r="I228" s="244"/>
      <c r="J228" s="244"/>
      <c r="K228" s="244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</row>
    <row r="229" ht="14.25" customHeight="1">
      <c r="A229" s="244"/>
      <c r="B229" s="244"/>
      <c r="C229" s="244"/>
      <c r="D229" s="244"/>
      <c r="E229" s="244"/>
      <c r="F229" s="244"/>
      <c r="G229" s="244"/>
      <c r="H229" s="244"/>
      <c r="I229" s="244"/>
      <c r="J229" s="244"/>
      <c r="K229" s="244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</row>
    <row r="230" ht="14.25" customHeight="1">
      <c r="A230" s="244"/>
      <c r="B230" s="244"/>
      <c r="C230" s="244"/>
      <c r="D230" s="244"/>
      <c r="E230" s="244"/>
      <c r="F230" s="244"/>
      <c r="G230" s="244"/>
      <c r="H230" s="244"/>
      <c r="I230" s="244"/>
      <c r="J230" s="244"/>
      <c r="K230" s="244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</row>
    <row r="231" ht="14.25" customHeight="1">
      <c r="A231" s="244"/>
      <c r="B231" s="244"/>
      <c r="C231" s="244"/>
      <c r="D231" s="244"/>
      <c r="E231" s="244"/>
      <c r="F231" s="244"/>
      <c r="G231" s="244"/>
      <c r="H231" s="244"/>
      <c r="I231" s="244"/>
      <c r="J231" s="244"/>
      <c r="K231" s="244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</row>
    <row r="232" ht="14.25" customHeight="1">
      <c r="A232" s="244"/>
      <c r="B232" s="244"/>
      <c r="C232" s="244"/>
      <c r="D232" s="244"/>
      <c r="E232" s="244"/>
      <c r="F232" s="244"/>
      <c r="G232" s="244"/>
      <c r="H232" s="244"/>
      <c r="I232" s="244"/>
      <c r="J232" s="244"/>
      <c r="K232" s="244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</row>
    <row r="233" ht="14.25" customHeight="1">
      <c r="A233" s="244"/>
      <c r="B233" s="244"/>
      <c r="C233" s="244"/>
      <c r="D233" s="244"/>
      <c r="E233" s="244"/>
      <c r="F233" s="244"/>
      <c r="G233" s="244"/>
      <c r="H233" s="244"/>
      <c r="I233" s="244"/>
      <c r="J233" s="244"/>
      <c r="K233" s="244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</row>
    <row r="234" ht="14.25" customHeight="1">
      <c r="A234" s="244"/>
      <c r="B234" s="244"/>
      <c r="C234" s="244"/>
      <c r="D234" s="244"/>
      <c r="E234" s="244"/>
      <c r="F234" s="244"/>
      <c r="G234" s="244"/>
      <c r="H234" s="244"/>
      <c r="I234" s="244"/>
      <c r="J234" s="244"/>
      <c r="K234" s="244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</row>
    <row r="235" ht="14.25" customHeight="1">
      <c r="A235" s="244"/>
      <c r="B235" s="244"/>
      <c r="C235" s="244"/>
      <c r="D235" s="244"/>
      <c r="E235" s="244"/>
      <c r="F235" s="244"/>
      <c r="G235" s="244"/>
      <c r="H235" s="244"/>
      <c r="I235" s="244"/>
      <c r="J235" s="244"/>
      <c r="K235" s="244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</row>
    <row r="236" ht="14.25" customHeight="1">
      <c r="A236" s="244"/>
      <c r="B236" s="244"/>
      <c r="C236" s="244"/>
      <c r="D236" s="244"/>
      <c r="E236" s="244"/>
      <c r="F236" s="244"/>
      <c r="G236" s="244"/>
      <c r="H236" s="244"/>
      <c r="I236" s="244"/>
      <c r="J236" s="244"/>
      <c r="K236" s="244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</row>
    <row r="237" ht="14.25" customHeight="1">
      <c r="A237" s="244"/>
      <c r="B237" s="244"/>
      <c r="C237" s="244"/>
      <c r="D237" s="244"/>
      <c r="E237" s="244"/>
      <c r="F237" s="244"/>
      <c r="G237" s="244"/>
      <c r="H237" s="244"/>
      <c r="I237" s="244"/>
      <c r="J237" s="244"/>
      <c r="K237" s="244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</row>
    <row r="238" ht="14.25" customHeight="1">
      <c r="A238" s="244"/>
      <c r="B238" s="244"/>
      <c r="C238" s="244"/>
      <c r="D238" s="244"/>
      <c r="E238" s="244"/>
      <c r="F238" s="244"/>
      <c r="G238" s="244"/>
      <c r="H238" s="244"/>
      <c r="I238" s="244"/>
      <c r="J238" s="244"/>
      <c r="K238" s="244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</row>
    <row r="239" ht="14.25" customHeight="1">
      <c r="A239" s="244"/>
      <c r="B239" s="244"/>
      <c r="C239" s="244"/>
      <c r="D239" s="244"/>
      <c r="E239" s="244"/>
      <c r="F239" s="244"/>
      <c r="G239" s="244"/>
      <c r="H239" s="244"/>
      <c r="I239" s="244"/>
      <c r="J239" s="244"/>
      <c r="K239" s="244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</row>
    <row r="240" ht="14.25" customHeight="1">
      <c r="A240" s="244"/>
      <c r="B240" s="244"/>
      <c r="C240" s="244"/>
      <c r="D240" s="244"/>
      <c r="E240" s="244"/>
      <c r="F240" s="244"/>
      <c r="G240" s="244"/>
      <c r="H240" s="244"/>
      <c r="I240" s="244"/>
      <c r="J240" s="244"/>
      <c r="K240" s="244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</row>
    <row r="241" ht="14.25" customHeight="1">
      <c r="A241" s="244"/>
      <c r="B241" s="244"/>
      <c r="C241" s="244"/>
      <c r="D241" s="244"/>
      <c r="E241" s="244"/>
      <c r="F241" s="244"/>
      <c r="G241" s="244"/>
      <c r="H241" s="244"/>
      <c r="I241" s="244"/>
      <c r="J241" s="244"/>
      <c r="K241" s="244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</row>
    <row r="242" ht="14.25" customHeight="1">
      <c r="A242" s="244"/>
      <c r="B242" s="244"/>
      <c r="C242" s="244"/>
      <c r="D242" s="244"/>
      <c r="E242" s="244"/>
      <c r="F242" s="244"/>
      <c r="G242" s="244"/>
      <c r="H242" s="244"/>
      <c r="I242" s="244"/>
      <c r="J242" s="244"/>
      <c r="K242" s="244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</row>
    <row r="243" ht="14.25" customHeight="1">
      <c r="A243" s="244"/>
      <c r="B243" s="244"/>
      <c r="C243" s="244"/>
      <c r="D243" s="244"/>
      <c r="E243" s="244"/>
      <c r="F243" s="244"/>
      <c r="G243" s="244"/>
      <c r="H243" s="244"/>
      <c r="I243" s="244"/>
      <c r="J243" s="244"/>
      <c r="K243" s="244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</row>
    <row r="244" ht="14.25" customHeight="1">
      <c r="A244" s="244"/>
      <c r="B244" s="244"/>
      <c r="C244" s="244"/>
      <c r="D244" s="244"/>
      <c r="E244" s="244"/>
      <c r="F244" s="244"/>
      <c r="G244" s="244"/>
      <c r="H244" s="244"/>
      <c r="I244" s="244"/>
      <c r="J244" s="244"/>
      <c r="K244" s="244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</row>
    <row r="245" ht="14.25" customHeight="1">
      <c r="A245" s="244"/>
      <c r="B245" s="244"/>
      <c r="C245" s="244"/>
      <c r="D245" s="244"/>
      <c r="E245" s="244"/>
      <c r="F245" s="244"/>
      <c r="G245" s="244"/>
      <c r="H245" s="244"/>
      <c r="I245" s="244"/>
      <c r="J245" s="244"/>
      <c r="K245" s="244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</row>
    <row r="246" ht="14.25" customHeight="1">
      <c r="A246" s="244"/>
      <c r="B246" s="244"/>
      <c r="C246" s="244"/>
      <c r="D246" s="244"/>
      <c r="E246" s="244"/>
      <c r="F246" s="244"/>
      <c r="G246" s="244"/>
      <c r="H246" s="244"/>
      <c r="I246" s="244"/>
      <c r="J246" s="244"/>
      <c r="K246" s="244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</row>
    <row r="247" ht="14.25" customHeight="1">
      <c r="A247" s="244"/>
      <c r="B247" s="244"/>
      <c r="C247" s="244"/>
      <c r="D247" s="244"/>
      <c r="E247" s="244"/>
      <c r="F247" s="244"/>
      <c r="G247" s="244"/>
      <c r="H247" s="244"/>
      <c r="I247" s="244"/>
      <c r="J247" s="244"/>
      <c r="K247" s="244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</row>
    <row r="248" ht="14.25" customHeight="1">
      <c r="A248" s="244"/>
      <c r="B248" s="244"/>
      <c r="C248" s="244"/>
      <c r="D248" s="244"/>
      <c r="E248" s="244"/>
      <c r="F248" s="244"/>
      <c r="G248" s="244"/>
      <c r="H248" s="244"/>
      <c r="I248" s="244"/>
      <c r="J248" s="244"/>
      <c r="K248" s="244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</row>
    <row r="249" ht="14.25" customHeight="1">
      <c r="A249" s="244"/>
      <c r="B249" s="244"/>
      <c r="C249" s="244"/>
      <c r="D249" s="244"/>
      <c r="E249" s="244"/>
      <c r="F249" s="244"/>
      <c r="G249" s="244"/>
      <c r="H249" s="244"/>
      <c r="I249" s="244"/>
      <c r="J249" s="244"/>
      <c r="K249" s="244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</row>
    <row r="250" ht="14.25" customHeight="1">
      <c r="A250" s="244"/>
      <c r="B250" s="244"/>
      <c r="C250" s="244"/>
      <c r="D250" s="244"/>
      <c r="E250" s="244"/>
      <c r="F250" s="244"/>
      <c r="G250" s="244"/>
      <c r="H250" s="244"/>
      <c r="I250" s="244"/>
      <c r="J250" s="244"/>
      <c r="K250" s="244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</row>
    <row r="251" ht="14.25" customHeight="1">
      <c r="A251" s="244"/>
      <c r="B251" s="244"/>
      <c r="C251" s="244"/>
      <c r="D251" s="244"/>
      <c r="E251" s="244"/>
      <c r="F251" s="244"/>
      <c r="G251" s="244"/>
      <c r="H251" s="244"/>
      <c r="I251" s="244"/>
      <c r="J251" s="244"/>
      <c r="K251" s="244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</row>
    <row r="252" ht="14.25" customHeight="1">
      <c r="A252" s="244"/>
      <c r="B252" s="244"/>
      <c r="C252" s="244"/>
      <c r="D252" s="244"/>
      <c r="E252" s="244"/>
      <c r="F252" s="244"/>
      <c r="G252" s="244"/>
      <c r="H252" s="244"/>
      <c r="I252" s="244"/>
      <c r="J252" s="244"/>
      <c r="K252" s="244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</row>
    <row r="253" ht="14.25" customHeight="1">
      <c r="A253" s="244"/>
      <c r="B253" s="244"/>
      <c r="C253" s="244"/>
      <c r="D253" s="244"/>
      <c r="E253" s="244"/>
      <c r="F253" s="244"/>
      <c r="G253" s="244"/>
      <c r="H253" s="244"/>
      <c r="I253" s="244"/>
      <c r="J253" s="244"/>
      <c r="K253" s="244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</row>
    <row r="254" ht="14.25" customHeight="1">
      <c r="A254" s="244"/>
      <c r="B254" s="244"/>
      <c r="C254" s="244"/>
      <c r="D254" s="244"/>
      <c r="E254" s="244"/>
      <c r="F254" s="244"/>
      <c r="G254" s="244"/>
      <c r="H254" s="244"/>
      <c r="I254" s="244"/>
      <c r="J254" s="244"/>
      <c r="K254" s="244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</row>
    <row r="255" ht="14.25" customHeight="1">
      <c r="A255" s="244"/>
      <c r="B255" s="244"/>
      <c r="C255" s="244"/>
      <c r="D255" s="244"/>
      <c r="E255" s="244"/>
      <c r="F255" s="244"/>
      <c r="G255" s="244"/>
      <c r="H255" s="244"/>
      <c r="I255" s="244"/>
      <c r="J255" s="244"/>
      <c r="K255" s="244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</row>
    <row r="256" ht="14.25" customHeight="1">
      <c r="A256" s="244"/>
      <c r="B256" s="244"/>
      <c r="C256" s="244"/>
      <c r="D256" s="244"/>
      <c r="E256" s="244"/>
      <c r="F256" s="244"/>
      <c r="G256" s="244"/>
      <c r="H256" s="244"/>
      <c r="I256" s="244"/>
      <c r="J256" s="244"/>
      <c r="K256" s="244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</row>
    <row r="257" ht="14.25" customHeight="1">
      <c r="A257" s="244"/>
      <c r="B257" s="244"/>
      <c r="C257" s="244"/>
      <c r="D257" s="244"/>
      <c r="E257" s="244"/>
      <c r="F257" s="244"/>
      <c r="G257" s="244"/>
      <c r="H257" s="244"/>
      <c r="I257" s="244"/>
      <c r="J257" s="244"/>
      <c r="K257" s="244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</row>
    <row r="258" ht="14.25" customHeight="1">
      <c r="A258" s="244"/>
      <c r="B258" s="244"/>
      <c r="C258" s="244"/>
      <c r="D258" s="244"/>
      <c r="E258" s="244"/>
      <c r="F258" s="244"/>
      <c r="G258" s="244"/>
      <c r="H258" s="244"/>
      <c r="I258" s="244"/>
      <c r="J258" s="244"/>
      <c r="K258" s="244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</row>
    <row r="259" ht="14.25" customHeight="1">
      <c r="A259" s="244"/>
      <c r="B259" s="244"/>
      <c r="C259" s="244"/>
      <c r="D259" s="244"/>
      <c r="E259" s="244"/>
      <c r="F259" s="244"/>
      <c r="G259" s="244"/>
      <c r="H259" s="244"/>
      <c r="I259" s="244"/>
      <c r="J259" s="244"/>
      <c r="K259" s="244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</row>
    <row r="260" ht="14.25" customHeight="1">
      <c r="A260" s="244"/>
      <c r="B260" s="244"/>
      <c r="C260" s="244"/>
      <c r="D260" s="244"/>
      <c r="E260" s="244"/>
      <c r="F260" s="244"/>
      <c r="G260" s="244"/>
      <c r="H260" s="244"/>
      <c r="I260" s="244"/>
      <c r="J260" s="244"/>
      <c r="K260" s="244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</row>
    <row r="261" ht="14.25" customHeight="1">
      <c r="A261" s="244"/>
      <c r="B261" s="244"/>
      <c r="C261" s="244"/>
      <c r="D261" s="244"/>
      <c r="E261" s="244"/>
      <c r="F261" s="244"/>
      <c r="G261" s="244"/>
      <c r="H261" s="244"/>
      <c r="I261" s="244"/>
      <c r="J261" s="244"/>
      <c r="K261" s="244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</row>
    <row r="262" ht="14.25" customHeight="1">
      <c r="A262" s="244"/>
      <c r="B262" s="244"/>
      <c r="C262" s="244"/>
      <c r="D262" s="244"/>
      <c r="E262" s="244"/>
      <c r="F262" s="244"/>
      <c r="G262" s="244"/>
      <c r="H262" s="244"/>
      <c r="I262" s="244"/>
      <c r="J262" s="244"/>
      <c r="K262" s="244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</row>
    <row r="263" ht="14.25" customHeight="1">
      <c r="A263" s="244"/>
      <c r="B263" s="244"/>
      <c r="C263" s="244"/>
      <c r="D263" s="244"/>
      <c r="E263" s="244"/>
      <c r="F263" s="244"/>
      <c r="G263" s="244"/>
      <c r="H263" s="244"/>
      <c r="I263" s="244"/>
      <c r="J263" s="244"/>
      <c r="K263" s="244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</row>
    <row r="264" ht="14.25" customHeight="1">
      <c r="A264" s="244"/>
      <c r="B264" s="244"/>
      <c r="C264" s="244"/>
      <c r="D264" s="244"/>
      <c r="E264" s="244"/>
      <c r="F264" s="244"/>
      <c r="G264" s="244"/>
      <c r="H264" s="244"/>
      <c r="I264" s="244"/>
      <c r="J264" s="244"/>
      <c r="K264" s="244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</row>
    <row r="265" ht="14.25" customHeight="1">
      <c r="A265" s="244"/>
      <c r="B265" s="244"/>
      <c r="C265" s="244"/>
      <c r="D265" s="244"/>
      <c r="E265" s="244"/>
      <c r="F265" s="244"/>
      <c r="G265" s="244"/>
      <c r="H265" s="244"/>
      <c r="I265" s="244"/>
      <c r="J265" s="244"/>
      <c r="K265" s="244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</row>
    <row r="266" ht="14.25" customHeight="1">
      <c r="A266" s="244"/>
      <c r="B266" s="244"/>
      <c r="C266" s="244"/>
      <c r="D266" s="244"/>
      <c r="E266" s="244"/>
      <c r="F266" s="244"/>
      <c r="G266" s="244"/>
      <c r="H266" s="244"/>
      <c r="I266" s="244"/>
      <c r="J266" s="244"/>
      <c r="K266" s="244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</row>
    <row r="267" ht="14.25" customHeight="1">
      <c r="A267" s="244"/>
      <c r="B267" s="244"/>
      <c r="C267" s="244"/>
      <c r="D267" s="244"/>
      <c r="E267" s="244"/>
      <c r="F267" s="244"/>
      <c r="G267" s="244"/>
      <c r="H267" s="244"/>
      <c r="I267" s="244"/>
      <c r="J267" s="244"/>
      <c r="K267" s="244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</row>
    <row r="268" ht="14.25" customHeight="1">
      <c r="A268" s="244"/>
      <c r="B268" s="244"/>
      <c r="C268" s="244"/>
      <c r="D268" s="244"/>
      <c r="E268" s="244"/>
      <c r="F268" s="244"/>
      <c r="G268" s="244"/>
      <c r="H268" s="244"/>
      <c r="I268" s="244"/>
      <c r="J268" s="244"/>
      <c r="K268" s="244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</row>
    <row r="269" ht="14.25" customHeight="1">
      <c r="A269" s="244"/>
      <c r="B269" s="244"/>
      <c r="C269" s="244"/>
      <c r="D269" s="244"/>
      <c r="E269" s="244"/>
      <c r="F269" s="244"/>
      <c r="G269" s="244"/>
      <c r="H269" s="244"/>
      <c r="I269" s="244"/>
      <c r="J269" s="244"/>
      <c r="K269" s="244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</row>
    <row r="270" ht="14.25" customHeight="1">
      <c r="A270" s="244"/>
      <c r="B270" s="244"/>
      <c r="C270" s="244"/>
      <c r="D270" s="244"/>
      <c r="E270" s="244"/>
      <c r="F270" s="244"/>
      <c r="G270" s="244"/>
      <c r="H270" s="244"/>
      <c r="I270" s="244"/>
      <c r="J270" s="244"/>
      <c r="K270" s="244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</row>
    <row r="271" ht="14.25" customHeight="1">
      <c r="A271" s="244"/>
      <c r="B271" s="244"/>
      <c r="C271" s="244"/>
      <c r="D271" s="244"/>
      <c r="E271" s="244"/>
      <c r="F271" s="244"/>
      <c r="G271" s="244"/>
      <c r="H271" s="244"/>
      <c r="I271" s="244"/>
      <c r="J271" s="244"/>
      <c r="K271" s="244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</row>
    <row r="272" ht="14.25" customHeight="1">
      <c r="A272" s="244"/>
      <c r="B272" s="244"/>
      <c r="C272" s="244"/>
      <c r="D272" s="244"/>
      <c r="E272" s="244"/>
      <c r="F272" s="244"/>
      <c r="G272" s="244"/>
      <c r="H272" s="244"/>
      <c r="I272" s="244"/>
      <c r="J272" s="244"/>
      <c r="K272" s="244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</row>
    <row r="273" ht="14.25" customHeight="1">
      <c r="A273" s="244"/>
      <c r="B273" s="244"/>
      <c r="C273" s="244"/>
      <c r="D273" s="244"/>
      <c r="E273" s="244"/>
      <c r="F273" s="244"/>
      <c r="G273" s="244"/>
      <c r="H273" s="244"/>
      <c r="I273" s="244"/>
      <c r="J273" s="244"/>
      <c r="K273" s="244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</row>
    <row r="274" ht="14.25" customHeight="1">
      <c r="A274" s="244"/>
      <c r="B274" s="244"/>
      <c r="C274" s="244"/>
      <c r="D274" s="244"/>
      <c r="E274" s="244"/>
      <c r="F274" s="244"/>
      <c r="G274" s="244"/>
      <c r="H274" s="244"/>
      <c r="I274" s="244"/>
      <c r="J274" s="244"/>
      <c r="K274" s="244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</row>
    <row r="275" ht="14.25" customHeight="1">
      <c r="A275" s="244"/>
      <c r="B275" s="244"/>
      <c r="C275" s="244"/>
      <c r="D275" s="244"/>
      <c r="E275" s="244"/>
      <c r="F275" s="244"/>
      <c r="G275" s="244"/>
      <c r="H275" s="244"/>
      <c r="I275" s="244"/>
      <c r="J275" s="244"/>
      <c r="K275" s="244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</row>
    <row r="276" ht="14.25" customHeight="1">
      <c r="A276" s="244"/>
      <c r="B276" s="244"/>
      <c r="C276" s="244"/>
      <c r="D276" s="244"/>
      <c r="E276" s="244"/>
      <c r="F276" s="244"/>
      <c r="G276" s="244"/>
      <c r="H276" s="244"/>
      <c r="I276" s="244"/>
      <c r="J276" s="244"/>
      <c r="K276" s="244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</row>
    <row r="277" ht="14.25" customHeight="1">
      <c r="A277" s="244"/>
      <c r="B277" s="244"/>
      <c r="C277" s="244"/>
      <c r="D277" s="244"/>
      <c r="E277" s="244"/>
      <c r="F277" s="244"/>
      <c r="G277" s="244"/>
      <c r="H277" s="244"/>
      <c r="I277" s="244"/>
      <c r="J277" s="244"/>
      <c r="K277" s="244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</row>
    <row r="278" ht="14.25" customHeight="1">
      <c r="A278" s="244"/>
      <c r="B278" s="244"/>
      <c r="C278" s="244"/>
      <c r="D278" s="244"/>
      <c r="E278" s="244"/>
      <c r="F278" s="244"/>
      <c r="G278" s="244"/>
      <c r="H278" s="244"/>
      <c r="I278" s="244"/>
      <c r="J278" s="244"/>
      <c r="K278" s="244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</row>
    <row r="279" ht="14.25" customHeight="1">
      <c r="A279" s="244"/>
      <c r="B279" s="244"/>
      <c r="C279" s="244"/>
      <c r="D279" s="244"/>
      <c r="E279" s="244"/>
      <c r="F279" s="244"/>
      <c r="G279" s="244"/>
      <c r="H279" s="244"/>
      <c r="I279" s="244"/>
      <c r="J279" s="244"/>
      <c r="K279" s="244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</row>
    <row r="280" ht="14.25" customHeight="1">
      <c r="A280" s="244"/>
      <c r="B280" s="244"/>
      <c r="C280" s="244"/>
      <c r="D280" s="244"/>
      <c r="E280" s="244"/>
      <c r="F280" s="244"/>
      <c r="G280" s="244"/>
      <c r="H280" s="244"/>
      <c r="I280" s="244"/>
      <c r="J280" s="244"/>
      <c r="K280" s="244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</row>
    <row r="281" ht="14.25" customHeight="1">
      <c r="A281" s="244"/>
      <c r="B281" s="244"/>
      <c r="C281" s="244"/>
      <c r="D281" s="244"/>
      <c r="E281" s="244"/>
      <c r="F281" s="244"/>
      <c r="G281" s="244"/>
      <c r="H281" s="244"/>
      <c r="I281" s="244"/>
      <c r="J281" s="244"/>
      <c r="K281" s="244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</row>
    <row r="282" ht="14.25" customHeight="1">
      <c r="A282" s="244"/>
      <c r="B282" s="244"/>
      <c r="C282" s="244"/>
      <c r="D282" s="244"/>
      <c r="E282" s="244"/>
      <c r="F282" s="244"/>
      <c r="G282" s="244"/>
      <c r="H282" s="244"/>
      <c r="I282" s="244"/>
      <c r="J282" s="244"/>
      <c r="K282" s="244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</row>
    <row r="283" ht="14.25" customHeight="1">
      <c r="A283" s="244"/>
      <c r="B283" s="244"/>
      <c r="C283" s="244"/>
      <c r="D283" s="244"/>
      <c r="E283" s="244"/>
      <c r="F283" s="244"/>
      <c r="G283" s="244"/>
      <c r="H283" s="244"/>
      <c r="I283" s="244"/>
      <c r="J283" s="244"/>
      <c r="K283" s="244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</row>
    <row r="284" ht="14.25" customHeight="1">
      <c r="A284" s="244"/>
      <c r="B284" s="244"/>
      <c r="C284" s="244"/>
      <c r="D284" s="244"/>
      <c r="E284" s="244"/>
      <c r="F284" s="244"/>
      <c r="G284" s="244"/>
      <c r="H284" s="244"/>
      <c r="I284" s="244"/>
      <c r="J284" s="244"/>
      <c r="K284" s="244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</row>
    <row r="285" ht="14.25" customHeight="1">
      <c r="A285" s="244"/>
      <c r="B285" s="244"/>
      <c r="C285" s="244"/>
      <c r="D285" s="244"/>
      <c r="E285" s="244"/>
      <c r="F285" s="244"/>
      <c r="G285" s="244"/>
      <c r="H285" s="244"/>
      <c r="I285" s="244"/>
      <c r="J285" s="244"/>
      <c r="K285" s="244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</row>
    <row r="286" ht="14.25" customHeight="1">
      <c r="A286" s="244"/>
      <c r="B286" s="244"/>
      <c r="C286" s="244"/>
      <c r="D286" s="244"/>
      <c r="E286" s="244"/>
      <c r="F286" s="244"/>
      <c r="G286" s="244"/>
      <c r="H286" s="244"/>
      <c r="I286" s="244"/>
      <c r="J286" s="244"/>
      <c r="K286" s="244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</row>
    <row r="287" ht="14.25" customHeight="1">
      <c r="A287" s="244"/>
      <c r="B287" s="244"/>
      <c r="C287" s="244"/>
      <c r="D287" s="244"/>
      <c r="E287" s="244"/>
      <c r="F287" s="244"/>
      <c r="G287" s="244"/>
      <c r="H287" s="244"/>
      <c r="I287" s="244"/>
      <c r="J287" s="244"/>
      <c r="K287" s="244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</row>
    <row r="288" ht="14.25" customHeight="1">
      <c r="A288" s="244"/>
      <c r="B288" s="244"/>
      <c r="C288" s="244"/>
      <c r="D288" s="244"/>
      <c r="E288" s="244"/>
      <c r="F288" s="244"/>
      <c r="G288" s="244"/>
      <c r="H288" s="244"/>
      <c r="I288" s="244"/>
      <c r="J288" s="244"/>
      <c r="K288" s="244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</row>
    <row r="289" ht="14.25" customHeight="1">
      <c r="A289" s="244"/>
      <c r="B289" s="244"/>
      <c r="C289" s="244"/>
      <c r="D289" s="244"/>
      <c r="E289" s="244"/>
      <c r="F289" s="244"/>
      <c r="G289" s="244"/>
      <c r="H289" s="244"/>
      <c r="I289" s="244"/>
      <c r="J289" s="244"/>
      <c r="K289" s="244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</row>
    <row r="290" ht="14.25" customHeight="1">
      <c r="A290" s="244"/>
      <c r="B290" s="244"/>
      <c r="C290" s="244"/>
      <c r="D290" s="244"/>
      <c r="E290" s="244"/>
      <c r="F290" s="244"/>
      <c r="G290" s="244"/>
      <c r="H290" s="244"/>
      <c r="I290" s="244"/>
      <c r="J290" s="244"/>
      <c r="K290" s="244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</row>
    <row r="291" ht="14.25" customHeight="1">
      <c r="A291" s="244"/>
      <c r="B291" s="244"/>
      <c r="C291" s="244"/>
      <c r="D291" s="244"/>
      <c r="E291" s="244"/>
      <c r="F291" s="244"/>
      <c r="G291" s="244"/>
      <c r="H291" s="244"/>
      <c r="I291" s="244"/>
      <c r="J291" s="244"/>
      <c r="K291" s="244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</row>
    <row r="292" ht="14.25" customHeight="1">
      <c r="A292" s="244"/>
      <c r="B292" s="244"/>
      <c r="C292" s="244"/>
      <c r="D292" s="244"/>
      <c r="E292" s="244"/>
      <c r="F292" s="244"/>
      <c r="G292" s="244"/>
      <c r="H292" s="244"/>
      <c r="I292" s="244"/>
      <c r="J292" s="244"/>
      <c r="K292" s="244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</row>
    <row r="293" ht="14.25" customHeight="1">
      <c r="A293" s="244"/>
      <c r="B293" s="244"/>
      <c r="C293" s="244"/>
      <c r="D293" s="244"/>
      <c r="E293" s="244"/>
      <c r="F293" s="244"/>
      <c r="G293" s="244"/>
      <c r="H293" s="244"/>
      <c r="I293" s="244"/>
      <c r="J293" s="244"/>
      <c r="K293" s="244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</row>
    <row r="294" ht="14.25" customHeight="1">
      <c r="A294" s="244"/>
      <c r="B294" s="244"/>
      <c r="C294" s="244"/>
      <c r="D294" s="244"/>
      <c r="E294" s="244"/>
      <c r="F294" s="244"/>
      <c r="G294" s="244"/>
      <c r="H294" s="244"/>
      <c r="I294" s="244"/>
      <c r="J294" s="244"/>
      <c r="K294" s="244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</row>
    <row r="295" ht="14.25" customHeight="1">
      <c r="A295" s="244"/>
      <c r="B295" s="244"/>
      <c r="C295" s="244"/>
      <c r="D295" s="244"/>
      <c r="E295" s="244"/>
      <c r="F295" s="244"/>
      <c r="G295" s="244"/>
      <c r="H295" s="244"/>
      <c r="I295" s="244"/>
      <c r="J295" s="244"/>
      <c r="K295" s="244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</row>
    <row r="296" ht="14.25" customHeight="1">
      <c r="A296" s="244"/>
      <c r="B296" s="244"/>
      <c r="C296" s="244"/>
      <c r="D296" s="244"/>
      <c r="E296" s="244"/>
      <c r="F296" s="244"/>
      <c r="G296" s="244"/>
      <c r="H296" s="244"/>
      <c r="I296" s="244"/>
      <c r="J296" s="244"/>
      <c r="K296" s="244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</row>
    <row r="297" ht="14.25" customHeight="1">
      <c r="A297" s="244"/>
      <c r="B297" s="244"/>
      <c r="C297" s="244"/>
      <c r="D297" s="244"/>
      <c r="E297" s="244"/>
      <c r="F297" s="244"/>
      <c r="G297" s="244"/>
      <c r="H297" s="244"/>
      <c r="I297" s="244"/>
      <c r="J297" s="244"/>
      <c r="K297" s="244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</row>
    <row r="298" ht="14.25" customHeight="1">
      <c r="A298" s="244"/>
      <c r="B298" s="244"/>
      <c r="C298" s="244"/>
      <c r="D298" s="244"/>
      <c r="E298" s="244"/>
      <c r="F298" s="244"/>
      <c r="G298" s="244"/>
      <c r="H298" s="244"/>
      <c r="I298" s="244"/>
      <c r="J298" s="244"/>
      <c r="K298" s="244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</row>
    <row r="299" ht="14.25" customHeight="1">
      <c r="A299" s="244"/>
      <c r="B299" s="244"/>
      <c r="C299" s="244"/>
      <c r="D299" s="244"/>
      <c r="E299" s="244"/>
      <c r="F299" s="244"/>
      <c r="G299" s="244"/>
      <c r="H299" s="244"/>
      <c r="I299" s="244"/>
      <c r="J299" s="244"/>
      <c r="K299" s="244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</row>
    <row r="300" ht="14.25" customHeight="1">
      <c r="A300" s="244"/>
      <c r="B300" s="244"/>
      <c r="C300" s="244"/>
      <c r="D300" s="244"/>
      <c r="E300" s="244"/>
      <c r="F300" s="244"/>
      <c r="G300" s="244"/>
      <c r="H300" s="244"/>
      <c r="I300" s="244"/>
      <c r="J300" s="244"/>
      <c r="K300" s="244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</row>
    <row r="301" ht="14.25" customHeight="1">
      <c r="A301" s="244"/>
      <c r="B301" s="244"/>
      <c r="C301" s="244"/>
      <c r="D301" s="244"/>
      <c r="E301" s="244"/>
      <c r="F301" s="244"/>
      <c r="G301" s="244"/>
      <c r="H301" s="244"/>
      <c r="I301" s="244"/>
      <c r="J301" s="244"/>
      <c r="K301" s="244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</row>
    <row r="302" ht="14.25" customHeight="1">
      <c r="A302" s="244"/>
      <c r="B302" s="244"/>
      <c r="C302" s="244"/>
      <c r="D302" s="244"/>
      <c r="E302" s="244"/>
      <c r="F302" s="244"/>
      <c r="G302" s="244"/>
      <c r="H302" s="244"/>
      <c r="I302" s="244"/>
      <c r="J302" s="244"/>
      <c r="K302" s="244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</row>
    <row r="303" ht="14.25" customHeight="1">
      <c r="A303" s="244"/>
      <c r="B303" s="244"/>
      <c r="C303" s="244"/>
      <c r="D303" s="244"/>
      <c r="E303" s="244"/>
      <c r="F303" s="244"/>
      <c r="G303" s="244"/>
      <c r="H303" s="244"/>
      <c r="I303" s="244"/>
      <c r="J303" s="244"/>
      <c r="K303" s="244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</row>
    <row r="304" ht="14.25" customHeight="1">
      <c r="A304" s="244"/>
      <c r="B304" s="244"/>
      <c r="C304" s="244"/>
      <c r="D304" s="244"/>
      <c r="E304" s="244"/>
      <c r="F304" s="244"/>
      <c r="G304" s="244"/>
      <c r="H304" s="244"/>
      <c r="I304" s="244"/>
      <c r="J304" s="244"/>
      <c r="K304" s="244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</row>
    <row r="305" ht="14.25" customHeight="1">
      <c r="A305" s="244"/>
      <c r="B305" s="244"/>
      <c r="C305" s="244"/>
      <c r="D305" s="244"/>
      <c r="E305" s="244"/>
      <c r="F305" s="244"/>
      <c r="G305" s="244"/>
      <c r="H305" s="244"/>
      <c r="I305" s="244"/>
      <c r="J305" s="244"/>
      <c r="K305" s="244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</row>
    <row r="306" ht="14.25" customHeight="1">
      <c r="A306" s="244"/>
      <c r="B306" s="244"/>
      <c r="C306" s="244"/>
      <c r="D306" s="244"/>
      <c r="E306" s="244"/>
      <c r="F306" s="244"/>
      <c r="G306" s="244"/>
      <c r="H306" s="244"/>
      <c r="I306" s="244"/>
      <c r="J306" s="244"/>
      <c r="K306" s="244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</row>
    <row r="307" ht="14.25" customHeight="1">
      <c r="A307" s="244"/>
      <c r="B307" s="244"/>
      <c r="C307" s="244"/>
      <c r="D307" s="244"/>
      <c r="E307" s="244"/>
      <c r="F307" s="244"/>
      <c r="G307" s="244"/>
      <c r="H307" s="244"/>
      <c r="I307" s="244"/>
      <c r="J307" s="244"/>
      <c r="K307" s="244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</row>
    <row r="308" ht="14.25" customHeight="1">
      <c r="A308" s="244"/>
      <c r="B308" s="244"/>
      <c r="C308" s="244"/>
      <c r="D308" s="244"/>
      <c r="E308" s="244"/>
      <c r="F308" s="244"/>
      <c r="G308" s="244"/>
      <c r="H308" s="244"/>
      <c r="I308" s="244"/>
      <c r="J308" s="244"/>
      <c r="K308" s="244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</row>
    <row r="309" ht="14.25" customHeight="1">
      <c r="A309" s="244"/>
      <c r="B309" s="244"/>
      <c r="C309" s="244"/>
      <c r="D309" s="244"/>
      <c r="E309" s="244"/>
      <c r="F309" s="244"/>
      <c r="G309" s="244"/>
      <c r="H309" s="244"/>
      <c r="I309" s="244"/>
      <c r="J309" s="244"/>
      <c r="K309" s="244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</row>
    <row r="310" ht="14.25" customHeight="1">
      <c r="A310" s="244"/>
      <c r="B310" s="244"/>
      <c r="C310" s="244"/>
      <c r="D310" s="244"/>
      <c r="E310" s="244"/>
      <c r="F310" s="244"/>
      <c r="G310" s="244"/>
      <c r="H310" s="244"/>
      <c r="I310" s="244"/>
      <c r="J310" s="244"/>
      <c r="K310" s="244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</row>
    <row r="311" ht="14.25" customHeight="1">
      <c r="A311" s="244"/>
      <c r="B311" s="244"/>
      <c r="C311" s="244"/>
      <c r="D311" s="244"/>
      <c r="E311" s="244"/>
      <c r="F311" s="244"/>
      <c r="G311" s="244"/>
      <c r="H311" s="244"/>
      <c r="I311" s="244"/>
      <c r="J311" s="244"/>
      <c r="K311" s="244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</row>
    <row r="312" ht="14.25" customHeight="1">
      <c r="A312" s="244"/>
      <c r="B312" s="244"/>
      <c r="C312" s="244"/>
      <c r="D312" s="244"/>
      <c r="E312" s="244"/>
      <c r="F312" s="244"/>
      <c r="G312" s="244"/>
      <c r="H312" s="244"/>
      <c r="I312" s="244"/>
      <c r="J312" s="244"/>
      <c r="K312" s="244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</row>
    <row r="313" ht="14.25" customHeight="1">
      <c r="A313" s="244"/>
      <c r="B313" s="244"/>
      <c r="C313" s="244"/>
      <c r="D313" s="244"/>
      <c r="E313" s="244"/>
      <c r="F313" s="244"/>
      <c r="G313" s="244"/>
      <c r="H313" s="244"/>
      <c r="I313" s="244"/>
      <c r="J313" s="244"/>
      <c r="K313" s="244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</row>
    <row r="314" ht="14.25" customHeight="1">
      <c r="A314" s="244"/>
      <c r="B314" s="244"/>
      <c r="C314" s="244"/>
      <c r="D314" s="244"/>
      <c r="E314" s="244"/>
      <c r="F314" s="244"/>
      <c r="G314" s="244"/>
      <c r="H314" s="244"/>
      <c r="I314" s="244"/>
      <c r="J314" s="244"/>
      <c r="K314" s="244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</row>
    <row r="315" ht="14.25" customHeight="1">
      <c r="A315" s="244"/>
      <c r="B315" s="244"/>
      <c r="C315" s="244"/>
      <c r="D315" s="244"/>
      <c r="E315" s="244"/>
      <c r="F315" s="244"/>
      <c r="G315" s="244"/>
      <c r="H315" s="244"/>
      <c r="I315" s="244"/>
      <c r="J315" s="244"/>
      <c r="K315" s="244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</row>
    <row r="316" ht="14.25" customHeight="1">
      <c r="A316" s="244"/>
      <c r="B316" s="244"/>
      <c r="C316" s="244"/>
      <c r="D316" s="244"/>
      <c r="E316" s="244"/>
      <c r="F316" s="244"/>
      <c r="G316" s="244"/>
      <c r="H316" s="244"/>
      <c r="I316" s="244"/>
      <c r="J316" s="244"/>
      <c r="K316" s="244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</row>
    <row r="317" ht="14.25" customHeight="1">
      <c r="A317" s="244"/>
      <c r="B317" s="244"/>
      <c r="C317" s="244"/>
      <c r="D317" s="244"/>
      <c r="E317" s="244"/>
      <c r="F317" s="244"/>
      <c r="G317" s="244"/>
      <c r="H317" s="244"/>
      <c r="I317" s="244"/>
      <c r="J317" s="244"/>
      <c r="K317" s="244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</row>
    <row r="318" ht="14.25" customHeight="1">
      <c r="A318" s="244"/>
      <c r="B318" s="244"/>
      <c r="C318" s="244"/>
      <c r="D318" s="244"/>
      <c r="E318" s="244"/>
      <c r="F318" s="244"/>
      <c r="G318" s="244"/>
      <c r="H318" s="244"/>
      <c r="I318" s="244"/>
      <c r="J318" s="244"/>
      <c r="K318" s="244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</row>
    <row r="319" ht="14.25" customHeight="1">
      <c r="A319" s="244"/>
      <c r="B319" s="244"/>
      <c r="C319" s="244"/>
      <c r="D319" s="244"/>
      <c r="E319" s="244"/>
      <c r="F319" s="244"/>
      <c r="G319" s="244"/>
      <c r="H319" s="244"/>
      <c r="I319" s="244"/>
      <c r="J319" s="244"/>
      <c r="K319" s="244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</row>
    <row r="320" ht="14.25" customHeight="1">
      <c r="A320" s="244"/>
      <c r="B320" s="244"/>
      <c r="C320" s="244"/>
      <c r="D320" s="244"/>
      <c r="E320" s="244"/>
      <c r="F320" s="244"/>
      <c r="G320" s="244"/>
      <c r="H320" s="244"/>
      <c r="I320" s="244"/>
      <c r="J320" s="244"/>
      <c r="K320" s="244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</row>
    <row r="321" ht="14.25" customHeight="1">
      <c r="A321" s="244"/>
      <c r="B321" s="244"/>
      <c r="C321" s="244"/>
      <c r="D321" s="244"/>
      <c r="E321" s="244"/>
      <c r="F321" s="244"/>
      <c r="G321" s="244"/>
      <c r="H321" s="244"/>
      <c r="I321" s="244"/>
      <c r="J321" s="244"/>
      <c r="K321" s="244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</row>
    <row r="322" ht="14.25" customHeight="1">
      <c r="A322" s="244"/>
      <c r="B322" s="244"/>
      <c r="C322" s="244"/>
      <c r="D322" s="244"/>
      <c r="E322" s="244"/>
      <c r="F322" s="244"/>
      <c r="G322" s="244"/>
      <c r="H322" s="244"/>
      <c r="I322" s="244"/>
      <c r="J322" s="244"/>
      <c r="K322" s="244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</row>
    <row r="323" ht="14.25" customHeight="1">
      <c r="A323" s="244"/>
      <c r="B323" s="244"/>
      <c r="C323" s="244"/>
      <c r="D323" s="244"/>
      <c r="E323" s="244"/>
      <c r="F323" s="244"/>
      <c r="G323" s="244"/>
      <c r="H323" s="244"/>
      <c r="I323" s="244"/>
      <c r="J323" s="244"/>
      <c r="K323" s="244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</row>
    <row r="324" ht="14.25" customHeight="1">
      <c r="A324" s="244"/>
      <c r="B324" s="244"/>
      <c r="C324" s="244"/>
      <c r="D324" s="244"/>
      <c r="E324" s="244"/>
      <c r="F324" s="244"/>
      <c r="G324" s="244"/>
      <c r="H324" s="244"/>
      <c r="I324" s="244"/>
      <c r="J324" s="244"/>
      <c r="K324" s="244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</row>
    <row r="325" ht="14.25" customHeight="1">
      <c r="A325" s="244"/>
      <c r="B325" s="244"/>
      <c r="C325" s="244"/>
      <c r="D325" s="244"/>
      <c r="E325" s="244"/>
      <c r="F325" s="244"/>
      <c r="G325" s="244"/>
      <c r="H325" s="244"/>
      <c r="I325" s="244"/>
      <c r="J325" s="244"/>
      <c r="K325" s="244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</row>
    <row r="326" ht="14.25" customHeight="1">
      <c r="A326" s="244"/>
      <c r="B326" s="244"/>
      <c r="C326" s="244"/>
      <c r="D326" s="244"/>
      <c r="E326" s="244"/>
      <c r="F326" s="244"/>
      <c r="G326" s="244"/>
      <c r="H326" s="244"/>
      <c r="I326" s="244"/>
      <c r="J326" s="244"/>
      <c r="K326" s="244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</row>
    <row r="327" ht="14.25" customHeight="1">
      <c r="A327" s="244"/>
      <c r="B327" s="244"/>
      <c r="C327" s="244"/>
      <c r="D327" s="244"/>
      <c r="E327" s="244"/>
      <c r="F327" s="244"/>
      <c r="G327" s="244"/>
      <c r="H327" s="244"/>
      <c r="I327" s="244"/>
      <c r="J327" s="244"/>
      <c r="K327" s="244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</row>
    <row r="328" ht="14.25" customHeight="1">
      <c r="A328" s="244"/>
      <c r="B328" s="244"/>
      <c r="C328" s="244"/>
      <c r="D328" s="244"/>
      <c r="E328" s="244"/>
      <c r="F328" s="244"/>
      <c r="G328" s="244"/>
      <c r="H328" s="244"/>
      <c r="I328" s="244"/>
      <c r="J328" s="244"/>
      <c r="K328" s="244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</row>
    <row r="329" ht="14.25" customHeight="1">
      <c r="A329" s="244"/>
      <c r="B329" s="244"/>
      <c r="C329" s="244"/>
      <c r="D329" s="244"/>
      <c r="E329" s="244"/>
      <c r="F329" s="244"/>
      <c r="G329" s="244"/>
      <c r="H329" s="244"/>
      <c r="I329" s="244"/>
      <c r="J329" s="244"/>
      <c r="K329" s="244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</row>
    <row r="330" ht="14.25" customHeight="1">
      <c r="A330" s="244"/>
      <c r="B330" s="244"/>
      <c r="C330" s="244"/>
      <c r="D330" s="244"/>
      <c r="E330" s="244"/>
      <c r="F330" s="244"/>
      <c r="G330" s="244"/>
      <c r="H330" s="244"/>
      <c r="I330" s="244"/>
      <c r="J330" s="244"/>
      <c r="K330" s="244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</row>
    <row r="331" ht="14.25" customHeight="1">
      <c r="A331" s="244"/>
      <c r="B331" s="244"/>
      <c r="C331" s="244"/>
      <c r="D331" s="244"/>
      <c r="E331" s="244"/>
      <c r="F331" s="244"/>
      <c r="G331" s="244"/>
      <c r="H331" s="244"/>
      <c r="I331" s="244"/>
      <c r="J331" s="244"/>
      <c r="K331" s="244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</row>
    <row r="332" ht="14.25" customHeight="1">
      <c r="A332" s="244"/>
      <c r="B332" s="244"/>
      <c r="C332" s="244"/>
      <c r="D332" s="244"/>
      <c r="E332" s="244"/>
      <c r="F332" s="244"/>
      <c r="G332" s="244"/>
      <c r="H332" s="244"/>
      <c r="I332" s="244"/>
      <c r="J332" s="244"/>
      <c r="K332" s="244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</row>
    <row r="333" ht="14.25" customHeight="1">
      <c r="A333" s="244"/>
      <c r="B333" s="244"/>
      <c r="C333" s="244"/>
      <c r="D333" s="244"/>
      <c r="E333" s="244"/>
      <c r="F333" s="244"/>
      <c r="G333" s="244"/>
      <c r="H333" s="244"/>
      <c r="I333" s="244"/>
      <c r="J333" s="244"/>
      <c r="K333" s="244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</row>
    <row r="334" ht="14.25" customHeight="1">
      <c r="A334" s="244"/>
      <c r="B334" s="244"/>
      <c r="C334" s="244"/>
      <c r="D334" s="244"/>
      <c r="E334" s="244"/>
      <c r="F334" s="244"/>
      <c r="G334" s="244"/>
      <c r="H334" s="244"/>
      <c r="I334" s="244"/>
      <c r="J334" s="244"/>
      <c r="K334" s="244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</row>
    <row r="335" ht="14.25" customHeight="1">
      <c r="A335" s="244"/>
      <c r="B335" s="244"/>
      <c r="C335" s="244"/>
      <c r="D335" s="244"/>
      <c r="E335" s="244"/>
      <c r="F335" s="244"/>
      <c r="G335" s="244"/>
      <c r="H335" s="244"/>
      <c r="I335" s="244"/>
      <c r="J335" s="244"/>
      <c r="K335" s="244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</row>
    <row r="336" ht="14.25" customHeight="1">
      <c r="A336" s="244"/>
      <c r="B336" s="244"/>
      <c r="C336" s="244"/>
      <c r="D336" s="244"/>
      <c r="E336" s="244"/>
      <c r="F336" s="244"/>
      <c r="G336" s="244"/>
      <c r="H336" s="244"/>
      <c r="I336" s="244"/>
      <c r="J336" s="244"/>
      <c r="K336" s="244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</row>
    <row r="337" ht="14.25" customHeight="1">
      <c r="A337" s="244"/>
      <c r="B337" s="244"/>
      <c r="C337" s="244"/>
      <c r="D337" s="244"/>
      <c r="E337" s="244"/>
      <c r="F337" s="244"/>
      <c r="G337" s="244"/>
      <c r="H337" s="244"/>
      <c r="I337" s="244"/>
      <c r="J337" s="244"/>
      <c r="K337" s="244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</row>
    <row r="338" ht="14.25" customHeight="1">
      <c r="A338" s="244"/>
      <c r="B338" s="244"/>
      <c r="C338" s="244"/>
      <c r="D338" s="244"/>
      <c r="E338" s="244"/>
      <c r="F338" s="244"/>
      <c r="G338" s="244"/>
      <c r="H338" s="244"/>
      <c r="I338" s="244"/>
      <c r="J338" s="244"/>
      <c r="K338" s="244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</row>
    <row r="339" ht="14.25" customHeight="1">
      <c r="A339" s="244"/>
      <c r="B339" s="244"/>
      <c r="C339" s="244"/>
      <c r="D339" s="244"/>
      <c r="E339" s="244"/>
      <c r="F339" s="244"/>
      <c r="G339" s="244"/>
      <c r="H339" s="244"/>
      <c r="I339" s="244"/>
      <c r="J339" s="244"/>
      <c r="K339" s="244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</row>
    <row r="340" ht="14.25" customHeight="1">
      <c r="A340" s="244"/>
      <c r="B340" s="244"/>
      <c r="C340" s="244"/>
      <c r="D340" s="244"/>
      <c r="E340" s="244"/>
      <c r="F340" s="244"/>
      <c r="G340" s="244"/>
      <c r="H340" s="244"/>
      <c r="I340" s="244"/>
      <c r="J340" s="244"/>
      <c r="K340" s="244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</row>
    <row r="341" ht="14.25" customHeight="1">
      <c r="A341" s="244"/>
      <c r="B341" s="244"/>
      <c r="C341" s="244"/>
      <c r="D341" s="244"/>
      <c r="E341" s="244"/>
      <c r="F341" s="244"/>
      <c r="G341" s="244"/>
      <c r="H341" s="244"/>
      <c r="I341" s="244"/>
      <c r="J341" s="244"/>
      <c r="K341" s="244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</row>
    <row r="342" ht="14.25" customHeight="1">
      <c r="A342" s="244"/>
      <c r="B342" s="244"/>
      <c r="C342" s="244"/>
      <c r="D342" s="244"/>
      <c r="E342" s="244"/>
      <c r="F342" s="244"/>
      <c r="G342" s="244"/>
      <c r="H342" s="244"/>
      <c r="I342" s="244"/>
      <c r="J342" s="244"/>
      <c r="K342" s="244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</row>
    <row r="343" ht="14.25" customHeight="1">
      <c r="A343" s="244"/>
      <c r="B343" s="244"/>
      <c r="C343" s="244"/>
      <c r="D343" s="244"/>
      <c r="E343" s="244"/>
      <c r="F343" s="244"/>
      <c r="G343" s="244"/>
      <c r="H343" s="244"/>
      <c r="I343" s="244"/>
      <c r="J343" s="244"/>
      <c r="K343" s="244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</row>
    <row r="344" ht="14.25" customHeight="1">
      <c r="A344" s="244"/>
      <c r="B344" s="244"/>
      <c r="C344" s="244"/>
      <c r="D344" s="244"/>
      <c r="E344" s="244"/>
      <c r="F344" s="244"/>
      <c r="G344" s="244"/>
      <c r="H344" s="244"/>
      <c r="I344" s="244"/>
      <c r="J344" s="244"/>
      <c r="K344" s="244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</row>
    <row r="345" ht="14.25" customHeight="1">
      <c r="A345" s="244"/>
      <c r="B345" s="244"/>
      <c r="C345" s="244"/>
      <c r="D345" s="244"/>
      <c r="E345" s="244"/>
      <c r="F345" s="244"/>
      <c r="G345" s="244"/>
      <c r="H345" s="244"/>
      <c r="I345" s="244"/>
      <c r="J345" s="244"/>
      <c r="K345" s="244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</row>
    <row r="346" ht="14.25" customHeight="1">
      <c r="A346" s="244"/>
      <c r="B346" s="244"/>
      <c r="C346" s="244"/>
      <c r="D346" s="244"/>
      <c r="E346" s="244"/>
      <c r="F346" s="244"/>
      <c r="G346" s="244"/>
      <c r="H346" s="244"/>
      <c r="I346" s="244"/>
      <c r="J346" s="244"/>
      <c r="K346" s="244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</row>
    <row r="347" ht="14.25" customHeight="1">
      <c r="A347" s="244"/>
      <c r="B347" s="244"/>
      <c r="C347" s="244"/>
      <c r="D347" s="244"/>
      <c r="E347" s="244"/>
      <c r="F347" s="244"/>
      <c r="G347" s="244"/>
      <c r="H347" s="244"/>
      <c r="I347" s="244"/>
      <c r="J347" s="244"/>
      <c r="K347" s="244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</row>
    <row r="348" ht="14.25" customHeight="1">
      <c r="A348" s="244"/>
      <c r="B348" s="244"/>
      <c r="C348" s="244"/>
      <c r="D348" s="244"/>
      <c r="E348" s="244"/>
      <c r="F348" s="244"/>
      <c r="G348" s="244"/>
      <c r="H348" s="244"/>
      <c r="I348" s="244"/>
      <c r="J348" s="244"/>
      <c r="K348" s="244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</row>
    <row r="349" ht="14.25" customHeight="1">
      <c r="A349" s="244"/>
      <c r="B349" s="244"/>
      <c r="C349" s="244"/>
      <c r="D349" s="244"/>
      <c r="E349" s="244"/>
      <c r="F349" s="244"/>
      <c r="G349" s="244"/>
      <c r="H349" s="244"/>
      <c r="I349" s="244"/>
      <c r="J349" s="244"/>
      <c r="K349" s="244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</row>
    <row r="350" ht="14.25" customHeight="1">
      <c r="A350" s="244"/>
      <c r="B350" s="244"/>
      <c r="C350" s="244"/>
      <c r="D350" s="244"/>
      <c r="E350" s="244"/>
      <c r="F350" s="244"/>
      <c r="G350" s="244"/>
      <c r="H350" s="244"/>
      <c r="I350" s="244"/>
      <c r="J350" s="244"/>
      <c r="K350" s="244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</row>
    <row r="351" ht="14.25" customHeight="1">
      <c r="A351" s="244"/>
      <c r="B351" s="244"/>
      <c r="C351" s="244"/>
      <c r="D351" s="244"/>
      <c r="E351" s="244"/>
      <c r="F351" s="244"/>
      <c r="G351" s="244"/>
      <c r="H351" s="244"/>
      <c r="I351" s="244"/>
      <c r="J351" s="244"/>
      <c r="K351" s="244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</row>
    <row r="352" ht="14.25" customHeight="1">
      <c r="A352" s="244"/>
      <c r="B352" s="244"/>
      <c r="C352" s="244"/>
      <c r="D352" s="244"/>
      <c r="E352" s="244"/>
      <c r="F352" s="244"/>
      <c r="G352" s="244"/>
      <c r="H352" s="244"/>
      <c r="I352" s="244"/>
      <c r="J352" s="244"/>
      <c r="K352" s="244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</row>
    <row r="353" ht="14.25" customHeight="1">
      <c r="A353" s="244"/>
      <c r="B353" s="244"/>
      <c r="C353" s="244"/>
      <c r="D353" s="244"/>
      <c r="E353" s="244"/>
      <c r="F353" s="244"/>
      <c r="G353" s="244"/>
      <c r="H353" s="244"/>
      <c r="I353" s="244"/>
      <c r="J353" s="244"/>
      <c r="K353" s="244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</row>
    <row r="354" ht="14.25" customHeight="1">
      <c r="A354" s="244"/>
      <c r="B354" s="244"/>
      <c r="C354" s="244"/>
      <c r="D354" s="244"/>
      <c r="E354" s="244"/>
      <c r="F354" s="244"/>
      <c r="G354" s="244"/>
      <c r="H354" s="244"/>
      <c r="I354" s="244"/>
      <c r="J354" s="244"/>
      <c r="K354" s="244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</row>
    <row r="355" ht="14.25" customHeight="1">
      <c r="A355" s="244"/>
      <c r="B355" s="244"/>
      <c r="C355" s="244"/>
      <c r="D355" s="244"/>
      <c r="E355" s="244"/>
      <c r="F355" s="244"/>
      <c r="G355" s="244"/>
      <c r="H355" s="244"/>
      <c r="I355" s="244"/>
      <c r="J355" s="244"/>
      <c r="K355" s="244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</row>
    <row r="356" ht="14.25" customHeight="1">
      <c r="A356" s="244"/>
      <c r="B356" s="244"/>
      <c r="C356" s="244"/>
      <c r="D356" s="244"/>
      <c r="E356" s="244"/>
      <c r="F356" s="244"/>
      <c r="G356" s="244"/>
      <c r="H356" s="244"/>
      <c r="I356" s="244"/>
      <c r="J356" s="244"/>
      <c r="K356" s="244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</row>
    <row r="357" ht="14.25" customHeight="1">
      <c r="A357" s="244"/>
      <c r="B357" s="244"/>
      <c r="C357" s="244"/>
      <c r="D357" s="244"/>
      <c r="E357" s="244"/>
      <c r="F357" s="244"/>
      <c r="G357" s="244"/>
      <c r="H357" s="244"/>
      <c r="I357" s="244"/>
      <c r="J357" s="244"/>
      <c r="K357" s="244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</row>
    <row r="358" ht="14.25" customHeight="1">
      <c r="A358" s="244"/>
      <c r="B358" s="244"/>
      <c r="C358" s="244"/>
      <c r="D358" s="244"/>
      <c r="E358" s="244"/>
      <c r="F358" s="244"/>
      <c r="G358" s="244"/>
      <c r="H358" s="244"/>
      <c r="I358" s="244"/>
      <c r="J358" s="244"/>
      <c r="K358" s="244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</row>
    <row r="359" ht="14.25" customHeight="1">
      <c r="A359" s="244"/>
      <c r="B359" s="244"/>
      <c r="C359" s="244"/>
      <c r="D359" s="244"/>
      <c r="E359" s="244"/>
      <c r="F359" s="244"/>
      <c r="G359" s="244"/>
      <c r="H359" s="244"/>
      <c r="I359" s="244"/>
      <c r="J359" s="244"/>
      <c r="K359" s="244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</row>
    <row r="360" ht="14.25" customHeight="1">
      <c r="A360" s="244"/>
      <c r="B360" s="244"/>
      <c r="C360" s="244"/>
      <c r="D360" s="244"/>
      <c r="E360" s="244"/>
      <c r="F360" s="244"/>
      <c r="G360" s="244"/>
      <c r="H360" s="244"/>
      <c r="I360" s="244"/>
      <c r="J360" s="244"/>
      <c r="K360" s="244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</row>
    <row r="361" ht="14.25" customHeight="1">
      <c r="A361" s="244"/>
      <c r="B361" s="244"/>
      <c r="C361" s="244"/>
      <c r="D361" s="244"/>
      <c r="E361" s="244"/>
      <c r="F361" s="244"/>
      <c r="G361" s="244"/>
      <c r="H361" s="244"/>
      <c r="I361" s="244"/>
      <c r="J361" s="244"/>
      <c r="K361" s="244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</row>
    <row r="362" ht="14.25" customHeight="1">
      <c r="A362" s="244"/>
      <c r="B362" s="244"/>
      <c r="C362" s="244"/>
      <c r="D362" s="244"/>
      <c r="E362" s="244"/>
      <c r="F362" s="244"/>
      <c r="G362" s="244"/>
      <c r="H362" s="244"/>
      <c r="I362" s="244"/>
      <c r="J362" s="244"/>
      <c r="K362" s="244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</row>
    <row r="363" ht="14.25" customHeight="1">
      <c r="A363" s="244"/>
      <c r="B363" s="244"/>
      <c r="C363" s="244"/>
      <c r="D363" s="244"/>
      <c r="E363" s="244"/>
      <c r="F363" s="244"/>
      <c r="G363" s="244"/>
      <c r="H363" s="244"/>
      <c r="I363" s="244"/>
      <c r="J363" s="244"/>
      <c r="K363" s="244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</row>
    <row r="364" ht="14.25" customHeight="1">
      <c r="A364" s="244"/>
      <c r="B364" s="244"/>
      <c r="C364" s="244"/>
      <c r="D364" s="244"/>
      <c r="E364" s="244"/>
      <c r="F364" s="244"/>
      <c r="G364" s="244"/>
      <c r="H364" s="244"/>
      <c r="I364" s="244"/>
      <c r="J364" s="244"/>
      <c r="K364" s="244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</row>
    <row r="365" ht="14.25" customHeight="1">
      <c r="A365" s="244"/>
      <c r="B365" s="244"/>
      <c r="C365" s="244"/>
      <c r="D365" s="244"/>
      <c r="E365" s="244"/>
      <c r="F365" s="244"/>
      <c r="G365" s="244"/>
      <c r="H365" s="244"/>
      <c r="I365" s="244"/>
      <c r="J365" s="244"/>
      <c r="K365" s="244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</row>
    <row r="366" ht="14.25" customHeight="1">
      <c r="A366" s="244"/>
      <c r="B366" s="244"/>
      <c r="C366" s="244"/>
      <c r="D366" s="244"/>
      <c r="E366" s="244"/>
      <c r="F366" s="244"/>
      <c r="G366" s="244"/>
      <c r="H366" s="244"/>
      <c r="I366" s="244"/>
      <c r="J366" s="244"/>
      <c r="K366" s="244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</row>
    <row r="367" ht="14.25" customHeight="1">
      <c r="A367" s="244"/>
      <c r="B367" s="244"/>
      <c r="C367" s="244"/>
      <c r="D367" s="244"/>
      <c r="E367" s="244"/>
      <c r="F367" s="244"/>
      <c r="G367" s="244"/>
      <c r="H367" s="244"/>
      <c r="I367" s="244"/>
      <c r="J367" s="244"/>
      <c r="K367" s="244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</row>
    <row r="368" ht="14.25" customHeight="1">
      <c r="A368" s="244"/>
      <c r="B368" s="244"/>
      <c r="C368" s="244"/>
      <c r="D368" s="244"/>
      <c r="E368" s="244"/>
      <c r="F368" s="244"/>
      <c r="G368" s="244"/>
      <c r="H368" s="244"/>
      <c r="I368" s="244"/>
      <c r="J368" s="244"/>
      <c r="K368" s="244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</row>
    <row r="369" ht="14.25" customHeight="1">
      <c r="A369" s="244"/>
      <c r="B369" s="244"/>
      <c r="C369" s="244"/>
      <c r="D369" s="244"/>
      <c r="E369" s="244"/>
      <c r="F369" s="244"/>
      <c r="G369" s="244"/>
      <c r="H369" s="244"/>
      <c r="I369" s="244"/>
      <c r="J369" s="244"/>
      <c r="K369" s="244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</row>
    <row r="370" ht="14.25" customHeight="1">
      <c r="A370" s="244"/>
      <c r="B370" s="244"/>
      <c r="C370" s="244"/>
      <c r="D370" s="244"/>
      <c r="E370" s="244"/>
      <c r="F370" s="244"/>
      <c r="G370" s="244"/>
      <c r="H370" s="244"/>
      <c r="I370" s="244"/>
      <c r="J370" s="244"/>
      <c r="K370" s="244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</row>
    <row r="371" ht="14.25" customHeight="1">
      <c r="A371" s="244"/>
      <c r="B371" s="244"/>
      <c r="C371" s="244"/>
      <c r="D371" s="244"/>
      <c r="E371" s="244"/>
      <c r="F371" s="244"/>
      <c r="G371" s="244"/>
      <c r="H371" s="244"/>
      <c r="I371" s="244"/>
      <c r="J371" s="244"/>
      <c r="K371" s="244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</row>
    <row r="372" ht="14.25" customHeight="1">
      <c r="A372" s="244"/>
      <c r="B372" s="244"/>
      <c r="C372" s="244"/>
      <c r="D372" s="244"/>
      <c r="E372" s="244"/>
      <c r="F372" s="244"/>
      <c r="G372" s="244"/>
      <c r="H372" s="244"/>
      <c r="I372" s="244"/>
      <c r="J372" s="244"/>
      <c r="K372" s="244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</row>
    <row r="373" ht="14.25" customHeight="1">
      <c r="A373" s="244"/>
      <c r="B373" s="244"/>
      <c r="C373" s="244"/>
      <c r="D373" s="244"/>
      <c r="E373" s="244"/>
      <c r="F373" s="244"/>
      <c r="G373" s="244"/>
      <c r="H373" s="244"/>
      <c r="I373" s="244"/>
      <c r="J373" s="244"/>
      <c r="K373" s="244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</row>
    <row r="374" ht="14.25" customHeight="1">
      <c r="A374" s="244"/>
      <c r="B374" s="244"/>
      <c r="C374" s="244"/>
      <c r="D374" s="244"/>
      <c r="E374" s="244"/>
      <c r="F374" s="244"/>
      <c r="G374" s="244"/>
      <c r="H374" s="244"/>
      <c r="I374" s="244"/>
      <c r="J374" s="244"/>
      <c r="K374" s="244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</row>
    <row r="375" ht="14.25" customHeight="1">
      <c r="A375" s="244"/>
      <c r="B375" s="244"/>
      <c r="C375" s="244"/>
      <c r="D375" s="244"/>
      <c r="E375" s="244"/>
      <c r="F375" s="244"/>
      <c r="G375" s="244"/>
      <c r="H375" s="244"/>
      <c r="I375" s="244"/>
      <c r="J375" s="244"/>
      <c r="K375" s="244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</row>
    <row r="376" ht="14.25" customHeight="1">
      <c r="A376" s="244"/>
      <c r="B376" s="244"/>
      <c r="C376" s="244"/>
      <c r="D376" s="244"/>
      <c r="E376" s="244"/>
      <c r="F376" s="244"/>
      <c r="G376" s="244"/>
      <c r="H376" s="244"/>
      <c r="I376" s="244"/>
      <c r="J376" s="244"/>
      <c r="K376" s="244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</row>
    <row r="377" ht="14.25" customHeight="1">
      <c r="A377" s="244"/>
      <c r="B377" s="244"/>
      <c r="C377" s="244"/>
      <c r="D377" s="244"/>
      <c r="E377" s="244"/>
      <c r="F377" s="244"/>
      <c r="G377" s="244"/>
      <c r="H377" s="244"/>
      <c r="I377" s="244"/>
      <c r="J377" s="244"/>
      <c r="K377" s="244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</row>
    <row r="378" ht="14.25" customHeight="1">
      <c r="A378" s="244"/>
      <c r="B378" s="244"/>
      <c r="C378" s="244"/>
      <c r="D378" s="244"/>
      <c r="E378" s="244"/>
      <c r="F378" s="244"/>
      <c r="G378" s="244"/>
      <c r="H378" s="244"/>
      <c r="I378" s="244"/>
      <c r="J378" s="244"/>
      <c r="K378" s="244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</row>
    <row r="379" ht="14.25" customHeight="1">
      <c r="A379" s="244"/>
      <c r="B379" s="244"/>
      <c r="C379" s="244"/>
      <c r="D379" s="244"/>
      <c r="E379" s="244"/>
      <c r="F379" s="244"/>
      <c r="G379" s="244"/>
      <c r="H379" s="244"/>
      <c r="I379" s="244"/>
      <c r="J379" s="244"/>
      <c r="K379" s="244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</row>
    <row r="380" ht="14.25" customHeight="1">
      <c r="A380" s="244"/>
      <c r="B380" s="244"/>
      <c r="C380" s="244"/>
      <c r="D380" s="244"/>
      <c r="E380" s="244"/>
      <c r="F380" s="244"/>
      <c r="G380" s="244"/>
      <c r="H380" s="244"/>
      <c r="I380" s="244"/>
      <c r="J380" s="244"/>
      <c r="K380" s="244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</row>
    <row r="381" ht="14.25" customHeight="1">
      <c r="A381" s="244"/>
      <c r="B381" s="244"/>
      <c r="C381" s="244"/>
      <c r="D381" s="244"/>
      <c r="E381" s="244"/>
      <c r="F381" s="244"/>
      <c r="G381" s="244"/>
      <c r="H381" s="244"/>
      <c r="I381" s="244"/>
      <c r="J381" s="244"/>
      <c r="K381" s="244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</row>
    <row r="382" ht="14.25" customHeight="1">
      <c r="A382" s="244"/>
      <c r="B382" s="244"/>
      <c r="C382" s="244"/>
      <c r="D382" s="244"/>
      <c r="E382" s="244"/>
      <c r="F382" s="244"/>
      <c r="G382" s="244"/>
      <c r="H382" s="244"/>
      <c r="I382" s="244"/>
      <c r="J382" s="244"/>
      <c r="K382" s="244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</row>
    <row r="383" ht="14.25" customHeight="1">
      <c r="A383" s="244"/>
      <c r="B383" s="244"/>
      <c r="C383" s="244"/>
      <c r="D383" s="244"/>
      <c r="E383" s="244"/>
      <c r="F383" s="244"/>
      <c r="G383" s="244"/>
      <c r="H383" s="244"/>
      <c r="I383" s="244"/>
      <c r="J383" s="244"/>
      <c r="K383" s="244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</row>
    <row r="384" ht="14.25" customHeight="1">
      <c r="A384" s="244"/>
      <c r="B384" s="244"/>
      <c r="C384" s="244"/>
      <c r="D384" s="244"/>
      <c r="E384" s="244"/>
      <c r="F384" s="244"/>
      <c r="G384" s="244"/>
      <c r="H384" s="244"/>
      <c r="I384" s="244"/>
      <c r="J384" s="244"/>
      <c r="K384" s="244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</row>
    <row r="385" ht="14.25" customHeight="1">
      <c r="A385" s="244"/>
      <c r="B385" s="244"/>
      <c r="C385" s="244"/>
      <c r="D385" s="244"/>
      <c r="E385" s="244"/>
      <c r="F385" s="244"/>
      <c r="G385" s="244"/>
      <c r="H385" s="244"/>
      <c r="I385" s="244"/>
      <c r="J385" s="244"/>
      <c r="K385" s="244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</row>
    <row r="386" ht="14.25" customHeight="1">
      <c r="A386" s="244"/>
      <c r="B386" s="244"/>
      <c r="C386" s="244"/>
      <c r="D386" s="244"/>
      <c r="E386" s="244"/>
      <c r="F386" s="244"/>
      <c r="G386" s="244"/>
      <c r="H386" s="244"/>
      <c r="I386" s="244"/>
      <c r="J386" s="244"/>
      <c r="K386" s="244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</row>
    <row r="387" ht="14.25" customHeight="1">
      <c r="A387" s="244"/>
      <c r="B387" s="244"/>
      <c r="C387" s="244"/>
      <c r="D387" s="244"/>
      <c r="E387" s="244"/>
      <c r="F387" s="244"/>
      <c r="G387" s="244"/>
      <c r="H387" s="244"/>
      <c r="I387" s="244"/>
      <c r="J387" s="244"/>
      <c r="K387" s="244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</row>
    <row r="388" ht="14.25" customHeight="1">
      <c r="A388" s="244"/>
      <c r="B388" s="244"/>
      <c r="C388" s="244"/>
      <c r="D388" s="244"/>
      <c r="E388" s="244"/>
      <c r="F388" s="244"/>
      <c r="G388" s="244"/>
      <c r="H388" s="244"/>
      <c r="I388" s="244"/>
      <c r="J388" s="244"/>
      <c r="K388" s="244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</row>
    <row r="389" ht="14.25" customHeight="1">
      <c r="A389" s="244"/>
      <c r="B389" s="244"/>
      <c r="C389" s="244"/>
      <c r="D389" s="244"/>
      <c r="E389" s="244"/>
      <c r="F389" s="244"/>
      <c r="G389" s="244"/>
      <c r="H389" s="244"/>
      <c r="I389" s="244"/>
      <c r="J389" s="244"/>
      <c r="K389" s="244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</row>
    <row r="390" ht="14.25" customHeight="1">
      <c r="A390" s="244"/>
      <c r="B390" s="244"/>
      <c r="C390" s="244"/>
      <c r="D390" s="244"/>
      <c r="E390" s="244"/>
      <c r="F390" s="244"/>
      <c r="G390" s="244"/>
      <c r="H390" s="244"/>
      <c r="I390" s="244"/>
      <c r="J390" s="244"/>
      <c r="K390" s="244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</row>
    <row r="391" ht="14.25" customHeight="1">
      <c r="A391" s="244"/>
      <c r="B391" s="244"/>
      <c r="C391" s="244"/>
      <c r="D391" s="244"/>
      <c r="E391" s="244"/>
      <c r="F391" s="244"/>
      <c r="G391" s="244"/>
      <c r="H391" s="244"/>
      <c r="I391" s="244"/>
      <c r="J391" s="244"/>
      <c r="K391" s="244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</row>
    <row r="392" ht="14.25" customHeight="1">
      <c r="A392" s="244"/>
      <c r="B392" s="244"/>
      <c r="C392" s="244"/>
      <c r="D392" s="244"/>
      <c r="E392" s="244"/>
      <c r="F392" s="244"/>
      <c r="G392" s="244"/>
      <c r="H392" s="244"/>
      <c r="I392" s="244"/>
      <c r="J392" s="244"/>
      <c r="K392" s="244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</row>
    <row r="393" ht="14.25" customHeight="1">
      <c r="A393" s="244"/>
      <c r="B393" s="244"/>
      <c r="C393" s="244"/>
      <c r="D393" s="244"/>
      <c r="E393" s="244"/>
      <c r="F393" s="244"/>
      <c r="G393" s="244"/>
      <c r="H393" s="244"/>
      <c r="I393" s="244"/>
      <c r="J393" s="244"/>
      <c r="K393" s="244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</row>
    <row r="394" ht="14.25" customHeight="1">
      <c r="A394" s="244"/>
      <c r="B394" s="244"/>
      <c r="C394" s="244"/>
      <c r="D394" s="244"/>
      <c r="E394" s="244"/>
      <c r="F394" s="244"/>
      <c r="G394" s="244"/>
      <c r="H394" s="244"/>
      <c r="I394" s="244"/>
      <c r="J394" s="244"/>
      <c r="K394" s="244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</row>
    <row r="395" ht="14.25" customHeight="1">
      <c r="A395" s="244"/>
      <c r="B395" s="244"/>
      <c r="C395" s="244"/>
      <c r="D395" s="244"/>
      <c r="E395" s="244"/>
      <c r="F395" s="244"/>
      <c r="G395" s="244"/>
      <c r="H395" s="244"/>
      <c r="I395" s="244"/>
      <c r="J395" s="244"/>
      <c r="K395" s="244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</row>
    <row r="396" ht="14.25" customHeight="1">
      <c r="A396" s="244"/>
      <c r="B396" s="244"/>
      <c r="C396" s="244"/>
      <c r="D396" s="244"/>
      <c r="E396" s="244"/>
      <c r="F396" s="244"/>
      <c r="G396" s="244"/>
      <c r="H396" s="244"/>
      <c r="I396" s="244"/>
      <c r="J396" s="244"/>
      <c r="K396" s="244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</row>
    <row r="397" ht="14.25" customHeight="1">
      <c r="A397" s="244"/>
      <c r="B397" s="244"/>
      <c r="C397" s="244"/>
      <c r="D397" s="244"/>
      <c r="E397" s="244"/>
      <c r="F397" s="244"/>
      <c r="G397" s="244"/>
      <c r="H397" s="244"/>
      <c r="I397" s="244"/>
      <c r="J397" s="244"/>
      <c r="K397" s="244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</row>
    <row r="398" ht="14.25" customHeight="1">
      <c r="A398" s="244"/>
      <c r="B398" s="244"/>
      <c r="C398" s="244"/>
      <c r="D398" s="244"/>
      <c r="E398" s="244"/>
      <c r="F398" s="244"/>
      <c r="G398" s="244"/>
      <c r="H398" s="244"/>
      <c r="I398" s="244"/>
      <c r="J398" s="244"/>
      <c r="K398" s="244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</row>
    <row r="399" ht="14.25" customHeight="1">
      <c r="A399" s="244"/>
      <c r="B399" s="244"/>
      <c r="C399" s="244"/>
      <c r="D399" s="244"/>
      <c r="E399" s="244"/>
      <c r="F399" s="244"/>
      <c r="G399" s="244"/>
      <c r="H399" s="244"/>
      <c r="I399" s="244"/>
      <c r="J399" s="244"/>
      <c r="K399" s="244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</row>
    <row r="400" ht="14.25" customHeight="1">
      <c r="A400" s="244"/>
      <c r="B400" s="244"/>
      <c r="C400" s="244"/>
      <c r="D400" s="244"/>
      <c r="E400" s="244"/>
      <c r="F400" s="244"/>
      <c r="G400" s="244"/>
      <c r="H400" s="244"/>
      <c r="I400" s="244"/>
      <c r="J400" s="244"/>
      <c r="K400" s="244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</row>
    <row r="401" ht="14.25" customHeight="1">
      <c r="A401" s="244"/>
      <c r="B401" s="244"/>
      <c r="C401" s="244"/>
      <c r="D401" s="244"/>
      <c r="E401" s="244"/>
      <c r="F401" s="244"/>
      <c r="G401" s="244"/>
      <c r="H401" s="244"/>
      <c r="I401" s="244"/>
      <c r="J401" s="244"/>
      <c r="K401" s="244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</row>
    <row r="402" ht="14.25" customHeight="1">
      <c r="A402" s="244"/>
      <c r="B402" s="244"/>
      <c r="C402" s="244"/>
      <c r="D402" s="244"/>
      <c r="E402" s="244"/>
      <c r="F402" s="244"/>
      <c r="G402" s="244"/>
      <c r="H402" s="244"/>
      <c r="I402" s="244"/>
      <c r="J402" s="244"/>
      <c r="K402" s="244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</row>
    <row r="403" ht="14.25" customHeight="1">
      <c r="A403" s="244"/>
      <c r="B403" s="244"/>
      <c r="C403" s="244"/>
      <c r="D403" s="244"/>
      <c r="E403" s="244"/>
      <c r="F403" s="244"/>
      <c r="G403" s="244"/>
      <c r="H403" s="244"/>
      <c r="I403" s="244"/>
      <c r="J403" s="244"/>
      <c r="K403" s="244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</row>
    <row r="404" ht="14.25" customHeight="1">
      <c r="A404" s="244"/>
      <c r="B404" s="244"/>
      <c r="C404" s="244"/>
      <c r="D404" s="244"/>
      <c r="E404" s="244"/>
      <c r="F404" s="244"/>
      <c r="G404" s="244"/>
      <c r="H404" s="244"/>
      <c r="I404" s="244"/>
      <c r="J404" s="244"/>
      <c r="K404" s="244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</row>
    <row r="405" ht="14.25" customHeight="1">
      <c r="A405" s="244"/>
      <c r="B405" s="244"/>
      <c r="C405" s="244"/>
      <c r="D405" s="244"/>
      <c r="E405" s="244"/>
      <c r="F405" s="244"/>
      <c r="G405" s="244"/>
      <c r="H405" s="244"/>
      <c r="I405" s="244"/>
      <c r="J405" s="244"/>
      <c r="K405" s="244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</row>
    <row r="406" ht="14.25" customHeight="1">
      <c r="A406" s="244"/>
      <c r="B406" s="244"/>
      <c r="C406" s="244"/>
      <c r="D406" s="244"/>
      <c r="E406" s="244"/>
      <c r="F406" s="244"/>
      <c r="G406" s="244"/>
      <c r="H406" s="244"/>
      <c r="I406" s="244"/>
      <c r="J406" s="244"/>
      <c r="K406" s="244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</row>
    <row r="407" ht="14.25" customHeight="1">
      <c r="A407" s="244"/>
      <c r="B407" s="244"/>
      <c r="C407" s="244"/>
      <c r="D407" s="244"/>
      <c r="E407" s="244"/>
      <c r="F407" s="244"/>
      <c r="G407" s="244"/>
      <c r="H407" s="244"/>
      <c r="I407" s="244"/>
      <c r="J407" s="244"/>
      <c r="K407" s="244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</row>
    <row r="408" ht="14.25" customHeight="1">
      <c r="A408" s="244"/>
      <c r="B408" s="244"/>
      <c r="C408" s="244"/>
      <c r="D408" s="244"/>
      <c r="E408" s="244"/>
      <c r="F408" s="244"/>
      <c r="G408" s="244"/>
      <c r="H408" s="244"/>
      <c r="I408" s="244"/>
      <c r="J408" s="244"/>
      <c r="K408" s="244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</row>
    <row r="409" ht="14.25" customHeight="1">
      <c r="A409" s="244"/>
      <c r="B409" s="244"/>
      <c r="C409" s="244"/>
      <c r="D409" s="244"/>
      <c r="E409" s="244"/>
      <c r="F409" s="244"/>
      <c r="G409" s="244"/>
      <c r="H409" s="244"/>
      <c r="I409" s="244"/>
      <c r="J409" s="244"/>
      <c r="K409" s="244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</row>
    <row r="410" ht="14.25" customHeight="1">
      <c r="A410" s="244"/>
      <c r="B410" s="244"/>
      <c r="C410" s="244"/>
      <c r="D410" s="244"/>
      <c r="E410" s="244"/>
      <c r="F410" s="244"/>
      <c r="G410" s="244"/>
      <c r="H410" s="244"/>
      <c r="I410" s="244"/>
      <c r="J410" s="244"/>
      <c r="K410" s="244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</row>
    <row r="411" ht="14.25" customHeight="1">
      <c r="A411" s="244"/>
      <c r="B411" s="244"/>
      <c r="C411" s="244"/>
      <c r="D411" s="244"/>
      <c r="E411" s="244"/>
      <c r="F411" s="244"/>
      <c r="G411" s="244"/>
      <c r="H411" s="244"/>
      <c r="I411" s="244"/>
      <c r="J411" s="244"/>
      <c r="K411" s="244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</row>
    <row r="412" ht="14.25" customHeight="1">
      <c r="A412" s="244"/>
      <c r="B412" s="244"/>
      <c r="C412" s="244"/>
      <c r="D412" s="244"/>
      <c r="E412" s="244"/>
      <c r="F412" s="244"/>
      <c r="G412" s="244"/>
      <c r="H412" s="244"/>
      <c r="I412" s="244"/>
      <c r="J412" s="244"/>
      <c r="K412" s="244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</row>
    <row r="413" ht="14.25" customHeight="1">
      <c r="A413" s="244"/>
      <c r="B413" s="244"/>
      <c r="C413" s="244"/>
      <c r="D413" s="244"/>
      <c r="E413" s="244"/>
      <c r="F413" s="244"/>
      <c r="G413" s="244"/>
      <c r="H413" s="244"/>
      <c r="I413" s="244"/>
      <c r="J413" s="244"/>
      <c r="K413" s="244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</row>
    <row r="414" ht="14.25" customHeight="1">
      <c r="A414" s="244"/>
      <c r="B414" s="244"/>
      <c r="C414" s="244"/>
      <c r="D414" s="244"/>
      <c r="E414" s="244"/>
      <c r="F414" s="244"/>
      <c r="G414" s="244"/>
      <c r="H414" s="244"/>
      <c r="I414" s="244"/>
      <c r="J414" s="244"/>
      <c r="K414" s="244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</row>
    <row r="415" ht="14.25" customHeight="1">
      <c r="A415" s="244"/>
      <c r="B415" s="244"/>
      <c r="C415" s="244"/>
      <c r="D415" s="244"/>
      <c r="E415" s="244"/>
      <c r="F415" s="244"/>
      <c r="G415" s="244"/>
      <c r="H415" s="244"/>
      <c r="I415" s="244"/>
      <c r="J415" s="244"/>
      <c r="K415" s="244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</row>
    <row r="416" ht="14.25" customHeight="1">
      <c r="A416" s="244"/>
      <c r="B416" s="244"/>
      <c r="C416" s="244"/>
      <c r="D416" s="244"/>
      <c r="E416" s="244"/>
      <c r="F416" s="244"/>
      <c r="G416" s="244"/>
      <c r="H416" s="244"/>
      <c r="I416" s="244"/>
      <c r="J416" s="244"/>
      <c r="K416" s="244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</row>
    <row r="417" ht="14.25" customHeight="1">
      <c r="A417" s="244"/>
      <c r="B417" s="244"/>
      <c r="C417" s="244"/>
      <c r="D417" s="244"/>
      <c r="E417" s="244"/>
      <c r="F417" s="244"/>
      <c r="G417" s="244"/>
      <c r="H417" s="244"/>
      <c r="I417" s="244"/>
      <c r="J417" s="244"/>
      <c r="K417" s="244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</row>
    <row r="418" ht="14.25" customHeight="1">
      <c r="A418" s="244"/>
      <c r="B418" s="244"/>
      <c r="C418" s="244"/>
      <c r="D418" s="244"/>
      <c r="E418" s="244"/>
      <c r="F418" s="244"/>
      <c r="G418" s="244"/>
      <c r="H418" s="244"/>
      <c r="I418" s="244"/>
      <c r="J418" s="244"/>
      <c r="K418" s="244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</row>
    <row r="419" ht="14.25" customHeight="1">
      <c r="A419" s="244"/>
      <c r="B419" s="244"/>
      <c r="C419" s="244"/>
      <c r="D419" s="244"/>
      <c r="E419" s="244"/>
      <c r="F419" s="244"/>
      <c r="G419" s="244"/>
      <c r="H419" s="244"/>
      <c r="I419" s="244"/>
      <c r="J419" s="244"/>
      <c r="K419" s="244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</row>
    <row r="420" ht="14.25" customHeight="1">
      <c r="A420" s="244"/>
      <c r="B420" s="244"/>
      <c r="C420" s="244"/>
      <c r="D420" s="244"/>
      <c r="E420" s="244"/>
      <c r="F420" s="244"/>
      <c r="G420" s="244"/>
      <c r="H420" s="244"/>
      <c r="I420" s="244"/>
      <c r="J420" s="244"/>
      <c r="K420" s="244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</row>
    <row r="421" ht="14.25" customHeight="1">
      <c r="A421" s="244"/>
      <c r="B421" s="244"/>
      <c r="C421" s="244"/>
      <c r="D421" s="244"/>
      <c r="E421" s="244"/>
      <c r="F421" s="244"/>
      <c r="G421" s="244"/>
      <c r="H421" s="244"/>
      <c r="I421" s="244"/>
      <c r="J421" s="244"/>
      <c r="K421" s="244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</row>
    <row r="422" ht="14.25" customHeight="1">
      <c r="A422" s="244"/>
      <c r="B422" s="244"/>
      <c r="C422" s="244"/>
      <c r="D422" s="244"/>
      <c r="E422" s="244"/>
      <c r="F422" s="244"/>
      <c r="G422" s="244"/>
      <c r="H422" s="244"/>
      <c r="I422" s="244"/>
      <c r="J422" s="244"/>
      <c r="K422" s="244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</row>
    <row r="423" ht="14.25" customHeight="1">
      <c r="A423" s="244"/>
      <c r="B423" s="244"/>
      <c r="C423" s="244"/>
      <c r="D423" s="244"/>
      <c r="E423" s="244"/>
      <c r="F423" s="244"/>
      <c r="G423" s="244"/>
      <c r="H423" s="244"/>
      <c r="I423" s="244"/>
      <c r="J423" s="244"/>
      <c r="K423" s="244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</row>
    <row r="424" ht="14.25" customHeight="1">
      <c r="A424" s="244"/>
      <c r="B424" s="244"/>
      <c r="C424" s="244"/>
      <c r="D424" s="244"/>
      <c r="E424" s="244"/>
      <c r="F424" s="244"/>
      <c r="G424" s="244"/>
      <c r="H424" s="244"/>
      <c r="I424" s="244"/>
      <c r="J424" s="244"/>
      <c r="K424" s="244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</row>
    <row r="425" ht="14.25" customHeight="1">
      <c r="A425" s="244"/>
      <c r="B425" s="244"/>
      <c r="C425" s="244"/>
      <c r="D425" s="244"/>
      <c r="E425" s="244"/>
      <c r="F425" s="244"/>
      <c r="G425" s="244"/>
      <c r="H425" s="244"/>
      <c r="I425" s="244"/>
      <c r="J425" s="244"/>
      <c r="K425" s="244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</row>
    <row r="426" ht="14.25" customHeight="1">
      <c r="A426" s="244"/>
      <c r="B426" s="244"/>
      <c r="C426" s="244"/>
      <c r="D426" s="244"/>
      <c r="E426" s="244"/>
      <c r="F426" s="244"/>
      <c r="G426" s="244"/>
      <c r="H426" s="244"/>
      <c r="I426" s="244"/>
      <c r="J426" s="244"/>
      <c r="K426" s="244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</row>
    <row r="427" ht="14.25" customHeight="1">
      <c r="A427" s="244"/>
      <c r="B427" s="244"/>
      <c r="C427" s="244"/>
      <c r="D427" s="244"/>
      <c r="E427" s="244"/>
      <c r="F427" s="244"/>
      <c r="G427" s="244"/>
      <c r="H427" s="244"/>
      <c r="I427" s="244"/>
      <c r="J427" s="244"/>
      <c r="K427" s="244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</row>
    <row r="428" ht="14.25" customHeight="1">
      <c r="A428" s="244"/>
      <c r="B428" s="244"/>
      <c r="C428" s="244"/>
      <c r="D428" s="244"/>
      <c r="E428" s="244"/>
      <c r="F428" s="244"/>
      <c r="G428" s="244"/>
      <c r="H428" s="244"/>
      <c r="I428" s="244"/>
      <c r="J428" s="244"/>
      <c r="K428" s="244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</row>
    <row r="429" ht="14.25" customHeight="1">
      <c r="A429" s="244"/>
      <c r="B429" s="244"/>
      <c r="C429" s="244"/>
      <c r="D429" s="244"/>
      <c r="E429" s="244"/>
      <c r="F429" s="244"/>
      <c r="G429" s="244"/>
      <c r="H429" s="244"/>
      <c r="I429" s="244"/>
      <c r="J429" s="244"/>
      <c r="K429" s="244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</row>
    <row r="430" ht="14.25" customHeight="1">
      <c r="A430" s="244"/>
      <c r="B430" s="244"/>
      <c r="C430" s="244"/>
      <c r="D430" s="244"/>
      <c r="E430" s="244"/>
      <c r="F430" s="244"/>
      <c r="G430" s="244"/>
      <c r="H430" s="244"/>
      <c r="I430" s="244"/>
      <c r="J430" s="244"/>
      <c r="K430" s="244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</row>
    <row r="431" ht="14.25" customHeight="1">
      <c r="A431" s="244"/>
      <c r="B431" s="244"/>
      <c r="C431" s="244"/>
      <c r="D431" s="244"/>
      <c r="E431" s="244"/>
      <c r="F431" s="244"/>
      <c r="G431" s="244"/>
      <c r="H431" s="244"/>
      <c r="I431" s="244"/>
      <c r="J431" s="244"/>
      <c r="K431" s="244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</row>
    <row r="432" ht="14.25" customHeight="1">
      <c r="A432" s="244"/>
      <c r="B432" s="244"/>
      <c r="C432" s="244"/>
      <c r="D432" s="244"/>
      <c r="E432" s="244"/>
      <c r="F432" s="244"/>
      <c r="G432" s="244"/>
      <c r="H432" s="244"/>
      <c r="I432" s="244"/>
      <c r="J432" s="244"/>
      <c r="K432" s="244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</row>
    <row r="433" ht="14.25" customHeight="1">
      <c r="A433" s="244"/>
      <c r="B433" s="244"/>
      <c r="C433" s="244"/>
      <c r="D433" s="244"/>
      <c r="E433" s="244"/>
      <c r="F433" s="244"/>
      <c r="G433" s="244"/>
      <c r="H433" s="244"/>
      <c r="I433" s="244"/>
      <c r="J433" s="244"/>
      <c r="K433" s="244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</row>
    <row r="434" ht="14.25" customHeight="1">
      <c r="A434" s="244"/>
      <c r="B434" s="244"/>
      <c r="C434" s="244"/>
      <c r="D434" s="244"/>
      <c r="E434" s="244"/>
      <c r="F434" s="244"/>
      <c r="G434" s="244"/>
      <c r="H434" s="244"/>
      <c r="I434" s="244"/>
      <c r="J434" s="244"/>
      <c r="K434" s="244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</row>
    <row r="435" ht="14.25" customHeight="1">
      <c r="A435" s="244"/>
      <c r="B435" s="244"/>
      <c r="C435" s="244"/>
      <c r="D435" s="244"/>
      <c r="E435" s="244"/>
      <c r="F435" s="244"/>
      <c r="G435" s="244"/>
      <c r="H435" s="244"/>
      <c r="I435" s="244"/>
      <c r="J435" s="244"/>
      <c r="K435" s="244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</row>
    <row r="436" ht="14.25" customHeight="1">
      <c r="A436" s="244"/>
      <c r="B436" s="244"/>
      <c r="C436" s="244"/>
      <c r="D436" s="244"/>
      <c r="E436" s="244"/>
      <c r="F436" s="244"/>
      <c r="G436" s="244"/>
      <c r="H436" s="244"/>
      <c r="I436" s="244"/>
      <c r="J436" s="244"/>
      <c r="K436" s="244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</row>
    <row r="437" ht="14.25" customHeight="1">
      <c r="A437" s="244"/>
      <c r="B437" s="244"/>
      <c r="C437" s="244"/>
      <c r="D437" s="244"/>
      <c r="E437" s="244"/>
      <c r="F437" s="244"/>
      <c r="G437" s="244"/>
      <c r="H437" s="244"/>
      <c r="I437" s="244"/>
      <c r="J437" s="244"/>
      <c r="K437" s="244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</row>
    <row r="438" ht="14.25" customHeight="1">
      <c r="A438" s="244"/>
      <c r="B438" s="244"/>
      <c r="C438" s="244"/>
      <c r="D438" s="244"/>
      <c r="E438" s="244"/>
      <c r="F438" s="244"/>
      <c r="G438" s="244"/>
      <c r="H438" s="244"/>
      <c r="I438" s="244"/>
      <c r="J438" s="244"/>
      <c r="K438" s="244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</row>
    <row r="439" ht="14.25" customHeight="1">
      <c r="A439" s="244"/>
      <c r="B439" s="244"/>
      <c r="C439" s="244"/>
      <c r="D439" s="244"/>
      <c r="E439" s="244"/>
      <c r="F439" s="244"/>
      <c r="G439" s="244"/>
      <c r="H439" s="244"/>
      <c r="I439" s="244"/>
      <c r="J439" s="244"/>
      <c r="K439" s="244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</row>
    <row r="440" ht="14.25" customHeight="1">
      <c r="A440" s="244"/>
      <c r="B440" s="244"/>
      <c r="C440" s="244"/>
      <c r="D440" s="244"/>
      <c r="E440" s="244"/>
      <c r="F440" s="244"/>
      <c r="G440" s="244"/>
      <c r="H440" s="244"/>
      <c r="I440" s="244"/>
      <c r="J440" s="244"/>
      <c r="K440" s="244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</row>
    <row r="441" ht="14.25" customHeight="1">
      <c r="A441" s="244"/>
      <c r="B441" s="244"/>
      <c r="C441" s="244"/>
      <c r="D441" s="244"/>
      <c r="E441" s="244"/>
      <c r="F441" s="244"/>
      <c r="G441" s="244"/>
      <c r="H441" s="244"/>
      <c r="I441" s="244"/>
      <c r="J441" s="244"/>
      <c r="K441" s="244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</row>
    <row r="442" ht="14.25" customHeight="1">
      <c r="A442" s="244"/>
      <c r="B442" s="244"/>
      <c r="C442" s="244"/>
      <c r="D442" s="244"/>
      <c r="E442" s="244"/>
      <c r="F442" s="244"/>
      <c r="G442" s="244"/>
      <c r="H442" s="244"/>
      <c r="I442" s="244"/>
      <c r="J442" s="244"/>
      <c r="K442" s="244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</row>
    <row r="443" ht="14.25" customHeight="1">
      <c r="A443" s="244"/>
      <c r="B443" s="244"/>
      <c r="C443" s="244"/>
      <c r="D443" s="244"/>
      <c r="E443" s="244"/>
      <c r="F443" s="244"/>
      <c r="G443" s="244"/>
      <c r="H443" s="244"/>
      <c r="I443" s="244"/>
      <c r="J443" s="244"/>
      <c r="K443" s="244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</row>
    <row r="444" ht="14.25" customHeight="1">
      <c r="A444" s="244"/>
      <c r="B444" s="244"/>
      <c r="C444" s="244"/>
      <c r="D444" s="244"/>
      <c r="E444" s="244"/>
      <c r="F444" s="244"/>
      <c r="G444" s="244"/>
      <c r="H444" s="244"/>
      <c r="I444" s="244"/>
      <c r="J444" s="244"/>
      <c r="K444" s="244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</row>
    <row r="445" ht="14.25" customHeight="1">
      <c r="A445" s="244"/>
      <c r="B445" s="244"/>
      <c r="C445" s="244"/>
      <c r="D445" s="244"/>
      <c r="E445" s="244"/>
      <c r="F445" s="244"/>
      <c r="G445" s="244"/>
      <c r="H445" s="244"/>
      <c r="I445" s="244"/>
      <c r="J445" s="244"/>
      <c r="K445" s="244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</row>
    <row r="446" ht="14.25" customHeight="1">
      <c r="A446" s="244"/>
      <c r="B446" s="244"/>
      <c r="C446" s="244"/>
      <c r="D446" s="244"/>
      <c r="E446" s="244"/>
      <c r="F446" s="244"/>
      <c r="G446" s="244"/>
      <c r="H446" s="244"/>
      <c r="I446" s="244"/>
      <c r="J446" s="244"/>
      <c r="K446" s="244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</row>
    <row r="447" ht="14.25" customHeight="1">
      <c r="A447" s="244"/>
      <c r="B447" s="244"/>
      <c r="C447" s="244"/>
      <c r="D447" s="244"/>
      <c r="E447" s="244"/>
      <c r="F447" s="244"/>
      <c r="G447" s="244"/>
      <c r="H447" s="244"/>
      <c r="I447" s="244"/>
      <c r="J447" s="244"/>
      <c r="K447" s="244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</row>
    <row r="448" ht="14.25" customHeight="1">
      <c r="A448" s="244"/>
      <c r="B448" s="244"/>
      <c r="C448" s="244"/>
      <c r="D448" s="244"/>
      <c r="E448" s="244"/>
      <c r="F448" s="244"/>
      <c r="G448" s="244"/>
      <c r="H448" s="244"/>
      <c r="I448" s="244"/>
      <c r="J448" s="244"/>
      <c r="K448" s="244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</row>
    <row r="449" ht="14.25" customHeight="1">
      <c r="A449" s="244"/>
      <c r="B449" s="244"/>
      <c r="C449" s="244"/>
      <c r="D449" s="244"/>
      <c r="E449" s="244"/>
      <c r="F449" s="244"/>
      <c r="G449" s="244"/>
      <c r="H449" s="244"/>
      <c r="I449" s="244"/>
      <c r="J449" s="244"/>
      <c r="K449" s="244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</row>
    <row r="450" ht="14.25" customHeight="1">
      <c r="A450" s="244"/>
      <c r="B450" s="244"/>
      <c r="C450" s="244"/>
      <c r="D450" s="244"/>
      <c r="E450" s="244"/>
      <c r="F450" s="244"/>
      <c r="G450" s="244"/>
      <c r="H450" s="244"/>
      <c r="I450" s="244"/>
      <c r="J450" s="244"/>
      <c r="K450" s="244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</row>
    <row r="451" ht="14.25" customHeight="1">
      <c r="A451" s="244"/>
      <c r="B451" s="244"/>
      <c r="C451" s="244"/>
      <c r="D451" s="244"/>
      <c r="E451" s="244"/>
      <c r="F451" s="244"/>
      <c r="G451" s="244"/>
      <c r="H451" s="244"/>
      <c r="I451" s="244"/>
      <c r="J451" s="244"/>
      <c r="K451" s="244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</row>
    <row r="452" ht="14.25" customHeight="1">
      <c r="A452" s="244"/>
      <c r="B452" s="244"/>
      <c r="C452" s="244"/>
      <c r="D452" s="244"/>
      <c r="E452" s="244"/>
      <c r="F452" s="244"/>
      <c r="G452" s="244"/>
      <c r="H452" s="244"/>
      <c r="I452" s="244"/>
      <c r="J452" s="244"/>
      <c r="K452" s="244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</row>
    <row r="453" ht="14.25" customHeight="1">
      <c r="A453" s="244"/>
      <c r="B453" s="244"/>
      <c r="C453" s="244"/>
      <c r="D453" s="244"/>
      <c r="E453" s="244"/>
      <c r="F453" s="244"/>
      <c r="G453" s="244"/>
      <c r="H453" s="244"/>
      <c r="I453" s="244"/>
      <c r="J453" s="244"/>
      <c r="K453" s="244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</row>
    <row r="454" ht="14.25" customHeight="1">
      <c r="A454" s="244"/>
      <c r="B454" s="244"/>
      <c r="C454" s="244"/>
      <c r="D454" s="244"/>
      <c r="E454" s="244"/>
      <c r="F454" s="244"/>
      <c r="G454" s="244"/>
      <c r="H454" s="244"/>
      <c r="I454" s="244"/>
      <c r="J454" s="244"/>
      <c r="K454" s="244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</row>
    <row r="455" ht="14.25" customHeight="1">
      <c r="A455" s="244"/>
      <c r="B455" s="244"/>
      <c r="C455" s="244"/>
      <c r="D455" s="244"/>
      <c r="E455" s="244"/>
      <c r="F455" s="244"/>
      <c r="G455" s="244"/>
      <c r="H455" s="244"/>
      <c r="I455" s="244"/>
      <c r="J455" s="244"/>
      <c r="K455" s="244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</row>
    <row r="456" ht="14.25" customHeight="1">
      <c r="A456" s="244"/>
      <c r="B456" s="244"/>
      <c r="C456" s="244"/>
      <c r="D456" s="244"/>
      <c r="E456" s="244"/>
      <c r="F456" s="244"/>
      <c r="G456" s="244"/>
      <c r="H456" s="244"/>
      <c r="I456" s="244"/>
      <c r="J456" s="244"/>
      <c r="K456" s="244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</row>
    <row r="457" ht="14.25" customHeight="1">
      <c r="A457" s="244"/>
      <c r="B457" s="244"/>
      <c r="C457" s="244"/>
      <c r="D457" s="244"/>
      <c r="E457" s="244"/>
      <c r="F457" s="244"/>
      <c r="G457" s="244"/>
      <c r="H457" s="244"/>
      <c r="I457" s="244"/>
      <c r="J457" s="244"/>
      <c r="K457" s="244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</row>
    <row r="458" ht="14.25" customHeight="1">
      <c r="A458" s="244"/>
      <c r="B458" s="244"/>
      <c r="C458" s="244"/>
      <c r="D458" s="244"/>
      <c r="E458" s="244"/>
      <c r="F458" s="244"/>
      <c r="G458" s="244"/>
      <c r="H458" s="244"/>
      <c r="I458" s="244"/>
      <c r="J458" s="244"/>
      <c r="K458" s="244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</row>
    <row r="459" ht="14.25" customHeight="1">
      <c r="A459" s="244"/>
      <c r="B459" s="244"/>
      <c r="C459" s="244"/>
      <c r="D459" s="244"/>
      <c r="E459" s="244"/>
      <c r="F459" s="244"/>
      <c r="G459" s="244"/>
      <c r="H459" s="244"/>
      <c r="I459" s="244"/>
      <c r="J459" s="244"/>
      <c r="K459" s="244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</row>
    <row r="460" ht="14.25" customHeight="1">
      <c r="A460" s="244"/>
      <c r="B460" s="244"/>
      <c r="C460" s="244"/>
      <c r="D460" s="244"/>
      <c r="E460" s="244"/>
      <c r="F460" s="244"/>
      <c r="G460" s="244"/>
      <c r="H460" s="244"/>
      <c r="I460" s="244"/>
      <c r="J460" s="244"/>
      <c r="K460" s="244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</row>
    <row r="461" ht="14.25" customHeight="1">
      <c r="A461" s="244"/>
      <c r="B461" s="244"/>
      <c r="C461" s="244"/>
      <c r="D461" s="244"/>
      <c r="E461" s="244"/>
      <c r="F461" s="244"/>
      <c r="G461" s="244"/>
      <c r="H461" s="244"/>
      <c r="I461" s="244"/>
      <c r="J461" s="244"/>
      <c r="K461" s="244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</row>
    <row r="462" ht="14.25" customHeight="1">
      <c r="A462" s="244"/>
      <c r="B462" s="244"/>
      <c r="C462" s="244"/>
      <c r="D462" s="244"/>
      <c r="E462" s="244"/>
      <c r="F462" s="244"/>
      <c r="G462" s="244"/>
      <c r="H462" s="244"/>
      <c r="I462" s="244"/>
      <c r="J462" s="244"/>
      <c r="K462" s="244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</row>
    <row r="463" ht="14.25" customHeight="1">
      <c r="A463" s="244"/>
      <c r="B463" s="244"/>
      <c r="C463" s="244"/>
      <c r="D463" s="244"/>
      <c r="E463" s="244"/>
      <c r="F463" s="244"/>
      <c r="G463" s="244"/>
      <c r="H463" s="244"/>
      <c r="I463" s="244"/>
      <c r="J463" s="244"/>
      <c r="K463" s="244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</row>
    <row r="464" ht="14.25" customHeight="1">
      <c r="A464" s="244"/>
      <c r="B464" s="244"/>
      <c r="C464" s="244"/>
      <c r="D464" s="244"/>
      <c r="E464" s="244"/>
      <c r="F464" s="244"/>
      <c r="G464" s="244"/>
      <c r="H464" s="244"/>
      <c r="I464" s="244"/>
      <c r="J464" s="244"/>
      <c r="K464" s="244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</row>
    <row r="465" ht="14.25" customHeight="1">
      <c r="A465" s="244"/>
      <c r="B465" s="244"/>
      <c r="C465" s="244"/>
      <c r="D465" s="244"/>
      <c r="E465" s="244"/>
      <c r="F465" s="244"/>
      <c r="G465" s="244"/>
      <c r="H465" s="244"/>
      <c r="I465" s="244"/>
      <c r="J465" s="244"/>
      <c r="K465" s="244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</row>
    <row r="466" ht="14.25" customHeight="1">
      <c r="A466" s="244"/>
      <c r="B466" s="244"/>
      <c r="C466" s="244"/>
      <c r="D466" s="244"/>
      <c r="E466" s="244"/>
      <c r="F466" s="244"/>
      <c r="G466" s="244"/>
      <c r="H466" s="244"/>
      <c r="I466" s="244"/>
      <c r="J466" s="244"/>
      <c r="K466" s="244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</row>
    <row r="467" ht="14.25" customHeight="1">
      <c r="A467" s="244"/>
      <c r="B467" s="244"/>
      <c r="C467" s="244"/>
      <c r="D467" s="244"/>
      <c r="E467" s="244"/>
      <c r="F467" s="244"/>
      <c r="G467" s="244"/>
      <c r="H467" s="244"/>
      <c r="I467" s="244"/>
      <c r="J467" s="244"/>
      <c r="K467" s="244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</row>
    <row r="468" ht="14.25" customHeight="1">
      <c r="A468" s="244"/>
      <c r="B468" s="244"/>
      <c r="C468" s="244"/>
      <c r="D468" s="244"/>
      <c r="E468" s="244"/>
      <c r="F468" s="244"/>
      <c r="G468" s="244"/>
      <c r="H468" s="244"/>
      <c r="I468" s="244"/>
      <c r="J468" s="244"/>
      <c r="K468" s="244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</row>
    <row r="469" ht="14.25" customHeight="1">
      <c r="A469" s="244"/>
      <c r="B469" s="244"/>
      <c r="C469" s="244"/>
      <c r="D469" s="244"/>
      <c r="E469" s="244"/>
      <c r="F469" s="244"/>
      <c r="G469" s="244"/>
      <c r="H469" s="244"/>
      <c r="I469" s="244"/>
      <c r="J469" s="244"/>
      <c r="K469" s="244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</row>
    <row r="470" ht="14.25" customHeight="1">
      <c r="A470" s="244"/>
      <c r="B470" s="244"/>
      <c r="C470" s="244"/>
      <c r="D470" s="244"/>
      <c r="E470" s="244"/>
      <c r="F470" s="244"/>
      <c r="G470" s="244"/>
      <c r="H470" s="244"/>
      <c r="I470" s="244"/>
      <c r="J470" s="244"/>
      <c r="K470" s="244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</row>
    <row r="471" ht="14.25" customHeight="1">
      <c r="A471" s="244"/>
      <c r="B471" s="244"/>
      <c r="C471" s="244"/>
      <c r="D471" s="244"/>
      <c r="E471" s="244"/>
      <c r="F471" s="244"/>
      <c r="G471" s="244"/>
      <c r="H471" s="244"/>
      <c r="I471" s="244"/>
      <c r="J471" s="244"/>
      <c r="K471" s="244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</row>
    <row r="472" ht="14.25" customHeight="1">
      <c r="A472" s="244"/>
      <c r="B472" s="244"/>
      <c r="C472" s="244"/>
      <c r="D472" s="244"/>
      <c r="E472" s="244"/>
      <c r="F472" s="244"/>
      <c r="G472" s="244"/>
      <c r="H472" s="244"/>
      <c r="I472" s="244"/>
      <c r="J472" s="244"/>
      <c r="K472" s="244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</row>
    <row r="473" ht="14.25" customHeight="1">
      <c r="A473" s="244"/>
      <c r="B473" s="244"/>
      <c r="C473" s="244"/>
      <c r="D473" s="244"/>
      <c r="E473" s="244"/>
      <c r="F473" s="244"/>
      <c r="G473" s="244"/>
      <c r="H473" s="244"/>
      <c r="I473" s="244"/>
      <c r="J473" s="244"/>
      <c r="K473" s="244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</row>
    <row r="474" ht="14.25" customHeight="1">
      <c r="A474" s="244"/>
      <c r="B474" s="244"/>
      <c r="C474" s="244"/>
      <c r="D474" s="244"/>
      <c r="E474" s="244"/>
      <c r="F474" s="244"/>
      <c r="G474" s="244"/>
      <c r="H474" s="244"/>
      <c r="I474" s="244"/>
      <c r="J474" s="244"/>
      <c r="K474" s="244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</row>
    <row r="475" ht="14.25" customHeight="1">
      <c r="A475" s="244"/>
      <c r="B475" s="244"/>
      <c r="C475" s="244"/>
      <c r="D475" s="244"/>
      <c r="E475" s="244"/>
      <c r="F475" s="244"/>
      <c r="G475" s="244"/>
      <c r="H475" s="244"/>
      <c r="I475" s="244"/>
      <c r="J475" s="244"/>
      <c r="K475" s="244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</row>
    <row r="476" ht="14.25" customHeight="1">
      <c r="A476" s="244"/>
      <c r="B476" s="244"/>
      <c r="C476" s="244"/>
      <c r="D476" s="244"/>
      <c r="E476" s="244"/>
      <c r="F476" s="244"/>
      <c r="G476" s="244"/>
      <c r="H476" s="244"/>
      <c r="I476" s="244"/>
      <c r="J476" s="244"/>
      <c r="K476" s="244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</row>
    <row r="477" ht="14.25" customHeight="1">
      <c r="A477" s="244"/>
      <c r="B477" s="244"/>
      <c r="C477" s="244"/>
      <c r="D477" s="244"/>
      <c r="E477" s="244"/>
      <c r="F477" s="244"/>
      <c r="G477" s="244"/>
      <c r="H477" s="244"/>
      <c r="I477" s="244"/>
      <c r="J477" s="244"/>
      <c r="K477" s="244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</row>
    <row r="478" ht="14.25" customHeight="1">
      <c r="A478" s="244"/>
      <c r="B478" s="244"/>
      <c r="C478" s="244"/>
      <c r="D478" s="244"/>
      <c r="E478" s="244"/>
      <c r="F478" s="244"/>
      <c r="G478" s="244"/>
      <c r="H478" s="244"/>
      <c r="I478" s="244"/>
      <c r="J478" s="244"/>
      <c r="K478" s="244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</row>
    <row r="479" ht="14.25" customHeight="1">
      <c r="A479" s="244"/>
      <c r="B479" s="244"/>
      <c r="C479" s="244"/>
      <c r="D479" s="244"/>
      <c r="E479" s="244"/>
      <c r="F479" s="244"/>
      <c r="G479" s="244"/>
      <c r="H479" s="244"/>
      <c r="I479" s="244"/>
      <c r="J479" s="244"/>
      <c r="K479" s="244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</row>
    <row r="480" ht="14.25" customHeight="1">
      <c r="A480" s="244"/>
      <c r="B480" s="244"/>
      <c r="C480" s="244"/>
      <c r="D480" s="244"/>
      <c r="E480" s="244"/>
      <c r="F480" s="244"/>
      <c r="G480" s="244"/>
      <c r="H480" s="244"/>
      <c r="I480" s="244"/>
      <c r="J480" s="244"/>
      <c r="K480" s="244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</row>
    <row r="481" ht="14.25" customHeight="1">
      <c r="A481" s="244"/>
      <c r="B481" s="244"/>
      <c r="C481" s="244"/>
      <c r="D481" s="244"/>
      <c r="E481" s="244"/>
      <c r="F481" s="244"/>
      <c r="G481" s="244"/>
      <c r="H481" s="244"/>
      <c r="I481" s="244"/>
      <c r="J481" s="244"/>
      <c r="K481" s="244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</row>
    <row r="482" ht="14.25" customHeight="1">
      <c r="A482" s="244"/>
      <c r="B482" s="244"/>
      <c r="C482" s="244"/>
      <c r="D482" s="244"/>
      <c r="E482" s="244"/>
      <c r="F482" s="244"/>
      <c r="G482" s="244"/>
      <c r="H482" s="244"/>
      <c r="I482" s="244"/>
      <c r="J482" s="244"/>
      <c r="K482" s="244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</row>
    <row r="483" ht="14.25" customHeight="1">
      <c r="A483" s="244"/>
      <c r="B483" s="244"/>
      <c r="C483" s="244"/>
      <c r="D483" s="244"/>
      <c r="E483" s="244"/>
      <c r="F483" s="244"/>
      <c r="G483" s="244"/>
      <c r="H483" s="244"/>
      <c r="I483" s="244"/>
      <c r="J483" s="244"/>
      <c r="K483" s="244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</row>
    <row r="484" ht="14.25" customHeight="1">
      <c r="A484" s="244"/>
      <c r="B484" s="244"/>
      <c r="C484" s="244"/>
      <c r="D484" s="244"/>
      <c r="E484" s="244"/>
      <c r="F484" s="244"/>
      <c r="G484" s="244"/>
      <c r="H484" s="244"/>
      <c r="I484" s="244"/>
      <c r="J484" s="244"/>
      <c r="K484" s="244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</row>
    <row r="485" ht="14.25" customHeight="1">
      <c r="A485" s="244"/>
      <c r="B485" s="244"/>
      <c r="C485" s="244"/>
      <c r="D485" s="244"/>
      <c r="E485" s="244"/>
      <c r="F485" s="244"/>
      <c r="G485" s="244"/>
      <c r="H485" s="244"/>
      <c r="I485" s="244"/>
      <c r="J485" s="244"/>
      <c r="K485" s="244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</row>
    <row r="486" ht="14.25" customHeight="1">
      <c r="A486" s="244"/>
      <c r="B486" s="244"/>
      <c r="C486" s="244"/>
      <c r="D486" s="244"/>
      <c r="E486" s="244"/>
      <c r="F486" s="244"/>
      <c r="G486" s="244"/>
      <c r="H486" s="244"/>
      <c r="I486" s="244"/>
      <c r="J486" s="244"/>
      <c r="K486" s="244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</row>
    <row r="487" ht="14.25" customHeight="1">
      <c r="A487" s="244"/>
      <c r="B487" s="244"/>
      <c r="C487" s="244"/>
      <c r="D487" s="244"/>
      <c r="E487" s="244"/>
      <c r="F487" s="244"/>
      <c r="G487" s="244"/>
      <c r="H487" s="244"/>
      <c r="I487" s="244"/>
      <c r="J487" s="244"/>
      <c r="K487" s="244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</row>
    <row r="488" ht="14.25" customHeight="1">
      <c r="A488" s="244"/>
      <c r="B488" s="244"/>
      <c r="C488" s="244"/>
      <c r="D488" s="244"/>
      <c r="E488" s="244"/>
      <c r="F488" s="244"/>
      <c r="G488" s="244"/>
      <c r="H488" s="244"/>
      <c r="I488" s="244"/>
      <c r="J488" s="244"/>
      <c r="K488" s="244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</row>
    <row r="489" ht="14.25" customHeight="1">
      <c r="A489" s="244"/>
      <c r="B489" s="244"/>
      <c r="C489" s="244"/>
      <c r="D489" s="244"/>
      <c r="E489" s="244"/>
      <c r="F489" s="244"/>
      <c r="G489" s="244"/>
      <c r="H489" s="244"/>
      <c r="I489" s="244"/>
      <c r="J489" s="244"/>
      <c r="K489" s="244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</row>
    <row r="490" ht="14.25" customHeight="1">
      <c r="A490" s="244"/>
      <c r="B490" s="244"/>
      <c r="C490" s="244"/>
      <c r="D490" s="244"/>
      <c r="E490" s="244"/>
      <c r="F490" s="244"/>
      <c r="G490" s="244"/>
      <c r="H490" s="244"/>
      <c r="I490" s="244"/>
      <c r="J490" s="244"/>
      <c r="K490" s="244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</row>
    <row r="491" ht="14.25" customHeight="1">
      <c r="A491" s="244"/>
      <c r="B491" s="244"/>
      <c r="C491" s="244"/>
      <c r="D491" s="244"/>
      <c r="E491" s="244"/>
      <c r="F491" s="244"/>
      <c r="G491" s="244"/>
      <c r="H491" s="244"/>
      <c r="I491" s="244"/>
      <c r="J491" s="244"/>
      <c r="K491" s="244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</row>
    <row r="492" ht="14.25" customHeight="1">
      <c r="A492" s="244"/>
      <c r="B492" s="244"/>
      <c r="C492" s="244"/>
      <c r="D492" s="244"/>
      <c r="E492" s="244"/>
      <c r="F492" s="244"/>
      <c r="G492" s="244"/>
      <c r="H492" s="244"/>
      <c r="I492" s="244"/>
      <c r="J492" s="244"/>
      <c r="K492" s="244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</row>
    <row r="493" ht="14.25" customHeight="1">
      <c r="A493" s="244"/>
      <c r="B493" s="244"/>
      <c r="C493" s="244"/>
      <c r="D493" s="244"/>
      <c r="E493" s="244"/>
      <c r="F493" s="244"/>
      <c r="G493" s="244"/>
      <c r="H493" s="244"/>
      <c r="I493" s="244"/>
      <c r="J493" s="244"/>
      <c r="K493" s="244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</row>
    <row r="494" ht="14.25" customHeight="1">
      <c r="A494" s="244"/>
      <c r="B494" s="244"/>
      <c r="C494" s="244"/>
      <c r="D494" s="244"/>
      <c r="E494" s="244"/>
      <c r="F494" s="244"/>
      <c r="G494" s="244"/>
      <c r="H494" s="244"/>
      <c r="I494" s="244"/>
      <c r="J494" s="244"/>
      <c r="K494" s="244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</row>
    <row r="495" ht="14.25" customHeight="1">
      <c r="A495" s="244"/>
      <c r="B495" s="244"/>
      <c r="C495" s="244"/>
      <c r="D495" s="244"/>
      <c r="E495" s="244"/>
      <c r="F495" s="244"/>
      <c r="G495" s="244"/>
      <c r="H495" s="244"/>
      <c r="I495" s="244"/>
      <c r="J495" s="244"/>
      <c r="K495" s="244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</row>
    <row r="496" ht="14.25" customHeight="1">
      <c r="A496" s="244"/>
      <c r="B496" s="244"/>
      <c r="C496" s="244"/>
      <c r="D496" s="244"/>
      <c r="E496" s="244"/>
      <c r="F496" s="244"/>
      <c r="G496" s="244"/>
      <c r="H496" s="244"/>
      <c r="I496" s="244"/>
      <c r="J496" s="244"/>
      <c r="K496" s="244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</row>
    <row r="497" ht="14.25" customHeight="1">
      <c r="A497" s="244"/>
      <c r="B497" s="244"/>
      <c r="C497" s="244"/>
      <c r="D497" s="244"/>
      <c r="E497" s="244"/>
      <c r="F497" s="244"/>
      <c r="G497" s="244"/>
      <c r="H497" s="244"/>
      <c r="I497" s="244"/>
      <c r="J497" s="244"/>
      <c r="K497" s="244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</row>
    <row r="498" ht="14.25" customHeight="1">
      <c r="A498" s="244"/>
      <c r="B498" s="244"/>
      <c r="C498" s="244"/>
      <c r="D498" s="244"/>
      <c r="E498" s="244"/>
      <c r="F498" s="244"/>
      <c r="G498" s="244"/>
      <c r="H498" s="244"/>
      <c r="I498" s="244"/>
      <c r="J498" s="244"/>
      <c r="K498" s="244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</row>
    <row r="499" ht="14.25" customHeight="1">
      <c r="A499" s="244"/>
      <c r="B499" s="244"/>
      <c r="C499" s="244"/>
      <c r="D499" s="244"/>
      <c r="E499" s="244"/>
      <c r="F499" s="244"/>
      <c r="G499" s="244"/>
      <c r="H499" s="244"/>
      <c r="I499" s="244"/>
      <c r="J499" s="244"/>
      <c r="K499" s="244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</row>
    <row r="500" ht="14.25" customHeight="1">
      <c r="A500" s="244"/>
      <c r="B500" s="244"/>
      <c r="C500" s="244"/>
      <c r="D500" s="244"/>
      <c r="E500" s="244"/>
      <c r="F500" s="244"/>
      <c r="G500" s="244"/>
      <c r="H500" s="244"/>
      <c r="I500" s="244"/>
      <c r="J500" s="244"/>
      <c r="K500" s="244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</row>
    <row r="501" ht="14.25" customHeight="1">
      <c r="A501" s="244"/>
      <c r="B501" s="244"/>
      <c r="C501" s="244"/>
      <c r="D501" s="244"/>
      <c r="E501" s="244"/>
      <c r="F501" s="244"/>
      <c r="G501" s="244"/>
      <c r="H501" s="244"/>
      <c r="I501" s="244"/>
      <c r="J501" s="244"/>
      <c r="K501" s="244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</row>
    <row r="502" ht="14.25" customHeight="1">
      <c r="A502" s="244"/>
      <c r="B502" s="244"/>
      <c r="C502" s="244"/>
      <c r="D502" s="244"/>
      <c r="E502" s="244"/>
      <c r="F502" s="244"/>
      <c r="G502" s="244"/>
      <c r="H502" s="244"/>
      <c r="I502" s="244"/>
      <c r="J502" s="244"/>
      <c r="K502" s="244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</row>
    <row r="503" ht="14.25" customHeight="1">
      <c r="A503" s="244"/>
      <c r="B503" s="244"/>
      <c r="C503" s="244"/>
      <c r="D503" s="244"/>
      <c r="E503" s="244"/>
      <c r="F503" s="244"/>
      <c r="G503" s="244"/>
      <c r="H503" s="244"/>
      <c r="I503" s="244"/>
      <c r="J503" s="244"/>
      <c r="K503" s="244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</row>
    <row r="504" ht="14.25" customHeight="1">
      <c r="A504" s="244"/>
      <c r="B504" s="244"/>
      <c r="C504" s="244"/>
      <c r="D504" s="244"/>
      <c r="E504" s="244"/>
      <c r="F504" s="244"/>
      <c r="G504" s="244"/>
      <c r="H504" s="244"/>
      <c r="I504" s="244"/>
      <c r="J504" s="244"/>
      <c r="K504" s="244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</row>
    <row r="505" ht="14.25" customHeight="1">
      <c r="A505" s="244"/>
      <c r="B505" s="244"/>
      <c r="C505" s="244"/>
      <c r="D505" s="244"/>
      <c r="E505" s="244"/>
      <c r="F505" s="244"/>
      <c r="G505" s="244"/>
      <c r="H505" s="244"/>
      <c r="I505" s="244"/>
      <c r="J505" s="244"/>
      <c r="K505" s="244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</row>
    <row r="506" ht="14.25" customHeight="1">
      <c r="A506" s="244"/>
      <c r="B506" s="244"/>
      <c r="C506" s="244"/>
      <c r="D506" s="244"/>
      <c r="E506" s="244"/>
      <c r="F506" s="244"/>
      <c r="G506" s="244"/>
      <c r="H506" s="244"/>
      <c r="I506" s="244"/>
      <c r="J506" s="244"/>
      <c r="K506" s="244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</row>
    <row r="507" ht="14.25" customHeight="1">
      <c r="A507" s="244"/>
      <c r="B507" s="244"/>
      <c r="C507" s="244"/>
      <c r="D507" s="244"/>
      <c r="E507" s="244"/>
      <c r="F507" s="244"/>
      <c r="G507" s="244"/>
      <c r="H507" s="244"/>
      <c r="I507" s="244"/>
      <c r="J507" s="244"/>
      <c r="K507" s="244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</row>
    <row r="508" ht="14.25" customHeight="1">
      <c r="A508" s="244"/>
      <c r="B508" s="244"/>
      <c r="C508" s="244"/>
      <c r="D508" s="244"/>
      <c r="E508" s="244"/>
      <c r="F508" s="244"/>
      <c r="G508" s="244"/>
      <c r="H508" s="244"/>
      <c r="I508" s="244"/>
      <c r="J508" s="244"/>
      <c r="K508" s="244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</row>
    <row r="509" ht="14.25" customHeight="1">
      <c r="A509" s="244"/>
      <c r="B509" s="244"/>
      <c r="C509" s="244"/>
      <c r="D509" s="244"/>
      <c r="E509" s="244"/>
      <c r="F509" s="244"/>
      <c r="G509" s="244"/>
      <c r="H509" s="244"/>
      <c r="I509" s="244"/>
      <c r="J509" s="244"/>
      <c r="K509" s="244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</row>
    <row r="510" ht="14.25" customHeight="1">
      <c r="A510" s="244"/>
      <c r="B510" s="244"/>
      <c r="C510" s="244"/>
      <c r="D510" s="244"/>
      <c r="E510" s="244"/>
      <c r="F510" s="244"/>
      <c r="G510" s="244"/>
      <c r="H510" s="244"/>
      <c r="I510" s="244"/>
      <c r="J510" s="244"/>
      <c r="K510" s="244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</row>
    <row r="511" ht="14.25" customHeight="1">
      <c r="A511" s="244"/>
      <c r="B511" s="244"/>
      <c r="C511" s="244"/>
      <c r="D511" s="244"/>
      <c r="E511" s="244"/>
      <c r="F511" s="244"/>
      <c r="G511" s="244"/>
      <c r="H511" s="244"/>
      <c r="I511" s="244"/>
      <c r="J511" s="244"/>
      <c r="K511" s="244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</row>
    <row r="512" ht="14.25" customHeight="1">
      <c r="A512" s="244"/>
      <c r="B512" s="244"/>
      <c r="C512" s="244"/>
      <c r="D512" s="244"/>
      <c r="E512" s="244"/>
      <c r="F512" s="244"/>
      <c r="G512" s="244"/>
      <c r="H512" s="244"/>
      <c r="I512" s="244"/>
      <c r="J512" s="244"/>
      <c r="K512" s="244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</row>
    <row r="513" ht="14.25" customHeight="1">
      <c r="A513" s="244"/>
      <c r="B513" s="244"/>
      <c r="C513" s="244"/>
      <c r="D513" s="244"/>
      <c r="E513" s="244"/>
      <c r="F513" s="244"/>
      <c r="G513" s="244"/>
      <c r="H513" s="244"/>
      <c r="I513" s="244"/>
      <c r="J513" s="244"/>
      <c r="K513" s="244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</row>
    <row r="514" ht="14.25" customHeight="1">
      <c r="A514" s="244"/>
      <c r="B514" s="244"/>
      <c r="C514" s="244"/>
      <c r="D514" s="244"/>
      <c r="E514" s="244"/>
      <c r="F514" s="244"/>
      <c r="G514" s="244"/>
      <c r="H514" s="244"/>
      <c r="I514" s="244"/>
      <c r="J514" s="244"/>
      <c r="K514" s="244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</row>
    <row r="515" ht="14.25" customHeight="1">
      <c r="A515" s="244"/>
      <c r="B515" s="244"/>
      <c r="C515" s="244"/>
      <c r="D515" s="244"/>
      <c r="E515" s="244"/>
      <c r="F515" s="244"/>
      <c r="G515" s="244"/>
      <c r="H515" s="244"/>
      <c r="I515" s="244"/>
      <c r="J515" s="244"/>
      <c r="K515" s="244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</row>
    <row r="516" ht="14.25" customHeight="1">
      <c r="A516" s="244"/>
      <c r="B516" s="244"/>
      <c r="C516" s="244"/>
      <c r="D516" s="244"/>
      <c r="E516" s="244"/>
      <c r="F516" s="244"/>
      <c r="G516" s="244"/>
      <c r="H516" s="244"/>
      <c r="I516" s="244"/>
      <c r="J516" s="244"/>
      <c r="K516" s="244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</row>
    <row r="517" ht="14.25" customHeight="1">
      <c r="A517" s="244"/>
      <c r="B517" s="244"/>
      <c r="C517" s="244"/>
      <c r="D517" s="244"/>
      <c r="E517" s="244"/>
      <c r="F517" s="244"/>
      <c r="G517" s="244"/>
      <c r="H517" s="244"/>
      <c r="I517" s="244"/>
      <c r="J517" s="244"/>
      <c r="K517" s="244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</row>
    <row r="518" ht="14.25" customHeight="1">
      <c r="A518" s="244"/>
      <c r="B518" s="244"/>
      <c r="C518" s="244"/>
      <c r="D518" s="244"/>
      <c r="E518" s="244"/>
      <c r="F518" s="244"/>
      <c r="G518" s="244"/>
      <c r="H518" s="244"/>
      <c r="I518" s="244"/>
      <c r="J518" s="244"/>
      <c r="K518" s="244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</row>
    <row r="519" ht="14.25" customHeight="1">
      <c r="A519" s="244"/>
      <c r="B519" s="244"/>
      <c r="C519" s="244"/>
      <c r="D519" s="244"/>
      <c r="E519" s="244"/>
      <c r="F519" s="244"/>
      <c r="G519" s="244"/>
      <c r="H519" s="244"/>
      <c r="I519" s="244"/>
      <c r="J519" s="244"/>
      <c r="K519" s="244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</row>
    <row r="520" ht="14.25" customHeight="1">
      <c r="A520" s="244"/>
      <c r="B520" s="244"/>
      <c r="C520" s="244"/>
      <c r="D520" s="244"/>
      <c r="E520" s="244"/>
      <c r="F520" s="244"/>
      <c r="G520" s="244"/>
      <c r="H520" s="244"/>
      <c r="I520" s="244"/>
      <c r="J520" s="244"/>
      <c r="K520" s="244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</row>
    <row r="521" ht="14.25" customHeight="1">
      <c r="A521" s="244"/>
      <c r="B521" s="244"/>
      <c r="C521" s="244"/>
      <c r="D521" s="244"/>
      <c r="E521" s="244"/>
      <c r="F521" s="244"/>
      <c r="G521" s="244"/>
      <c r="H521" s="244"/>
      <c r="I521" s="244"/>
      <c r="J521" s="244"/>
      <c r="K521" s="244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</row>
    <row r="522" ht="14.25" customHeight="1">
      <c r="A522" s="244"/>
      <c r="B522" s="244"/>
      <c r="C522" s="244"/>
      <c r="D522" s="244"/>
      <c r="E522" s="244"/>
      <c r="F522" s="244"/>
      <c r="G522" s="244"/>
      <c r="H522" s="244"/>
      <c r="I522" s="244"/>
      <c r="J522" s="244"/>
      <c r="K522" s="244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</row>
    <row r="523" ht="14.25" customHeight="1">
      <c r="A523" s="244"/>
      <c r="B523" s="244"/>
      <c r="C523" s="244"/>
      <c r="D523" s="244"/>
      <c r="E523" s="244"/>
      <c r="F523" s="244"/>
      <c r="G523" s="244"/>
      <c r="H523" s="244"/>
      <c r="I523" s="244"/>
      <c r="J523" s="244"/>
      <c r="K523" s="244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</row>
    <row r="524" ht="14.25" customHeight="1">
      <c r="A524" s="244"/>
      <c r="B524" s="244"/>
      <c r="C524" s="244"/>
      <c r="D524" s="244"/>
      <c r="E524" s="244"/>
      <c r="F524" s="244"/>
      <c r="G524" s="244"/>
      <c r="H524" s="244"/>
      <c r="I524" s="244"/>
      <c r="J524" s="244"/>
      <c r="K524" s="244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</row>
    <row r="525" ht="14.25" customHeight="1">
      <c r="A525" s="244"/>
      <c r="B525" s="244"/>
      <c r="C525" s="244"/>
      <c r="D525" s="244"/>
      <c r="E525" s="244"/>
      <c r="F525" s="244"/>
      <c r="G525" s="244"/>
      <c r="H525" s="244"/>
      <c r="I525" s="244"/>
      <c r="J525" s="244"/>
      <c r="K525" s="244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</row>
    <row r="526" ht="14.25" customHeight="1">
      <c r="A526" s="244"/>
      <c r="B526" s="244"/>
      <c r="C526" s="244"/>
      <c r="D526" s="244"/>
      <c r="E526" s="244"/>
      <c r="F526" s="244"/>
      <c r="G526" s="244"/>
      <c r="H526" s="244"/>
      <c r="I526" s="244"/>
      <c r="J526" s="244"/>
      <c r="K526" s="244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</row>
    <row r="527" ht="14.25" customHeight="1">
      <c r="A527" s="244"/>
      <c r="B527" s="244"/>
      <c r="C527" s="244"/>
      <c r="D527" s="244"/>
      <c r="E527" s="244"/>
      <c r="F527" s="244"/>
      <c r="G527" s="244"/>
      <c r="H527" s="244"/>
      <c r="I527" s="244"/>
      <c r="J527" s="244"/>
      <c r="K527" s="244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</row>
    <row r="528" ht="14.25" customHeight="1">
      <c r="A528" s="244"/>
      <c r="B528" s="244"/>
      <c r="C528" s="244"/>
      <c r="D528" s="244"/>
      <c r="E528" s="244"/>
      <c r="F528" s="244"/>
      <c r="G528" s="244"/>
      <c r="H528" s="244"/>
      <c r="I528" s="244"/>
      <c r="J528" s="244"/>
      <c r="K528" s="244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</row>
    <row r="529" ht="14.25" customHeight="1">
      <c r="A529" s="244"/>
      <c r="B529" s="244"/>
      <c r="C529" s="244"/>
      <c r="D529" s="244"/>
      <c r="E529" s="244"/>
      <c r="F529" s="244"/>
      <c r="G529" s="244"/>
      <c r="H529" s="244"/>
      <c r="I529" s="244"/>
      <c r="J529" s="244"/>
      <c r="K529" s="244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</row>
    <row r="530" ht="14.25" customHeight="1">
      <c r="A530" s="244"/>
      <c r="B530" s="244"/>
      <c r="C530" s="244"/>
      <c r="D530" s="244"/>
      <c r="E530" s="244"/>
      <c r="F530" s="244"/>
      <c r="G530" s="244"/>
      <c r="H530" s="244"/>
      <c r="I530" s="244"/>
      <c r="J530" s="244"/>
      <c r="K530" s="244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</row>
    <row r="531" ht="14.25" customHeight="1">
      <c r="A531" s="244"/>
      <c r="B531" s="244"/>
      <c r="C531" s="244"/>
      <c r="D531" s="244"/>
      <c r="E531" s="244"/>
      <c r="F531" s="244"/>
      <c r="G531" s="244"/>
      <c r="H531" s="244"/>
      <c r="I531" s="244"/>
      <c r="J531" s="244"/>
      <c r="K531" s="244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</row>
    <row r="532" ht="14.25" customHeight="1">
      <c r="A532" s="244"/>
      <c r="B532" s="244"/>
      <c r="C532" s="244"/>
      <c r="D532" s="244"/>
      <c r="E532" s="244"/>
      <c r="F532" s="244"/>
      <c r="G532" s="244"/>
      <c r="H532" s="244"/>
      <c r="I532" s="244"/>
      <c r="J532" s="244"/>
      <c r="K532" s="244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</row>
    <row r="533" ht="14.25" customHeight="1">
      <c r="A533" s="244"/>
      <c r="B533" s="244"/>
      <c r="C533" s="244"/>
      <c r="D533" s="244"/>
      <c r="E533" s="244"/>
      <c r="F533" s="244"/>
      <c r="G533" s="244"/>
      <c r="H533" s="244"/>
      <c r="I533" s="244"/>
      <c r="J533" s="244"/>
      <c r="K533" s="244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</row>
    <row r="534" ht="14.25" customHeight="1">
      <c r="A534" s="244"/>
      <c r="B534" s="244"/>
      <c r="C534" s="244"/>
      <c r="D534" s="244"/>
      <c r="E534" s="244"/>
      <c r="F534" s="244"/>
      <c r="G534" s="244"/>
      <c r="H534" s="244"/>
      <c r="I534" s="244"/>
      <c r="J534" s="244"/>
      <c r="K534" s="244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</row>
    <row r="535" ht="14.25" customHeight="1">
      <c r="A535" s="244"/>
      <c r="B535" s="244"/>
      <c r="C535" s="244"/>
      <c r="D535" s="244"/>
      <c r="E535" s="244"/>
      <c r="F535" s="244"/>
      <c r="G535" s="244"/>
      <c r="H535" s="244"/>
      <c r="I535" s="244"/>
      <c r="J535" s="244"/>
      <c r="K535" s="244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</row>
    <row r="536" ht="14.25" customHeight="1">
      <c r="A536" s="244"/>
      <c r="B536" s="244"/>
      <c r="C536" s="244"/>
      <c r="D536" s="244"/>
      <c r="E536" s="244"/>
      <c r="F536" s="244"/>
      <c r="G536" s="244"/>
      <c r="H536" s="244"/>
      <c r="I536" s="244"/>
      <c r="J536" s="244"/>
      <c r="K536" s="244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</row>
    <row r="537" ht="14.25" customHeight="1">
      <c r="A537" s="244"/>
      <c r="B537" s="244"/>
      <c r="C537" s="244"/>
      <c r="D537" s="244"/>
      <c r="E537" s="244"/>
      <c r="F537" s="244"/>
      <c r="G537" s="244"/>
      <c r="H537" s="244"/>
      <c r="I537" s="244"/>
      <c r="J537" s="244"/>
      <c r="K537" s="244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</row>
    <row r="538" ht="14.25" customHeight="1">
      <c r="A538" s="244"/>
      <c r="B538" s="244"/>
      <c r="C538" s="244"/>
      <c r="D538" s="244"/>
      <c r="E538" s="244"/>
      <c r="F538" s="244"/>
      <c r="G538" s="244"/>
      <c r="H538" s="244"/>
      <c r="I538" s="244"/>
      <c r="J538" s="244"/>
      <c r="K538" s="244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</row>
    <row r="539" ht="14.25" customHeight="1">
      <c r="A539" s="244"/>
      <c r="B539" s="244"/>
      <c r="C539" s="244"/>
      <c r="D539" s="244"/>
      <c r="E539" s="244"/>
      <c r="F539" s="244"/>
      <c r="G539" s="244"/>
      <c r="H539" s="244"/>
      <c r="I539" s="244"/>
      <c r="J539" s="244"/>
      <c r="K539" s="244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</row>
    <row r="540" ht="14.25" customHeight="1">
      <c r="A540" s="244"/>
      <c r="B540" s="244"/>
      <c r="C540" s="244"/>
      <c r="D540" s="244"/>
      <c r="E540" s="244"/>
      <c r="F540" s="244"/>
      <c r="G540" s="244"/>
      <c r="H540" s="244"/>
      <c r="I540" s="244"/>
      <c r="J540" s="244"/>
      <c r="K540" s="244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</row>
    <row r="541" ht="14.25" customHeight="1">
      <c r="A541" s="244"/>
      <c r="B541" s="244"/>
      <c r="C541" s="244"/>
      <c r="D541" s="244"/>
      <c r="E541" s="244"/>
      <c r="F541" s="244"/>
      <c r="G541" s="244"/>
      <c r="H541" s="244"/>
      <c r="I541" s="244"/>
      <c r="J541" s="244"/>
      <c r="K541" s="244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</row>
    <row r="542" ht="14.25" customHeight="1">
      <c r="A542" s="244"/>
      <c r="B542" s="244"/>
      <c r="C542" s="244"/>
      <c r="D542" s="244"/>
      <c r="E542" s="244"/>
      <c r="F542" s="244"/>
      <c r="G542" s="244"/>
      <c r="H542" s="244"/>
      <c r="I542" s="244"/>
      <c r="J542" s="244"/>
      <c r="K542" s="244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</row>
    <row r="543" ht="14.25" customHeight="1">
      <c r="A543" s="244"/>
      <c r="B543" s="244"/>
      <c r="C543" s="244"/>
      <c r="D543" s="244"/>
      <c r="E543" s="244"/>
      <c r="F543" s="244"/>
      <c r="G543" s="244"/>
      <c r="H543" s="244"/>
      <c r="I543" s="244"/>
      <c r="J543" s="244"/>
      <c r="K543" s="244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</row>
    <row r="544" ht="14.25" customHeight="1">
      <c r="A544" s="244"/>
      <c r="B544" s="244"/>
      <c r="C544" s="244"/>
      <c r="D544" s="244"/>
      <c r="E544" s="244"/>
      <c r="F544" s="244"/>
      <c r="G544" s="244"/>
      <c r="H544" s="244"/>
      <c r="I544" s="244"/>
      <c r="J544" s="244"/>
      <c r="K544" s="244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</row>
    <row r="545" ht="14.25" customHeight="1">
      <c r="A545" s="244"/>
      <c r="B545" s="244"/>
      <c r="C545" s="244"/>
      <c r="D545" s="244"/>
      <c r="E545" s="244"/>
      <c r="F545" s="244"/>
      <c r="G545" s="244"/>
      <c r="H545" s="244"/>
      <c r="I545" s="244"/>
      <c r="J545" s="244"/>
      <c r="K545" s="244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</row>
    <row r="546" ht="14.25" customHeight="1">
      <c r="A546" s="244"/>
      <c r="B546" s="244"/>
      <c r="C546" s="244"/>
      <c r="D546" s="244"/>
      <c r="E546" s="244"/>
      <c r="F546" s="244"/>
      <c r="G546" s="244"/>
      <c r="H546" s="244"/>
      <c r="I546" s="244"/>
      <c r="J546" s="244"/>
      <c r="K546" s="244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</row>
    <row r="547" ht="14.25" customHeight="1">
      <c r="A547" s="244"/>
      <c r="B547" s="244"/>
      <c r="C547" s="244"/>
      <c r="D547" s="244"/>
      <c r="E547" s="244"/>
      <c r="F547" s="244"/>
      <c r="G547" s="244"/>
      <c r="H547" s="244"/>
      <c r="I547" s="244"/>
      <c r="J547" s="244"/>
      <c r="K547" s="244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</row>
    <row r="548" ht="14.25" customHeight="1">
      <c r="A548" s="244"/>
      <c r="B548" s="244"/>
      <c r="C548" s="244"/>
      <c r="D548" s="244"/>
      <c r="E548" s="244"/>
      <c r="F548" s="244"/>
      <c r="G548" s="244"/>
      <c r="H548" s="244"/>
      <c r="I548" s="244"/>
      <c r="J548" s="244"/>
      <c r="K548" s="244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</row>
    <row r="549" ht="14.25" customHeight="1">
      <c r="A549" s="244"/>
      <c r="B549" s="244"/>
      <c r="C549" s="244"/>
      <c r="D549" s="244"/>
      <c r="E549" s="244"/>
      <c r="F549" s="244"/>
      <c r="G549" s="244"/>
      <c r="H549" s="244"/>
      <c r="I549" s="244"/>
      <c r="J549" s="244"/>
      <c r="K549" s="244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</row>
    <row r="550" ht="14.25" customHeight="1">
      <c r="A550" s="244"/>
      <c r="B550" s="244"/>
      <c r="C550" s="244"/>
      <c r="D550" s="244"/>
      <c r="E550" s="244"/>
      <c r="F550" s="244"/>
      <c r="G550" s="244"/>
      <c r="H550" s="244"/>
      <c r="I550" s="244"/>
      <c r="J550" s="244"/>
      <c r="K550" s="244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</row>
    <row r="551" ht="14.25" customHeight="1">
      <c r="A551" s="244"/>
      <c r="B551" s="244"/>
      <c r="C551" s="244"/>
      <c r="D551" s="244"/>
      <c r="E551" s="244"/>
      <c r="F551" s="244"/>
      <c r="G551" s="244"/>
      <c r="H551" s="244"/>
      <c r="I551" s="244"/>
      <c r="J551" s="244"/>
      <c r="K551" s="244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</row>
    <row r="552" ht="14.25" customHeight="1">
      <c r="A552" s="244"/>
      <c r="B552" s="244"/>
      <c r="C552" s="244"/>
      <c r="D552" s="244"/>
      <c r="E552" s="244"/>
      <c r="F552" s="244"/>
      <c r="G552" s="244"/>
      <c r="H552" s="244"/>
      <c r="I552" s="244"/>
      <c r="J552" s="244"/>
      <c r="K552" s="244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</row>
    <row r="553" ht="14.25" customHeight="1">
      <c r="A553" s="244"/>
      <c r="B553" s="244"/>
      <c r="C553" s="244"/>
      <c r="D553" s="244"/>
      <c r="E553" s="244"/>
      <c r="F553" s="244"/>
      <c r="G553" s="244"/>
      <c r="H553" s="244"/>
      <c r="I553" s="244"/>
      <c r="J553" s="244"/>
      <c r="K553" s="244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</row>
    <row r="554" ht="14.25" customHeight="1">
      <c r="A554" s="244"/>
      <c r="B554" s="244"/>
      <c r="C554" s="244"/>
      <c r="D554" s="244"/>
      <c r="E554" s="244"/>
      <c r="F554" s="244"/>
      <c r="G554" s="244"/>
      <c r="H554" s="244"/>
      <c r="I554" s="244"/>
      <c r="J554" s="244"/>
      <c r="K554" s="244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</row>
    <row r="555" ht="14.25" customHeight="1">
      <c r="A555" s="244"/>
      <c r="B555" s="244"/>
      <c r="C555" s="244"/>
      <c r="D555" s="244"/>
      <c r="E555" s="244"/>
      <c r="F555" s="244"/>
      <c r="G555" s="244"/>
      <c r="H555" s="244"/>
      <c r="I555" s="244"/>
      <c r="J555" s="244"/>
      <c r="K555" s="244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</row>
    <row r="556" ht="14.25" customHeight="1">
      <c r="A556" s="244"/>
      <c r="B556" s="244"/>
      <c r="C556" s="244"/>
      <c r="D556" s="244"/>
      <c r="E556" s="244"/>
      <c r="F556" s="244"/>
      <c r="G556" s="244"/>
      <c r="H556" s="244"/>
      <c r="I556" s="244"/>
      <c r="J556" s="244"/>
      <c r="K556" s="244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</row>
    <row r="557" ht="14.25" customHeight="1">
      <c r="A557" s="244"/>
      <c r="B557" s="244"/>
      <c r="C557" s="244"/>
      <c r="D557" s="244"/>
      <c r="E557" s="244"/>
      <c r="F557" s="244"/>
      <c r="G557" s="244"/>
      <c r="H557" s="244"/>
      <c r="I557" s="244"/>
      <c r="J557" s="244"/>
      <c r="K557" s="244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</row>
    <row r="558" ht="14.25" customHeight="1">
      <c r="A558" s="244"/>
      <c r="B558" s="244"/>
      <c r="C558" s="244"/>
      <c r="D558" s="244"/>
      <c r="E558" s="244"/>
      <c r="F558" s="244"/>
      <c r="G558" s="244"/>
      <c r="H558" s="244"/>
      <c r="I558" s="244"/>
      <c r="J558" s="244"/>
      <c r="K558" s="244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</row>
    <row r="559" ht="14.25" customHeight="1">
      <c r="A559" s="244"/>
      <c r="B559" s="244"/>
      <c r="C559" s="244"/>
      <c r="D559" s="244"/>
      <c r="E559" s="244"/>
      <c r="F559" s="244"/>
      <c r="G559" s="244"/>
      <c r="H559" s="244"/>
      <c r="I559" s="244"/>
      <c r="J559" s="244"/>
      <c r="K559" s="244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</row>
    <row r="560" ht="14.25" customHeight="1">
      <c r="A560" s="244"/>
      <c r="B560" s="244"/>
      <c r="C560" s="244"/>
      <c r="D560" s="244"/>
      <c r="E560" s="244"/>
      <c r="F560" s="244"/>
      <c r="G560" s="244"/>
      <c r="H560" s="244"/>
      <c r="I560" s="244"/>
      <c r="J560" s="244"/>
      <c r="K560" s="244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</row>
    <row r="561" ht="14.25" customHeight="1">
      <c r="A561" s="244"/>
      <c r="B561" s="244"/>
      <c r="C561" s="244"/>
      <c r="D561" s="244"/>
      <c r="E561" s="244"/>
      <c r="F561" s="244"/>
      <c r="G561" s="244"/>
      <c r="H561" s="244"/>
      <c r="I561" s="244"/>
      <c r="J561" s="244"/>
      <c r="K561" s="244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</row>
    <row r="562" ht="14.25" customHeight="1">
      <c r="A562" s="244"/>
      <c r="B562" s="244"/>
      <c r="C562" s="244"/>
      <c r="D562" s="244"/>
      <c r="E562" s="244"/>
      <c r="F562" s="244"/>
      <c r="G562" s="244"/>
      <c r="H562" s="244"/>
      <c r="I562" s="244"/>
      <c r="J562" s="244"/>
      <c r="K562" s="244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</row>
    <row r="563" ht="14.25" customHeight="1">
      <c r="A563" s="244"/>
      <c r="B563" s="244"/>
      <c r="C563" s="244"/>
      <c r="D563" s="244"/>
      <c r="E563" s="244"/>
      <c r="F563" s="244"/>
      <c r="G563" s="244"/>
      <c r="H563" s="244"/>
      <c r="I563" s="244"/>
      <c r="J563" s="244"/>
      <c r="K563" s="244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</row>
    <row r="564" ht="14.25" customHeight="1">
      <c r="A564" s="244"/>
      <c r="B564" s="244"/>
      <c r="C564" s="244"/>
      <c r="D564" s="244"/>
      <c r="E564" s="244"/>
      <c r="F564" s="244"/>
      <c r="G564" s="244"/>
      <c r="H564" s="244"/>
      <c r="I564" s="244"/>
      <c r="J564" s="244"/>
      <c r="K564" s="244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</row>
    <row r="565" ht="14.25" customHeight="1">
      <c r="A565" s="244"/>
      <c r="B565" s="244"/>
      <c r="C565" s="244"/>
      <c r="D565" s="244"/>
      <c r="E565" s="244"/>
      <c r="F565" s="244"/>
      <c r="G565" s="244"/>
      <c r="H565" s="244"/>
      <c r="I565" s="244"/>
      <c r="J565" s="244"/>
      <c r="K565" s="244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</row>
    <row r="566" ht="14.25" customHeight="1">
      <c r="A566" s="244"/>
      <c r="B566" s="244"/>
      <c r="C566" s="244"/>
      <c r="D566" s="244"/>
      <c r="E566" s="244"/>
      <c r="F566" s="244"/>
      <c r="G566" s="244"/>
      <c r="H566" s="244"/>
      <c r="I566" s="244"/>
      <c r="J566" s="244"/>
      <c r="K566" s="244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</row>
    <row r="567" ht="14.25" customHeight="1">
      <c r="A567" s="244"/>
      <c r="B567" s="244"/>
      <c r="C567" s="244"/>
      <c r="D567" s="244"/>
      <c r="E567" s="244"/>
      <c r="F567" s="244"/>
      <c r="G567" s="244"/>
      <c r="H567" s="244"/>
      <c r="I567" s="244"/>
      <c r="J567" s="244"/>
      <c r="K567" s="244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</row>
    <row r="568" ht="14.25" customHeight="1">
      <c r="A568" s="244"/>
      <c r="B568" s="244"/>
      <c r="C568" s="244"/>
      <c r="D568" s="244"/>
      <c r="E568" s="244"/>
      <c r="F568" s="244"/>
      <c r="G568" s="244"/>
      <c r="H568" s="244"/>
      <c r="I568" s="244"/>
      <c r="J568" s="244"/>
      <c r="K568" s="244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</row>
    <row r="569" ht="14.25" customHeight="1">
      <c r="A569" s="244"/>
      <c r="B569" s="244"/>
      <c r="C569" s="244"/>
      <c r="D569" s="244"/>
      <c r="E569" s="244"/>
      <c r="F569" s="244"/>
      <c r="G569" s="244"/>
      <c r="H569" s="244"/>
      <c r="I569" s="244"/>
      <c r="J569" s="244"/>
      <c r="K569" s="244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</row>
    <row r="570" ht="14.25" customHeight="1">
      <c r="A570" s="244"/>
      <c r="B570" s="244"/>
      <c r="C570" s="244"/>
      <c r="D570" s="244"/>
      <c r="E570" s="244"/>
      <c r="F570" s="244"/>
      <c r="G570" s="244"/>
      <c r="H570" s="244"/>
      <c r="I570" s="244"/>
      <c r="J570" s="244"/>
      <c r="K570" s="244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</row>
    <row r="571" ht="14.25" customHeight="1">
      <c r="A571" s="244"/>
      <c r="B571" s="244"/>
      <c r="C571" s="244"/>
      <c r="D571" s="244"/>
      <c r="E571" s="244"/>
      <c r="F571" s="244"/>
      <c r="G571" s="244"/>
      <c r="H571" s="244"/>
      <c r="I571" s="244"/>
      <c r="J571" s="244"/>
      <c r="K571" s="244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</row>
    <row r="572" ht="14.25" customHeight="1">
      <c r="A572" s="244"/>
      <c r="B572" s="244"/>
      <c r="C572" s="244"/>
      <c r="D572" s="244"/>
      <c r="E572" s="244"/>
      <c r="F572" s="244"/>
      <c r="G572" s="244"/>
      <c r="H572" s="244"/>
      <c r="I572" s="244"/>
      <c r="J572" s="244"/>
      <c r="K572" s="244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</row>
    <row r="573" ht="14.25" customHeight="1">
      <c r="A573" s="244"/>
      <c r="B573" s="244"/>
      <c r="C573" s="244"/>
      <c r="D573" s="244"/>
      <c r="E573" s="244"/>
      <c r="F573" s="244"/>
      <c r="G573" s="244"/>
      <c r="H573" s="244"/>
      <c r="I573" s="244"/>
      <c r="J573" s="244"/>
      <c r="K573" s="244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</row>
    <row r="574" ht="14.25" customHeight="1">
      <c r="A574" s="244"/>
      <c r="B574" s="244"/>
      <c r="C574" s="244"/>
      <c r="D574" s="244"/>
      <c r="E574" s="244"/>
      <c r="F574" s="244"/>
      <c r="G574" s="244"/>
      <c r="H574" s="244"/>
      <c r="I574" s="244"/>
      <c r="J574" s="244"/>
      <c r="K574" s="244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</row>
    <row r="575" ht="14.25" customHeight="1">
      <c r="A575" s="244"/>
      <c r="B575" s="244"/>
      <c r="C575" s="244"/>
      <c r="D575" s="244"/>
      <c r="E575" s="244"/>
      <c r="F575" s="244"/>
      <c r="G575" s="244"/>
      <c r="H575" s="244"/>
      <c r="I575" s="244"/>
      <c r="J575" s="244"/>
      <c r="K575" s="244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</row>
    <row r="576" ht="14.25" customHeight="1">
      <c r="A576" s="244"/>
      <c r="B576" s="244"/>
      <c r="C576" s="244"/>
      <c r="D576" s="244"/>
      <c r="E576" s="244"/>
      <c r="F576" s="244"/>
      <c r="G576" s="244"/>
      <c r="H576" s="244"/>
      <c r="I576" s="244"/>
      <c r="J576" s="244"/>
      <c r="K576" s="244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</row>
    <row r="577" ht="14.25" customHeight="1">
      <c r="A577" s="244"/>
      <c r="B577" s="244"/>
      <c r="C577" s="244"/>
      <c r="D577" s="244"/>
      <c r="E577" s="244"/>
      <c r="F577" s="244"/>
      <c r="G577" s="244"/>
      <c r="H577" s="244"/>
      <c r="I577" s="244"/>
      <c r="J577" s="244"/>
      <c r="K577" s="244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</row>
    <row r="578" ht="14.25" customHeight="1">
      <c r="A578" s="244"/>
      <c r="B578" s="244"/>
      <c r="C578" s="244"/>
      <c r="D578" s="244"/>
      <c r="E578" s="244"/>
      <c r="F578" s="244"/>
      <c r="G578" s="244"/>
      <c r="H578" s="244"/>
      <c r="I578" s="244"/>
      <c r="J578" s="244"/>
      <c r="K578" s="244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</row>
    <row r="579" ht="14.25" customHeight="1">
      <c r="A579" s="244"/>
      <c r="B579" s="244"/>
      <c r="C579" s="244"/>
      <c r="D579" s="244"/>
      <c r="E579" s="244"/>
      <c r="F579" s="244"/>
      <c r="G579" s="244"/>
      <c r="H579" s="244"/>
      <c r="I579" s="244"/>
      <c r="J579" s="244"/>
      <c r="K579" s="244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</row>
    <row r="580" ht="14.25" customHeight="1">
      <c r="A580" s="244"/>
      <c r="B580" s="244"/>
      <c r="C580" s="244"/>
      <c r="D580" s="244"/>
      <c r="E580" s="244"/>
      <c r="F580" s="244"/>
      <c r="G580" s="244"/>
      <c r="H580" s="244"/>
      <c r="I580" s="244"/>
      <c r="J580" s="244"/>
      <c r="K580" s="244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</row>
    <row r="581" ht="14.25" customHeight="1">
      <c r="A581" s="244"/>
      <c r="B581" s="244"/>
      <c r="C581" s="244"/>
      <c r="D581" s="244"/>
      <c r="E581" s="244"/>
      <c r="F581" s="244"/>
      <c r="G581" s="244"/>
      <c r="H581" s="244"/>
      <c r="I581" s="244"/>
      <c r="J581" s="244"/>
      <c r="K581" s="244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</row>
    <row r="582" ht="14.25" customHeight="1">
      <c r="A582" s="244"/>
      <c r="B582" s="244"/>
      <c r="C582" s="244"/>
      <c r="D582" s="244"/>
      <c r="E582" s="244"/>
      <c r="F582" s="244"/>
      <c r="G582" s="244"/>
      <c r="H582" s="244"/>
      <c r="I582" s="244"/>
      <c r="J582" s="244"/>
      <c r="K582" s="244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</row>
    <row r="583" ht="14.25" customHeight="1">
      <c r="A583" s="244"/>
      <c r="B583" s="244"/>
      <c r="C583" s="244"/>
      <c r="D583" s="244"/>
      <c r="E583" s="244"/>
      <c r="F583" s="244"/>
      <c r="G583" s="244"/>
      <c r="H583" s="244"/>
      <c r="I583" s="244"/>
      <c r="J583" s="244"/>
      <c r="K583" s="244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</row>
    <row r="584" ht="14.25" customHeight="1">
      <c r="A584" s="244"/>
      <c r="B584" s="244"/>
      <c r="C584" s="244"/>
      <c r="D584" s="244"/>
      <c r="E584" s="244"/>
      <c r="F584" s="244"/>
      <c r="G584" s="244"/>
      <c r="H584" s="244"/>
      <c r="I584" s="244"/>
      <c r="J584" s="244"/>
      <c r="K584" s="244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</row>
    <row r="585" ht="14.25" customHeight="1">
      <c r="A585" s="244"/>
      <c r="B585" s="244"/>
      <c r="C585" s="244"/>
      <c r="D585" s="244"/>
      <c r="E585" s="244"/>
      <c r="F585" s="244"/>
      <c r="G585" s="244"/>
      <c r="H585" s="244"/>
      <c r="I585" s="244"/>
      <c r="J585" s="244"/>
      <c r="K585" s="244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</row>
    <row r="586" ht="14.25" customHeight="1">
      <c r="A586" s="244"/>
      <c r="B586" s="244"/>
      <c r="C586" s="244"/>
      <c r="D586" s="244"/>
      <c r="E586" s="244"/>
      <c r="F586" s="244"/>
      <c r="G586" s="244"/>
      <c r="H586" s="244"/>
      <c r="I586" s="244"/>
      <c r="J586" s="244"/>
      <c r="K586" s="244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</row>
    <row r="587" ht="14.25" customHeight="1">
      <c r="A587" s="244"/>
      <c r="B587" s="244"/>
      <c r="C587" s="244"/>
      <c r="D587" s="244"/>
      <c r="E587" s="244"/>
      <c r="F587" s="244"/>
      <c r="G587" s="244"/>
      <c r="H587" s="244"/>
      <c r="I587" s="244"/>
      <c r="J587" s="244"/>
      <c r="K587" s="244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</row>
    <row r="588" ht="14.25" customHeight="1">
      <c r="A588" s="244"/>
      <c r="B588" s="244"/>
      <c r="C588" s="244"/>
      <c r="D588" s="244"/>
      <c r="E588" s="244"/>
      <c r="F588" s="244"/>
      <c r="G588" s="244"/>
      <c r="H588" s="244"/>
      <c r="I588" s="244"/>
      <c r="J588" s="244"/>
      <c r="K588" s="244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</row>
    <row r="589" ht="14.25" customHeight="1">
      <c r="A589" s="244"/>
      <c r="B589" s="244"/>
      <c r="C589" s="244"/>
      <c r="D589" s="244"/>
      <c r="E589" s="244"/>
      <c r="F589" s="244"/>
      <c r="G589" s="244"/>
      <c r="H589" s="244"/>
      <c r="I589" s="244"/>
      <c r="J589" s="244"/>
      <c r="K589" s="244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</row>
    <row r="590" ht="14.25" customHeight="1">
      <c r="A590" s="244"/>
      <c r="B590" s="244"/>
      <c r="C590" s="244"/>
      <c r="D590" s="244"/>
      <c r="E590" s="244"/>
      <c r="F590" s="244"/>
      <c r="G590" s="244"/>
      <c r="H590" s="244"/>
      <c r="I590" s="244"/>
      <c r="J590" s="244"/>
      <c r="K590" s="244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</row>
    <row r="591" ht="14.25" customHeight="1">
      <c r="A591" s="244"/>
      <c r="B591" s="244"/>
      <c r="C591" s="244"/>
      <c r="D591" s="244"/>
      <c r="E591" s="244"/>
      <c r="F591" s="244"/>
      <c r="G591" s="244"/>
      <c r="H591" s="244"/>
      <c r="I591" s="244"/>
      <c r="J591" s="244"/>
      <c r="K591" s="244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</row>
    <row r="592" ht="14.25" customHeight="1">
      <c r="A592" s="244"/>
      <c r="B592" s="244"/>
      <c r="C592" s="244"/>
      <c r="D592" s="244"/>
      <c r="E592" s="244"/>
      <c r="F592" s="244"/>
      <c r="G592" s="244"/>
      <c r="H592" s="244"/>
      <c r="I592" s="244"/>
      <c r="J592" s="244"/>
      <c r="K592" s="244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</row>
    <row r="593" ht="14.25" customHeight="1">
      <c r="A593" s="244"/>
      <c r="B593" s="244"/>
      <c r="C593" s="244"/>
      <c r="D593" s="244"/>
      <c r="E593" s="244"/>
      <c r="F593" s="244"/>
      <c r="G593" s="244"/>
      <c r="H593" s="244"/>
      <c r="I593" s="244"/>
      <c r="J593" s="244"/>
      <c r="K593" s="244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</row>
    <row r="594" ht="14.25" customHeight="1">
      <c r="A594" s="244"/>
      <c r="B594" s="244"/>
      <c r="C594" s="244"/>
      <c r="D594" s="244"/>
      <c r="E594" s="244"/>
      <c r="F594" s="244"/>
      <c r="G594" s="244"/>
      <c r="H594" s="244"/>
      <c r="I594" s="244"/>
      <c r="J594" s="244"/>
      <c r="K594" s="244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</row>
    <row r="595" ht="14.25" customHeight="1">
      <c r="A595" s="244"/>
      <c r="B595" s="244"/>
      <c r="C595" s="244"/>
      <c r="D595" s="244"/>
      <c r="E595" s="244"/>
      <c r="F595" s="244"/>
      <c r="G595" s="244"/>
      <c r="H595" s="244"/>
      <c r="I595" s="244"/>
      <c r="J595" s="244"/>
      <c r="K595" s="244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</row>
    <row r="596" ht="14.25" customHeight="1">
      <c r="A596" s="244"/>
      <c r="B596" s="244"/>
      <c r="C596" s="244"/>
      <c r="D596" s="244"/>
      <c r="E596" s="244"/>
      <c r="F596" s="244"/>
      <c r="G596" s="244"/>
      <c r="H596" s="244"/>
      <c r="I596" s="244"/>
      <c r="J596" s="244"/>
      <c r="K596" s="244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</row>
    <row r="597" ht="14.25" customHeight="1">
      <c r="A597" s="244"/>
      <c r="B597" s="244"/>
      <c r="C597" s="244"/>
      <c r="D597" s="244"/>
      <c r="E597" s="244"/>
      <c r="F597" s="244"/>
      <c r="G597" s="244"/>
      <c r="H597" s="244"/>
      <c r="I597" s="244"/>
      <c r="J597" s="244"/>
      <c r="K597" s="244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</row>
    <row r="598" ht="14.25" customHeight="1">
      <c r="A598" s="244"/>
      <c r="B598" s="244"/>
      <c r="C598" s="244"/>
      <c r="D598" s="244"/>
      <c r="E598" s="244"/>
      <c r="F598" s="244"/>
      <c r="G598" s="244"/>
      <c r="H598" s="244"/>
      <c r="I598" s="244"/>
      <c r="J598" s="244"/>
      <c r="K598" s="244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</row>
    <row r="599" ht="14.25" customHeight="1">
      <c r="A599" s="244"/>
      <c r="B599" s="244"/>
      <c r="C599" s="244"/>
      <c r="D599" s="244"/>
      <c r="E599" s="244"/>
      <c r="F599" s="244"/>
      <c r="G599" s="244"/>
      <c r="H599" s="244"/>
      <c r="I599" s="244"/>
      <c r="J599" s="244"/>
      <c r="K599" s="244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</row>
    <row r="600" ht="14.25" customHeight="1">
      <c r="A600" s="244"/>
      <c r="B600" s="244"/>
      <c r="C600" s="244"/>
      <c r="D600" s="244"/>
      <c r="E600" s="244"/>
      <c r="F600" s="244"/>
      <c r="G600" s="244"/>
      <c r="H600" s="244"/>
      <c r="I600" s="244"/>
      <c r="J600" s="244"/>
      <c r="K600" s="244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</row>
    <row r="601" ht="14.25" customHeight="1">
      <c r="A601" s="244"/>
      <c r="B601" s="244"/>
      <c r="C601" s="244"/>
      <c r="D601" s="244"/>
      <c r="E601" s="244"/>
      <c r="F601" s="244"/>
      <c r="G601" s="244"/>
      <c r="H601" s="244"/>
      <c r="I601" s="244"/>
      <c r="J601" s="244"/>
      <c r="K601" s="244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</row>
    <row r="602" ht="14.25" customHeight="1">
      <c r="A602" s="244"/>
      <c r="B602" s="244"/>
      <c r="C602" s="244"/>
      <c r="D602" s="244"/>
      <c r="E602" s="244"/>
      <c r="F602" s="244"/>
      <c r="G602" s="244"/>
      <c r="H602" s="244"/>
      <c r="I602" s="244"/>
      <c r="J602" s="244"/>
      <c r="K602" s="244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</row>
    <row r="603" ht="14.25" customHeight="1">
      <c r="A603" s="244"/>
      <c r="B603" s="244"/>
      <c r="C603" s="244"/>
      <c r="D603" s="244"/>
      <c r="E603" s="244"/>
      <c r="F603" s="244"/>
      <c r="G603" s="244"/>
      <c r="H603" s="244"/>
      <c r="I603" s="244"/>
      <c r="J603" s="244"/>
      <c r="K603" s="244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</row>
    <row r="604" ht="14.25" customHeight="1">
      <c r="A604" s="244"/>
      <c r="B604" s="244"/>
      <c r="C604" s="244"/>
      <c r="D604" s="244"/>
      <c r="E604" s="244"/>
      <c r="F604" s="244"/>
      <c r="G604" s="244"/>
      <c r="H604" s="244"/>
      <c r="I604" s="244"/>
      <c r="J604" s="244"/>
      <c r="K604" s="244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</row>
    <row r="605" ht="14.25" customHeight="1">
      <c r="A605" s="244"/>
      <c r="B605" s="244"/>
      <c r="C605" s="244"/>
      <c r="D605" s="244"/>
      <c r="E605" s="244"/>
      <c r="F605" s="244"/>
      <c r="G605" s="244"/>
      <c r="H605" s="244"/>
      <c r="I605" s="244"/>
      <c r="J605" s="244"/>
      <c r="K605" s="244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</row>
    <row r="606" ht="14.25" customHeight="1">
      <c r="A606" s="244"/>
      <c r="B606" s="244"/>
      <c r="C606" s="244"/>
      <c r="D606" s="244"/>
      <c r="E606" s="244"/>
      <c r="F606" s="244"/>
      <c r="G606" s="244"/>
      <c r="H606" s="244"/>
      <c r="I606" s="244"/>
      <c r="J606" s="244"/>
      <c r="K606" s="244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</row>
    <row r="607" ht="14.25" customHeight="1">
      <c r="A607" s="244"/>
      <c r="B607" s="244"/>
      <c r="C607" s="244"/>
      <c r="D607" s="244"/>
      <c r="E607" s="244"/>
      <c r="F607" s="244"/>
      <c r="G607" s="244"/>
      <c r="H607" s="244"/>
      <c r="I607" s="244"/>
      <c r="J607" s="244"/>
      <c r="K607" s="244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</row>
    <row r="608" ht="14.25" customHeight="1">
      <c r="A608" s="244"/>
      <c r="B608" s="244"/>
      <c r="C608" s="244"/>
      <c r="D608" s="244"/>
      <c r="E608" s="244"/>
      <c r="F608" s="244"/>
      <c r="G608" s="244"/>
      <c r="H608" s="244"/>
      <c r="I608" s="244"/>
      <c r="J608" s="244"/>
      <c r="K608" s="244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</row>
    <row r="609" ht="14.25" customHeight="1">
      <c r="A609" s="244"/>
      <c r="B609" s="244"/>
      <c r="C609" s="244"/>
      <c r="D609" s="244"/>
      <c r="E609" s="244"/>
      <c r="F609" s="244"/>
      <c r="G609" s="244"/>
      <c r="H609" s="244"/>
      <c r="I609" s="244"/>
      <c r="J609" s="244"/>
      <c r="K609" s="244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</row>
    <row r="610" ht="14.25" customHeight="1">
      <c r="A610" s="244"/>
      <c r="B610" s="244"/>
      <c r="C610" s="244"/>
      <c r="D610" s="244"/>
      <c r="E610" s="244"/>
      <c r="F610" s="244"/>
      <c r="G610" s="244"/>
      <c r="H610" s="244"/>
      <c r="I610" s="244"/>
      <c r="J610" s="244"/>
      <c r="K610" s="244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</row>
    <row r="611" ht="14.25" customHeight="1">
      <c r="A611" s="244"/>
      <c r="B611" s="244"/>
      <c r="C611" s="244"/>
      <c r="D611" s="244"/>
      <c r="E611" s="244"/>
      <c r="F611" s="244"/>
      <c r="G611" s="244"/>
      <c r="H611" s="244"/>
      <c r="I611" s="244"/>
      <c r="J611" s="244"/>
      <c r="K611" s="244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</row>
    <row r="612" ht="14.25" customHeight="1">
      <c r="A612" s="244"/>
      <c r="B612" s="244"/>
      <c r="C612" s="244"/>
      <c r="D612" s="244"/>
      <c r="E612" s="244"/>
      <c r="F612" s="244"/>
      <c r="G612" s="244"/>
      <c r="H612" s="244"/>
      <c r="I612" s="244"/>
      <c r="J612" s="244"/>
      <c r="K612" s="244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</row>
    <row r="613" ht="14.25" customHeight="1">
      <c r="A613" s="244"/>
      <c r="B613" s="244"/>
      <c r="C613" s="244"/>
      <c r="D613" s="244"/>
      <c r="E613" s="244"/>
      <c r="F613" s="244"/>
      <c r="G613" s="244"/>
      <c r="H613" s="244"/>
      <c r="I613" s="244"/>
      <c r="J613" s="244"/>
      <c r="K613" s="244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</row>
    <row r="614" ht="14.25" customHeight="1">
      <c r="A614" s="244"/>
      <c r="B614" s="244"/>
      <c r="C614" s="244"/>
      <c r="D614" s="244"/>
      <c r="E614" s="244"/>
      <c r="F614" s="244"/>
      <c r="G614" s="244"/>
      <c r="H614" s="244"/>
      <c r="I614" s="244"/>
      <c r="J614" s="244"/>
      <c r="K614" s="244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</row>
    <row r="615" ht="14.25" customHeight="1">
      <c r="A615" s="244"/>
      <c r="B615" s="244"/>
      <c r="C615" s="244"/>
      <c r="D615" s="244"/>
      <c r="E615" s="244"/>
      <c r="F615" s="244"/>
      <c r="G615" s="244"/>
      <c r="H615" s="244"/>
      <c r="I615" s="244"/>
      <c r="J615" s="244"/>
      <c r="K615" s="244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</row>
    <row r="616" ht="14.25" customHeight="1">
      <c r="A616" s="244"/>
      <c r="B616" s="244"/>
      <c r="C616" s="244"/>
      <c r="D616" s="244"/>
      <c r="E616" s="244"/>
      <c r="F616" s="244"/>
      <c r="G616" s="244"/>
      <c r="H616" s="244"/>
      <c r="I616" s="244"/>
      <c r="J616" s="244"/>
      <c r="K616" s="244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</row>
    <row r="617" ht="14.25" customHeight="1">
      <c r="A617" s="244"/>
      <c r="B617" s="244"/>
      <c r="C617" s="244"/>
      <c r="D617" s="244"/>
      <c r="E617" s="244"/>
      <c r="F617" s="244"/>
      <c r="G617" s="244"/>
      <c r="H617" s="244"/>
      <c r="I617" s="244"/>
      <c r="J617" s="244"/>
      <c r="K617" s="244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</row>
    <row r="618" ht="14.25" customHeight="1">
      <c r="A618" s="244"/>
      <c r="B618" s="244"/>
      <c r="C618" s="244"/>
      <c r="D618" s="244"/>
      <c r="E618" s="244"/>
      <c r="F618" s="244"/>
      <c r="G618" s="244"/>
      <c r="H618" s="244"/>
      <c r="I618" s="244"/>
      <c r="J618" s="244"/>
      <c r="K618" s="244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</row>
    <row r="619" ht="14.25" customHeight="1">
      <c r="A619" s="244"/>
      <c r="B619" s="244"/>
      <c r="C619" s="244"/>
      <c r="D619" s="244"/>
      <c r="E619" s="244"/>
      <c r="F619" s="244"/>
      <c r="G619" s="244"/>
      <c r="H619" s="244"/>
      <c r="I619" s="244"/>
      <c r="J619" s="244"/>
      <c r="K619" s="244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</row>
    <row r="620" ht="14.25" customHeight="1">
      <c r="A620" s="244"/>
      <c r="B620" s="244"/>
      <c r="C620" s="244"/>
      <c r="D620" s="244"/>
      <c r="E620" s="244"/>
      <c r="F620" s="244"/>
      <c r="G620" s="244"/>
      <c r="H620" s="244"/>
      <c r="I620" s="244"/>
      <c r="J620" s="244"/>
      <c r="K620" s="244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</row>
    <row r="621" ht="14.25" customHeight="1">
      <c r="A621" s="244"/>
      <c r="B621" s="244"/>
      <c r="C621" s="244"/>
      <c r="D621" s="244"/>
      <c r="E621" s="244"/>
      <c r="F621" s="244"/>
      <c r="G621" s="244"/>
      <c r="H621" s="244"/>
      <c r="I621" s="244"/>
      <c r="J621" s="244"/>
      <c r="K621" s="244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</row>
    <row r="622" ht="14.25" customHeight="1">
      <c r="A622" s="244"/>
      <c r="B622" s="244"/>
      <c r="C622" s="244"/>
      <c r="D622" s="244"/>
      <c r="E622" s="244"/>
      <c r="F622" s="244"/>
      <c r="G622" s="244"/>
      <c r="H622" s="244"/>
      <c r="I622" s="244"/>
      <c r="J622" s="244"/>
      <c r="K622" s="244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</row>
    <row r="623" ht="14.25" customHeight="1">
      <c r="A623" s="244"/>
      <c r="B623" s="244"/>
      <c r="C623" s="244"/>
      <c r="D623" s="244"/>
      <c r="E623" s="244"/>
      <c r="F623" s="244"/>
      <c r="G623" s="244"/>
      <c r="H623" s="244"/>
      <c r="I623" s="244"/>
      <c r="J623" s="244"/>
      <c r="K623" s="244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</row>
    <row r="624" ht="14.25" customHeight="1">
      <c r="A624" s="244"/>
      <c r="B624" s="244"/>
      <c r="C624" s="244"/>
      <c r="D624" s="244"/>
      <c r="E624" s="244"/>
      <c r="F624" s="244"/>
      <c r="G624" s="244"/>
      <c r="H624" s="244"/>
      <c r="I624" s="244"/>
      <c r="J624" s="244"/>
      <c r="K624" s="244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</row>
    <row r="625" ht="14.25" customHeight="1">
      <c r="A625" s="244"/>
      <c r="B625" s="244"/>
      <c r="C625" s="244"/>
      <c r="D625" s="244"/>
      <c r="E625" s="244"/>
      <c r="F625" s="244"/>
      <c r="G625" s="244"/>
      <c r="H625" s="244"/>
      <c r="I625" s="244"/>
      <c r="J625" s="244"/>
      <c r="K625" s="244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</row>
    <row r="626" ht="14.25" customHeight="1">
      <c r="A626" s="244"/>
      <c r="B626" s="244"/>
      <c r="C626" s="244"/>
      <c r="D626" s="244"/>
      <c r="E626" s="244"/>
      <c r="F626" s="244"/>
      <c r="G626" s="244"/>
      <c r="H626" s="244"/>
      <c r="I626" s="244"/>
      <c r="J626" s="244"/>
      <c r="K626" s="244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</row>
    <row r="627" ht="14.25" customHeight="1">
      <c r="A627" s="244"/>
      <c r="B627" s="244"/>
      <c r="C627" s="244"/>
      <c r="D627" s="244"/>
      <c r="E627" s="244"/>
      <c r="F627" s="244"/>
      <c r="G627" s="244"/>
      <c r="H627" s="244"/>
      <c r="I627" s="244"/>
      <c r="J627" s="244"/>
      <c r="K627" s="244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</row>
    <row r="628" ht="14.25" customHeight="1">
      <c r="A628" s="244"/>
      <c r="B628" s="244"/>
      <c r="C628" s="244"/>
      <c r="D628" s="244"/>
      <c r="E628" s="244"/>
      <c r="F628" s="244"/>
      <c r="G628" s="244"/>
      <c r="H628" s="244"/>
      <c r="I628" s="244"/>
      <c r="J628" s="244"/>
      <c r="K628" s="244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</row>
    <row r="629" ht="14.25" customHeight="1">
      <c r="A629" s="244"/>
      <c r="B629" s="244"/>
      <c r="C629" s="244"/>
      <c r="D629" s="244"/>
      <c r="E629" s="244"/>
      <c r="F629" s="244"/>
      <c r="G629" s="244"/>
      <c r="H629" s="244"/>
      <c r="I629" s="244"/>
      <c r="J629" s="244"/>
      <c r="K629" s="244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</row>
    <row r="630" ht="14.25" customHeight="1">
      <c r="A630" s="244"/>
      <c r="B630" s="244"/>
      <c r="C630" s="244"/>
      <c r="D630" s="244"/>
      <c r="E630" s="244"/>
      <c r="F630" s="244"/>
      <c r="G630" s="244"/>
      <c r="H630" s="244"/>
      <c r="I630" s="244"/>
      <c r="J630" s="244"/>
      <c r="K630" s="244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</row>
    <row r="631" ht="14.25" customHeight="1">
      <c r="A631" s="244"/>
      <c r="B631" s="244"/>
      <c r="C631" s="244"/>
      <c r="D631" s="244"/>
      <c r="E631" s="244"/>
      <c r="F631" s="244"/>
      <c r="G631" s="244"/>
      <c r="H631" s="244"/>
      <c r="I631" s="244"/>
      <c r="J631" s="244"/>
      <c r="K631" s="244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</row>
    <row r="632" ht="14.25" customHeight="1">
      <c r="A632" s="244"/>
      <c r="B632" s="244"/>
      <c r="C632" s="244"/>
      <c r="D632" s="244"/>
      <c r="E632" s="244"/>
      <c r="F632" s="244"/>
      <c r="G632" s="244"/>
      <c r="H632" s="244"/>
      <c r="I632" s="244"/>
      <c r="J632" s="244"/>
      <c r="K632" s="244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</row>
    <row r="633" ht="14.25" customHeight="1">
      <c r="A633" s="244"/>
      <c r="B633" s="244"/>
      <c r="C633" s="244"/>
      <c r="D633" s="244"/>
      <c r="E633" s="244"/>
      <c r="F633" s="244"/>
      <c r="G633" s="244"/>
      <c r="H633" s="244"/>
      <c r="I633" s="244"/>
      <c r="J633" s="244"/>
      <c r="K633" s="244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</row>
    <row r="634" ht="14.25" customHeight="1">
      <c r="A634" s="244"/>
      <c r="B634" s="244"/>
      <c r="C634" s="244"/>
      <c r="D634" s="244"/>
      <c r="E634" s="244"/>
      <c r="F634" s="244"/>
      <c r="G634" s="244"/>
      <c r="H634" s="244"/>
      <c r="I634" s="244"/>
      <c r="J634" s="244"/>
      <c r="K634" s="244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</row>
    <row r="635" ht="14.25" customHeight="1">
      <c r="A635" s="244"/>
      <c r="B635" s="244"/>
      <c r="C635" s="244"/>
      <c r="D635" s="244"/>
      <c r="E635" s="244"/>
      <c r="F635" s="244"/>
      <c r="G635" s="244"/>
      <c r="H635" s="244"/>
      <c r="I635" s="244"/>
      <c r="J635" s="244"/>
      <c r="K635" s="244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</row>
    <row r="636" ht="14.25" customHeight="1">
      <c r="A636" s="244"/>
      <c r="B636" s="244"/>
      <c r="C636" s="244"/>
      <c r="D636" s="244"/>
      <c r="E636" s="244"/>
      <c r="F636" s="244"/>
      <c r="G636" s="244"/>
      <c r="H636" s="244"/>
      <c r="I636" s="244"/>
      <c r="J636" s="244"/>
      <c r="K636" s="244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</row>
    <row r="637" ht="14.25" customHeight="1">
      <c r="A637" s="244"/>
      <c r="B637" s="244"/>
      <c r="C637" s="244"/>
      <c r="D637" s="244"/>
      <c r="E637" s="244"/>
      <c r="F637" s="244"/>
      <c r="G637" s="244"/>
      <c r="H637" s="244"/>
      <c r="I637" s="244"/>
      <c r="J637" s="244"/>
      <c r="K637" s="244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</row>
    <row r="638" ht="14.25" customHeight="1">
      <c r="A638" s="244"/>
      <c r="B638" s="244"/>
      <c r="C638" s="244"/>
      <c r="D638" s="244"/>
      <c r="E638" s="244"/>
      <c r="F638" s="244"/>
      <c r="G638" s="244"/>
      <c r="H638" s="244"/>
      <c r="I638" s="244"/>
      <c r="J638" s="244"/>
      <c r="K638" s="244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</row>
    <row r="639" ht="14.25" customHeight="1">
      <c r="A639" s="244"/>
      <c r="B639" s="244"/>
      <c r="C639" s="244"/>
      <c r="D639" s="244"/>
      <c r="E639" s="244"/>
      <c r="F639" s="244"/>
      <c r="G639" s="244"/>
      <c r="H639" s="244"/>
      <c r="I639" s="244"/>
      <c r="J639" s="244"/>
      <c r="K639" s="244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</row>
    <row r="640" ht="14.25" customHeight="1">
      <c r="A640" s="244"/>
      <c r="B640" s="244"/>
      <c r="C640" s="244"/>
      <c r="D640" s="244"/>
      <c r="E640" s="244"/>
      <c r="F640" s="244"/>
      <c r="G640" s="244"/>
      <c r="H640" s="244"/>
      <c r="I640" s="244"/>
      <c r="J640" s="244"/>
      <c r="K640" s="244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</row>
    <row r="641" ht="14.25" customHeight="1">
      <c r="A641" s="244"/>
      <c r="B641" s="244"/>
      <c r="C641" s="244"/>
      <c r="D641" s="244"/>
      <c r="E641" s="244"/>
      <c r="F641" s="244"/>
      <c r="G641" s="244"/>
      <c r="H641" s="244"/>
      <c r="I641" s="244"/>
      <c r="J641" s="244"/>
      <c r="K641" s="244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</row>
    <row r="642" ht="14.25" customHeight="1">
      <c r="A642" s="244"/>
      <c r="B642" s="244"/>
      <c r="C642" s="244"/>
      <c r="D642" s="244"/>
      <c r="E642" s="244"/>
      <c r="F642" s="244"/>
      <c r="G642" s="244"/>
      <c r="H642" s="244"/>
      <c r="I642" s="244"/>
      <c r="J642" s="244"/>
      <c r="K642" s="244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</row>
    <row r="643" ht="14.25" customHeight="1">
      <c r="A643" s="244"/>
      <c r="B643" s="244"/>
      <c r="C643" s="244"/>
      <c r="D643" s="244"/>
      <c r="E643" s="244"/>
      <c r="F643" s="244"/>
      <c r="G643" s="244"/>
      <c r="H643" s="244"/>
      <c r="I643" s="244"/>
      <c r="J643" s="244"/>
      <c r="K643" s="244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</row>
    <row r="644" ht="14.25" customHeight="1">
      <c r="A644" s="244"/>
      <c r="B644" s="244"/>
      <c r="C644" s="244"/>
      <c r="D644" s="244"/>
      <c r="E644" s="244"/>
      <c r="F644" s="244"/>
      <c r="G644" s="244"/>
      <c r="H644" s="244"/>
      <c r="I644" s="244"/>
      <c r="J644" s="244"/>
      <c r="K644" s="244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</row>
    <row r="645" ht="14.25" customHeight="1">
      <c r="A645" s="244"/>
      <c r="B645" s="244"/>
      <c r="C645" s="244"/>
      <c r="D645" s="244"/>
      <c r="E645" s="244"/>
      <c r="F645" s="244"/>
      <c r="G645" s="244"/>
      <c r="H645" s="244"/>
      <c r="I645" s="244"/>
      <c r="J645" s="244"/>
      <c r="K645" s="244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</row>
    <row r="646" ht="14.25" customHeight="1">
      <c r="A646" s="244"/>
      <c r="B646" s="244"/>
      <c r="C646" s="244"/>
      <c r="D646" s="244"/>
      <c r="E646" s="244"/>
      <c r="F646" s="244"/>
      <c r="G646" s="244"/>
      <c r="H646" s="244"/>
      <c r="I646" s="244"/>
      <c r="J646" s="244"/>
      <c r="K646" s="244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</row>
    <row r="647" ht="14.25" customHeight="1">
      <c r="A647" s="244"/>
      <c r="B647" s="244"/>
      <c r="C647" s="244"/>
      <c r="D647" s="244"/>
      <c r="E647" s="244"/>
      <c r="F647" s="244"/>
      <c r="G647" s="244"/>
      <c r="H647" s="244"/>
      <c r="I647" s="244"/>
      <c r="J647" s="244"/>
      <c r="K647" s="244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</row>
    <row r="648" ht="14.25" customHeight="1">
      <c r="A648" s="244"/>
      <c r="B648" s="244"/>
      <c r="C648" s="244"/>
      <c r="D648" s="244"/>
      <c r="E648" s="244"/>
      <c r="F648" s="244"/>
      <c r="G648" s="244"/>
      <c r="H648" s="244"/>
      <c r="I648" s="244"/>
      <c r="J648" s="244"/>
      <c r="K648" s="244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</row>
    <row r="649" ht="14.25" customHeight="1">
      <c r="A649" s="244"/>
      <c r="B649" s="244"/>
      <c r="C649" s="244"/>
      <c r="D649" s="244"/>
      <c r="E649" s="244"/>
      <c r="F649" s="244"/>
      <c r="G649" s="244"/>
      <c r="H649" s="244"/>
      <c r="I649" s="244"/>
      <c r="J649" s="244"/>
      <c r="K649" s="244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</row>
    <row r="650" ht="14.25" customHeight="1">
      <c r="A650" s="244"/>
      <c r="B650" s="244"/>
      <c r="C650" s="244"/>
      <c r="D650" s="244"/>
      <c r="E650" s="244"/>
      <c r="F650" s="244"/>
      <c r="G650" s="244"/>
      <c r="H650" s="244"/>
      <c r="I650" s="244"/>
      <c r="J650" s="244"/>
      <c r="K650" s="244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</row>
    <row r="651" ht="14.25" customHeight="1">
      <c r="A651" s="244"/>
      <c r="B651" s="244"/>
      <c r="C651" s="244"/>
      <c r="D651" s="244"/>
      <c r="E651" s="244"/>
      <c r="F651" s="244"/>
      <c r="G651" s="244"/>
      <c r="H651" s="244"/>
      <c r="I651" s="244"/>
      <c r="J651" s="244"/>
      <c r="K651" s="244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</row>
    <row r="652" ht="14.25" customHeight="1">
      <c r="A652" s="244"/>
      <c r="B652" s="244"/>
      <c r="C652" s="244"/>
      <c r="D652" s="244"/>
      <c r="E652" s="244"/>
      <c r="F652" s="244"/>
      <c r="G652" s="244"/>
      <c r="H652" s="244"/>
      <c r="I652" s="244"/>
      <c r="J652" s="244"/>
      <c r="K652" s="244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</row>
    <row r="653" ht="14.25" customHeight="1">
      <c r="A653" s="244"/>
      <c r="B653" s="244"/>
      <c r="C653" s="244"/>
      <c r="D653" s="244"/>
      <c r="E653" s="244"/>
      <c r="F653" s="244"/>
      <c r="G653" s="244"/>
      <c r="H653" s="244"/>
      <c r="I653" s="244"/>
      <c r="J653" s="244"/>
      <c r="K653" s="244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</row>
    <row r="654" ht="14.25" customHeight="1">
      <c r="A654" s="244"/>
      <c r="B654" s="244"/>
      <c r="C654" s="244"/>
      <c r="D654" s="244"/>
      <c r="E654" s="244"/>
      <c r="F654" s="244"/>
      <c r="G654" s="244"/>
      <c r="H654" s="244"/>
      <c r="I654" s="244"/>
      <c r="J654" s="244"/>
      <c r="K654" s="244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</row>
    <row r="655" ht="14.25" customHeight="1">
      <c r="A655" s="244"/>
      <c r="B655" s="244"/>
      <c r="C655" s="244"/>
      <c r="D655" s="244"/>
      <c r="E655" s="244"/>
      <c r="F655" s="244"/>
      <c r="G655" s="244"/>
      <c r="H655" s="244"/>
      <c r="I655" s="244"/>
      <c r="J655" s="244"/>
      <c r="K655" s="244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</row>
    <row r="656" ht="14.25" customHeight="1">
      <c r="A656" s="244"/>
      <c r="B656" s="244"/>
      <c r="C656" s="244"/>
      <c r="D656" s="244"/>
      <c r="E656" s="244"/>
      <c r="F656" s="244"/>
      <c r="G656" s="244"/>
      <c r="H656" s="244"/>
      <c r="I656" s="244"/>
      <c r="J656" s="244"/>
      <c r="K656" s="244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</row>
    <row r="657" ht="14.25" customHeight="1">
      <c r="A657" s="244"/>
      <c r="B657" s="244"/>
      <c r="C657" s="244"/>
      <c r="D657" s="244"/>
      <c r="E657" s="244"/>
      <c r="F657" s="244"/>
      <c r="G657" s="244"/>
      <c r="H657" s="244"/>
      <c r="I657" s="244"/>
      <c r="J657" s="244"/>
      <c r="K657" s="244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</row>
    <row r="658" ht="14.25" customHeight="1">
      <c r="A658" s="244"/>
      <c r="B658" s="244"/>
      <c r="C658" s="244"/>
      <c r="D658" s="244"/>
      <c r="E658" s="244"/>
      <c r="F658" s="244"/>
      <c r="G658" s="244"/>
      <c r="H658" s="244"/>
      <c r="I658" s="244"/>
      <c r="J658" s="244"/>
      <c r="K658" s="244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</row>
    <row r="659" ht="14.25" customHeight="1">
      <c r="A659" s="244"/>
      <c r="B659" s="244"/>
      <c r="C659" s="244"/>
      <c r="D659" s="244"/>
      <c r="E659" s="244"/>
      <c r="F659" s="244"/>
      <c r="G659" s="244"/>
      <c r="H659" s="244"/>
      <c r="I659" s="244"/>
      <c r="J659" s="244"/>
      <c r="K659" s="244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</row>
    <row r="660" ht="14.25" customHeight="1">
      <c r="A660" s="244"/>
      <c r="B660" s="244"/>
      <c r="C660" s="244"/>
      <c r="D660" s="244"/>
      <c r="E660" s="244"/>
      <c r="F660" s="244"/>
      <c r="G660" s="244"/>
      <c r="H660" s="244"/>
      <c r="I660" s="244"/>
      <c r="J660" s="244"/>
      <c r="K660" s="244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</row>
    <row r="661" ht="14.25" customHeight="1">
      <c r="A661" s="244"/>
      <c r="B661" s="244"/>
      <c r="C661" s="244"/>
      <c r="D661" s="244"/>
      <c r="E661" s="244"/>
      <c r="F661" s="244"/>
      <c r="G661" s="244"/>
      <c r="H661" s="244"/>
      <c r="I661" s="244"/>
      <c r="J661" s="244"/>
      <c r="K661" s="244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</row>
    <row r="662" ht="14.25" customHeight="1">
      <c r="A662" s="244"/>
      <c r="B662" s="244"/>
      <c r="C662" s="244"/>
      <c r="D662" s="244"/>
      <c r="E662" s="244"/>
      <c r="F662" s="244"/>
      <c r="G662" s="244"/>
      <c r="H662" s="244"/>
      <c r="I662" s="244"/>
      <c r="J662" s="244"/>
      <c r="K662" s="244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</row>
    <row r="663" ht="14.25" customHeight="1">
      <c r="A663" s="244"/>
      <c r="B663" s="244"/>
      <c r="C663" s="244"/>
      <c r="D663" s="244"/>
      <c r="E663" s="244"/>
      <c r="F663" s="244"/>
      <c r="G663" s="244"/>
      <c r="H663" s="244"/>
      <c r="I663" s="244"/>
      <c r="J663" s="244"/>
      <c r="K663" s="244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</row>
    <row r="664" ht="14.25" customHeight="1">
      <c r="A664" s="244"/>
      <c r="B664" s="244"/>
      <c r="C664" s="244"/>
      <c r="D664" s="244"/>
      <c r="E664" s="244"/>
      <c r="F664" s="244"/>
      <c r="G664" s="244"/>
      <c r="H664" s="244"/>
      <c r="I664" s="244"/>
      <c r="J664" s="244"/>
      <c r="K664" s="244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</row>
    <row r="665" ht="14.25" customHeight="1">
      <c r="A665" s="244"/>
      <c r="B665" s="244"/>
      <c r="C665" s="244"/>
      <c r="D665" s="244"/>
      <c r="E665" s="244"/>
      <c r="F665" s="244"/>
      <c r="G665" s="244"/>
      <c r="H665" s="244"/>
      <c r="I665" s="244"/>
      <c r="J665" s="244"/>
      <c r="K665" s="244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</row>
    <row r="666" ht="14.25" customHeight="1">
      <c r="A666" s="244"/>
      <c r="B666" s="244"/>
      <c r="C666" s="244"/>
      <c r="D666" s="244"/>
      <c r="E666" s="244"/>
      <c r="F666" s="244"/>
      <c r="G666" s="244"/>
      <c r="H666" s="244"/>
      <c r="I666" s="244"/>
      <c r="J666" s="244"/>
      <c r="K666" s="244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</row>
    <row r="667" ht="14.25" customHeight="1">
      <c r="A667" s="244"/>
      <c r="B667" s="244"/>
      <c r="C667" s="244"/>
      <c r="D667" s="244"/>
      <c r="E667" s="244"/>
      <c r="F667" s="244"/>
      <c r="G667" s="244"/>
      <c r="H667" s="244"/>
      <c r="I667" s="244"/>
      <c r="J667" s="244"/>
      <c r="K667" s="244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</row>
    <row r="668" ht="14.25" customHeight="1">
      <c r="A668" s="244"/>
      <c r="B668" s="244"/>
      <c r="C668" s="244"/>
      <c r="D668" s="244"/>
      <c r="E668" s="244"/>
      <c r="F668" s="244"/>
      <c r="G668" s="244"/>
      <c r="H668" s="244"/>
      <c r="I668" s="244"/>
      <c r="J668" s="244"/>
      <c r="K668" s="244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</row>
    <row r="669" ht="14.25" customHeight="1">
      <c r="A669" s="244"/>
      <c r="B669" s="244"/>
      <c r="C669" s="244"/>
      <c r="D669" s="244"/>
      <c r="E669" s="244"/>
      <c r="F669" s="244"/>
      <c r="G669" s="244"/>
      <c r="H669" s="244"/>
      <c r="I669" s="244"/>
      <c r="J669" s="244"/>
      <c r="K669" s="244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</row>
    <row r="670" ht="14.25" customHeight="1">
      <c r="A670" s="244"/>
      <c r="B670" s="244"/>
      <c r="C670" s="244"/>
      <c r="D670" s="244"/>
      <c r="E670" s="244"/>
      <c r="F670" s="244"/>
      <c r="G670" s="244"/>
      <c r="H670" s="244"/>
      <c r="I670" s="244"/>
      <c r="J670" s="244"/>
      <c r="K670" s="244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</row>
    <row r="671" ht="14.25" customHeight="1">
      <c r="A671" s="244"/>
      <c r="B671" s="244"/>
      <c r="C671" s="244"/>
      <c r="D671" s="244"/>
      <c r="E671" s="244"/>
      <c r="F671" s="244"/>
      <c r="G671" s="244"/>
      <c r="H671" s="244"/>
      <c r="I671" s="244"/>
      <c r="J671" s="244"/>
      <c r="K671" s="244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</row>
    <row r="672" ht="14.25" customHeight="1">
      <c r="A672" s="244"/>
      <c r="B672" s="244"/>
      <c r="C672" s="244"/>
      <c r="D672" s="244"/>
      <c r="E672" s="244"/>
      <c r="F672" s="244"/>
      <c r="G672" s="244"/>
      <c r="H672" s="244"/>
      <c r="I672" s="244"/>
      <c r="J672" s="244"/>
      <c r="K672" s="244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</row>
    <row r="673" ht="14.25" customHeight="1">
      <c r="A673" s="244"/>
      <c r="B673" s="244"/>
      <c r="C673" s="244"/>
      <c r="D673" s="244"/>
      <c r="E673" s="244"/>
      <c r="F673" s="244"/>
      <c r="G673" s="244"/>
      <c r="H673" s="244"/>
      <c r="I673" s="244"/>
      <c r="J673" s="244"/>
      <c r="K673" s="244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</row>
    <row r="674" ht="14.25" customHeight="1">
      <c r="A674" s="244"/>
      <c r="B674" s="244"/>
      <c r="C674" s="244"/>
      <c r="D674" s="244"/>
      <c r="E674" s="244"/>
      <c r="F674" s="244"/>
      <c r="G674" s="244"/>
      <c r="H674" s="244"/>
      <c r="I674" s="244"/>
      <c r="J674" s="244"/>
      <c r="K674" s="244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</row>
    <row r="675" ht="14.25" customHeight="1">
      <c r="A675" s="244"/>
      <c r="B675" s="244"/>
      <c r="C675" s="244"/>
      <c r="D675" s="244"/>
      <c r="E675" s="244"/>
      <c r="F675" s="244"/>
      <c r="G675" s="244"/>
      <c r="H675" s="244"/>
      <c r="I675" s="244"/>
      <c r="J675" s="244"/>
      <c r="K675" s="244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</row>
    <row r="676" ht="14.25" customHeight="1">
      <c r="A676" s="244"/>
      <c r="B676" s="244"/>
      <c r="C676" s="244"/>
      <c r="D676" s="244"/>
      <c r="E676" s="244"/>
      <c r="F676" s="244"/>
      <c r="G676" s="244"/>
      <c r="H676" s="244"/>
      <c r="I676" s="244"/>
      <c r="J676" s="244"/>
      <c r="K676" s="244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</row>
    <row r="677" ht="14.25" customHeight="1">
      <c r="A677" s="244"/>
      <c r="B677" s="244"/>
      <c r="C677" s="244"/>
      <c r="D677" s="244"/>
      <c r="E677" s="244"/>
      <c r="F677" s="244"/>
      <c r="G677" s="244"/>
      <c r="H677" s="244"/>
      <c r="I677" s="244"/>
      <c r="J677" s="244"/>
      <c r="K677" s="244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</row>
    <row r="678" ht="14.25" customHeight="1">
      <c r="A678" s="244"/>
      <c r="B678" s="244"/>
      <c r="C678" s="244"/>
      <c r="D678" s="244"/>
      <c r="E678" s="244"/>
      <c r="F678" s="244"/>
      <c r="G678" s="244"/>
      <c r="H678" s="244"/>
      <c r="I678" s="244"/>
      <c r="J678" s="244"/>
      <c r="K678" s="244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</row>
    <row r="679" ht="14.25" customHeight="1">
      <c r="A679" s="244"/>
      <c r="B679" s="244"/>
      <c r="C679" s="244"/>
      <c r="D679" s="244"/>
      <c r="E679" s="244"/>
      <c r="F679" s="244"/>
      <c r="G679" s="244"/>
      <c r="H679" s="244"/>
      <c r="I679" s="244"/>
      <c r="J679" s="244"/>
      <c r="K679" s="244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</row>
    <row r="680" ht="14.25" customHeight="1">
      <c r="A680" s="244"/>
      <c r="B680" s="244"/>
      <c r="C680" s="244"/>
      <c r="D680" s="244"/>
      <c r="E680" s="244"/>
      <c r="F680" s="244"/>
      <c r="G680" s="244"/>
      <c r="H680" s="244"/>
      <c r="I680" s="244"/>
      <c r="J680" s="244"/>
      <c r="K680" s="244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</row>
    <row r="681" ht="14.25" customHeight="1">
      <c r="A681" s="244"/>
      <c r="B681" s="244"/>
      <c r="C681" s="244"/>
      <c r="D681" s="244"/>
      <c r="E681" s="244"/>
      <c r="F681" s="244"/>
      <c r="G681" s="244"/>
      <c r="H681" s="244"/>
      <c r="I681" s="244"/>
      <c r="J681" s="244"/>
      <c r="K681" s="244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</row>
    <row r="682" ht="14.25" customHeight="1">
      <c r="A682" s="244"/>
      <c r="B682" s="244"/>
      <c r="C682" s="244"/>
      <c r="D682" s="244"/>
      <c r="E682" s="244"/>
      <c r="F682" s="244"/>
      <c r="G682" s="244"/>
      <c r="H682" s="244"/>
      <c r="I682" s="244"/>
      <c r="J682" s="244"/>
      <c r="K682" s="244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</row>
    <row r="683" ht="14.25" customHeight="1">
      <c r="A683" s="244"/>
      <c r="B683" s="244"/>
      <c r="C683" s="244"/>
      <c r="D683" s="244"/>
      <c r="E683" s="244"/>
      <c r="F683" s="244"/>
      <c r="G683" s="244"/>
      <c r="H683" s="244"/>
      <c r="I683" s="244"/>
      <c r="J683" s="244"/>
      <c r="K683" s="244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</row>
    <row r="684" ht="14.25" customHeight="1">
      <c r="A684" s="244"/>
      <c r="B684" s="244"/>
      <c r="C684" s="244"/>
      <c r="D684" s="244"/>
      <c r="E684" s="244"/>
      <c r="F684" s="244"/>
      <c r="G684" s="244"/>
      <c r="H684" s="244"/>
      <c r="I684" s="244"/>
      <c r="J684" s="244"/>
      <c r="K684" s="244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</row>
    <row r="685" ht="14.25" customHeight="1">
      <c r="A685" s="244"/>
      <c r="B685" s="244"/>
      <c r="C685" s="244"/>
      <c r="D685" s="244"/>
      <c r="E685" s="244"/>
      <c r="F685" s="244"/>
      <c r="G685" s="244"/>
      <c r="H685" s="244"/>
      <c r="I685" s="244"/>
      <c r="J685" s="244"/>
      <c r="K685" s="244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</row>
    <row r="686" ht="14.25" customHeight="1">
      <c r="A686" s="244"/>
      <c r="B686" s="244"/>
      <c r="C686" s="244"/>
      <c r="D686" s="244"/>
      <c r="E686" s="244"/>
      <c r="F686" s="244"/>
      <c r="G686" s="244"/>
      <c r="H686" s="244"/>
      <c r="I686" s="244"/>
      <c r="J686" s="244"/>
      <c r="K686" s="244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</row>
    <row r="687" ht="14.25" customHeight="1">
      <c r="A687" s="244"/>
      <c r="B687" s="244"/>
      <c r="C687" s="244"/>
      <c r="D687" s="244"/>
      <c r="E687" s="244"/>
      <c r="F687" s="244"/>
      <c r="G687" s="244"/>
      <c r="H687" s="244"/>
      <c r="I687" s="244"/>
      <c r="J687" s="244"/>
      <c r="K687" s="244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</row>
    <row r="688" ht="14.25" customHeight="1">
      <c r="A688" s="244"/>
      <c r="B688" s="244"/>
      <c r="C688" s="244"/>
      <c r="D688" s="244"/>
      <c r="E688" s="244"/>
      <c r="F688" s="244"/>
      <c r="G688" s="244"/>
      <c r="H688" s="244"/>
      <c r="I688" s="244"/>
      <c r="J688" s="244"/>
      <c r="K688" s="244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</row>
    <row r="689" ht="14.25" customHeight="1">
      <c r="A689" s="244"/>
      <c r="B689" s="244"/>
      <c r="C689" s="244"/>
      <c r="D689" s="244"/>
      <c r="E689" s="244"/>
      <c r="F689" s="244"/>
      <c r="G689" s="244"/>
      <c r="H689" s="244"/>
      <c r="I689" s="244"/>
      <c r="J689" s="244"/>
      <c r="K689" s="244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</row>
    <row r="690" ht="14.25" customHeight="1">
      <c r="A690" s="244"/>
      <c r="B690" s="244"/>
      <c r="C690" s="244"/>
      <c r="D690" s="244"/>
      <c r="E690" s="244"/>
      <c r="F690" s="244"/>
      <c r="G690" s="244"/>
      <c r="H690" s="244"/>
      <c r="I690" s="244"/>
      <c r="J690" s="244"/>
      <c r="K690" s="244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</row>
    <row r="691" ht="14.25" customHeight="1">
      <c r="A691" s="244"/>
      <c r="B691" s="244"/>
      <c r="C691" s="244"/>
      <c r="D691" s="244"/>
      <c r="E691" s="244"/>
      <c r="F691" s="244"/>
      <c r="G691" s="244"/>
      <c r="H691" s="244"/>
      <c r="I691" s="244"/>
      <c r="J691" s="244"/>
      <c r="K691" s="244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</row>
    <row r="692" ht="14.25" customHeight="1">
      <c r="A692" s="244"/>
      <c r="B692" s="244"/>
      <c r="C692" s="244"/>
      <c r="D692" s="244"/>
      <c r="E692" s="244"/>
      <c r="F692" s="244"/>
      <c r="G692" s="244"/>
      <c r="H692" s="244"/>
      <c r="I692" s="244"/>
      <c r="J692" s="244"/>
      <c r="K692" s="244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</row>
    <row r="693" ht="14.25" customHeight="1">
      <c r="A693" s="244"/>
      <c r="B693" s="244"/>
      <c r="C693" s="244"/>
      <c r="D693" s="244"/>
      <c r="E693" s="244"/>
      <c r="F693" s="244"/>
      <c r="G693" s="244"/>
      <c r="H693" s="244"/>
      <c r="I693" s="244"/>
      <c r="J693" s="244"/>
      <c r="K693" s="244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</row>
    <row r="694" ht="14.25" customHeight="1">
      <c r="A694" s="244"/>
      <c r="B694" s="244"/>
      <c r="C694" s="244"/>
      <c r="D694" s="244"/>
      <c r="E694" s="244"/>
      <c r="F694" s="244"/>
      <c r="G694" s="244"/>
      <c r="H694" s="244"/>
      <c r="I694" s="244"/>
      <c r="J694" s="244"/>
      <c r="K694" s="244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</row>
    <row r="695" ht="14.25" customHeight="1">
      <c r="A695" s="244"/>
      <c r="B695" s="244"/>
      <c r="C695" s="244"/>
      <c r="D695" s="244"/>
      <c r="E695" s="244"/>
      <c r="F695" s="244"/>
      <c r="G695" s="244"/>
      <c r="H695" s="244"/>
      <c r="I695" s="244"/>
      <c r="J695" s="244"/>
      <c r="K695" s="244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</row>
    <row r="696" ht="14.25" customHeight="1">
      <c r="A696" s="244"/>
      <c r="B696" s="244"/>
      <c r="C696" s="244"/>
      <c r="D696" s="244"/>
      <c r="E696" s="244"/>
      <c r="F696" s="244"/>
      <c r="G696" s="244"/>
      <c r="H696" s="244"/>
      <c r="I696" s="244"/>
      <c r="J696" s="244"/>
      <c r="K696" s="244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</row>
    <row r="697" ht="14.25" customHeight="1">
      <c r="A697" s="244"/>
      <c r="B697" s="244"/>
      <c r="C697" s="244"/>
      <c r="D697" s="244"/>
      <c r="E697" s="244"/>
      <c r="F697" s="244"/>
      <c r="G697" s="244"/>
      <c r="H697" s="244"/>
      <c r="I697" s="244"/>
      <c r="J697" s="244"/>
      <c r="K697" s="244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</row>
    <row r="698" ht="14.25" customHeight="1">
      <c r="A698" s="244"/>
      <c r="B698" s="244"/>
      <c r="C698" s="244"/>
      <c r="D698" s="244"/>
      <c r="E698" s="244"/>
      <c r="F698" s="244"/>
      <c r="G698" s="244"/>
      <c r="H698" s="244"/>
      <c r="I698" s="244"/>
      <c r="J698" s="244"/>
      <c r="K698" s="244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</row>
    <row r="699" ht="14.25" customHeight="1">
      <c r="A699" s="244"/>
      <c r="B699" s="244"/>
      <c r="C699" s="244"/>
      <c r="D699" s="244"/>
      <c r="E699" s="244"/>
      <c r="F699" s="244"/>
      <c r="G699" s="244"/>
      <c r="H699" s="244"/>
      <c r="I699" s="244"/>
      <c r="J699" s="244"/>
      <c r="K699" s="244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</row>
    <row r="700" ht="14.25" customHeight="1">
      <c r="A700" s="244"/>
      <c r="B700" s="244"/>
      <c r="C700" s="244"/>
      <c r="D700" s="244"/>
      <c r="E700" s="244"/>
      <c r="F700" s="244"/>
      <c r="G700" s="244"/>
      <c r="H700" s="244"/>
      <c r="I700" s="244"/>
      <c r="J700" s="244"/>
      <c r="K700" s="244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</row>
    <row r="701" ht="14.25" customHeight="1">
      <c r="A701" s="244"/>
      <c r="B701" s="244"/>
      <c r="C701" s="244"/>
      <c r="D701" s="244"/>
      <c r="E701" s="244"/>
      <c r="F701" s="244"/>
      <c r="G701" s="244"/>
      <c r="H701" s="244"/>
      <c r="I701" s="244"/>
      <c r="J701" s="244"/>
      <c r="K701" s="244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</row>
    <row r="702" ht="14.25" customHeight="1">
      <c r="A702" s="244"/>
      <c r="B702" s="244"/>
      <c r="C702" s="244"/>
      <c r="D702" s="244"/>
      <c r="E702" s="244"/>
      <c r="F702" s="244"/>
      <c r="G702" s="244"/>
      <c r="H702" s="244"/>
      <c r="I702" s="244"/>
      <c r="J702" s="244"/>
      <c r="K702" s="244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</row>
    <row r="703" ht="14.25" customHeight="1">
      <c r="A703" s="244"/>
      <c r="B703" s="244"/>
      <c r="C703" s="244"/>
      <c r="D703" s="244"/>
      <c r="E703" s="244"/>
      <c r="F703" s="244"/>
      <c r="G703" s="244"/>
      <c r="H703" s="244"/>
      <c r="I703" s="244"/>
      <c r="J703" s="244"/>
      <c r="K703" s="244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</row>
    <row r="704" ht="14.25" customHeight="1">
      <c r="A704" s="244"/>
      <c r="B704" s="244"/>
      <c r="C704" s="244"/>
      <c r="D704" s="244"/>
      <c r="E704" s="244"/>
      <c r="F704" s="244"/>
      <c r="G704" s="244"/>
      <c r="H704" s="244"/>
      <c r="I704" s="244"/>
      <c r="J704" s="244"/>
      <c r="K704" s="244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</row>
    <row r="705" ht="14.25" customHeight="1">
      <c r="A705" s="244"/>
      <c r="B705" s="244"/>
      <c r="C705" s="244"/>
      <c r="D705" s="244"/>
      <c r="E705" s="244"/>
      <c r="F705" s="244"/>
      <c r="G705" s="244"/>
      <c r="H705" s="244"/>
      <c r="I705" s="244"/>
      <c r="J705" s="244"/>
      <c r="K705" s="244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</row>
    <row r="706" ht="14.25" customHeight="1">
      <c r="A706" s="244"/>
      <c r="B706" s="244"/>
      <c r="C706" s="244"/>
      <c r="D706" s="244"/>
      <c r="E706" s="244"/>
      <c r="F706" s="244"/>
      <c r="G706" s="244"/>
      <c r="H706" s="244"/>
      <c r="I706" s="244"/>
      <c r="J706" s="244"/>
      <c r="K706" s="244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</row>
    <row r="707" ht="14.25" customHeight="1">
      <c r="A707" s="244"/>
      <c r="B707" s="244"/>
      <c r="C707" s="244"/>
      <c r="D707" s="244"/>
      <c r="E707" s="244"/>
      <c r="F707" s="244"/>
      <c r="G707" s="244"/>
      <c r="H707" s="244"/>
      <c r="I707" s="244"/>
      <c r="J707" s="244"/>
      <c r="K707" s="244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</row>
    <row r="708" ht="14.25" customHeight="1">
      <c r="A708" s="244"/>
      <c r="B708" s="244"/>
      <c r="C708" s="244"/>
      <c r="D708" s="244"/>
      <c r="E708" s="244"/>
      <c r="F708" s="244"/>
      <c r="G708" s="244"/>
      <c r="H708" s="244"/>
      <c r="I708" s="244"/>
      <c r="J708" s="244"/>
      <c r="K708" s="244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</row>
    <row r="709" ht="14.25" customHeight="1">
      <c r="A709" s="244"/>
      <c r="B709" s="244"/>
      <c r="C709" s="244"/>
      <c r="D709" s="244"/>
      <c r="E709" s="244"/>
      <c r="F709" s="244"/>
      <c r="G709" s="244"/>
      <c r="H709" s="244"/>
      <c r="I709" s="244"/>
      <c r="J709" s="244"/>
      <c r="K709" s="244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</row>
    <row r="710" ht="14.25" customHeight="1">
      <c r="A710" s="244"/>
      <c r="B710" s="244"/>
      <c r="C710" s="244"/>
      <c r="D710" s="244"/>
      <c r="E710" s="244"/>
      <c r="F710" s="244"/>
      <c r="G710" s="244"/>
      <c r="H710" s="244"/>
      <c r="I710" s="244"/>
      <c r="J710" s="244"/>
      <c r="K710" s="244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</row>
    <row r="711" ht="14.25" customHeight="1">
      <c r="A711" s="244"/>
      <c r="B711" s="244"/>
      <c r="C711" s="244"/>
      <c r="D711" s="244"/>
      <c r="E711" s="244"/>
      <c r="F711" s="244"/>
      <c r="G711" s="244"/>
      <c r="H711" s="244"/>
      <c r="I711" s="244"/>
      <c r="J711" s="244"/>
      <c r="K711" s="244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</row>
    <row r="712" ht="14.25" customHeight="1">
      <c r="A712" s="244"/>
      <c r="B712" s="244"/>
      <c r="C712" s="244"/>
      <c r="D712" s="244"/>
      <c r="E712" s="244"/>
      <c r="F712" s="244"/>
      <c r="G712" s="244"/>
      <c r="H712" s="244"/>
      <c r="I712" s="244"/>
      <c r="J712" s="244"/>
      <c r="K712" s="244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</row>
    <row r="713" ht="14.25" customHeight="1">
      <c r="A713" s="244"/>
      <c r="B713" s="244"/>
      <c r="C713" s="244"/>
      <c r="D713" s="244"/>
      <c r="E713" s="244"/>
      <c r="F713" s="244"/>
      <c r="G713" s="244"/>
      <c r="H713" s="244"/>
      <c r="I713" s="244"/>
      <c r="J713" s="244"/>
      <c r="K713" s="244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</row>
    <row r="714" ht="14.25" customHeight="1">
      <c r="A714" s="244"/>
      <c r="B714" s="244"/>
      <c r="C714" s="244"/>
      <c r="D714" s="244"/>
      <c r="E714" s="244"/>
      <c r="F714" s="244"/>
      <c r="G714" s="244"/>
      <c r="H714" s="244"/>
      <c r="I714" s="244"/>
      <c r="J714" s="244"/>
      <c r="K714" s="244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</row>
    <row r="715" ht="14.25" customHeight="1">
      <c r="A715" s="244"/>
      <c r="B715" s="244"/>
      <c r="C715" s="244"/>
      <c r="D715" s="244"/>
      <c r="E715" s="244"/>
      <c r="F715" s="244"/>
      <c r="G715" s="244"/>
      <c r="H715" s="244"/>
      <c r="I715" s="244"/>
      <c r="J715" s="244"/>
      <c r="K715" s="244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</row>
    <row r="716" ht="14.25" customHeight="1">
      <c r="A716" s="244"/>
      <c r="B716" s="244"/>
      <c r="C716" s="244"/>
      <c r="D716" s="244"/>
      <c r="E716" s="244"/>
      <c r="F716" s="244"/>
      <c r="G716" s="244"/>
      <c r="H716" s="244"/>
      <c r="I716" s="244"/>
      <c r="J716" s="244"/>
      <c r="K716" s="244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</row>
    <row r="717" ht="14.25" customHeight="1">
      <c r="A717" s="244"/>
      <c r="B717" s="244"/>
      <c r="C717" s="244"/>
      <c r="D717" s="244"/>
      <c r="E717" s="244"/>
      <c r="F717" s="244"/>
      <c r="G717" s="244"/>
      <c r="H717" s="244"/>
      <c r="I717" s="244"/>
      <c r="J717" s="244"/>
      <c r="K717" s="244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</row>
    <row r="718" ht="14.25" customHeight="1">
      <c r="A718" s="244"/>
      <c r="B718" s="244"/>
      <c r="C718" s="244"/>
      <c r="D718" s="244"/>
      <c r="E718" s="244"/>
      <c r="F718" s="244"/>
      <c r="G718" s="244"/>
      <c r="H718" s="244"/>
      <c r="I718" s="244"/>
      <c r="J718" s="244"/>
      <c r="K718" s="244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</row>
    <row r="719" ht="14.25" customHeight="1">
      <c r="A719" s="244"/>
      <c r="B719" s="244"/>
      <c r="C719" s="244"/>
      <c r="D719" s="244"/>
      <c r="E719" s="244"/>
      <c r="F719" s="244"/>
      <c r="G719" s="244"/>
      <c r="H719" s="244"/>
      <c r="I719" s="244"/>
      <c r="J719" s="244"/>
      <c r="K719" s="244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</row>
    <row r="720" ht="14.25" customHeight="1">
      <c r="A720" s="244"/>
      <c r="B720" s="244"/>
      <c r="C720" s="244"/>
      <c r="D720" s="244"/>
      <c r="E720" s="244"/>
      <c r="F720" s="244"/>
      <c r="G720" s="244"/>
      <c r="H720" s="244"/>
      <c r="I720" s="244"/>
      <c r="J720" s="244"/>
      <c r="K720" s="244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</row>
    <row r="721" ht="14.25" customHeight="1">
      <c r="A721" s="244"/>
      <c r="B721" s="244"/>
      <c r="C721" s="244"/>
      <c r="D721" s="244"/>
      <c r="E721" s="244"/>
      <c r="F721" s="244"/>
      <c r="G721" s="244"/>
      <c r="H721" s="244"/>
      <c r="I721" s="244"/>
      <c r="J721" s="244"/>
      <c r="K721" s="244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</row>
    <row r="722" ht="14.25" customHeight="1">
      <c r="A722" s="244"/>
      <c r="B722" s="244"/>
      <c r="C722" s="244"/>
      <c r="D722" s="244"/>
      <c r="E722" s="244"/>
      <c r="F722" s="244"/>
      <c r="G722" s="244"/>
      <c r="H722" s="244"/>
      <c r="I722" s="244"/>
      <c r="J722" s="244"/>
      <c r="K722" s="244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</row>
    <row r="723" ht="14.25" customHeight="1">
      <c r="A723" s="244"/>
      <c r="B723" s="244"/>
      <c r="C723" s="244"/>
      <c r="D723" s="244"/>
      <c r="E723" s="244"/>
      <c r="F723" s="244"/>
      <c r="G723" s="244"/>
      <c r="H723" s="244"/>
      <c r="I723" s="244"/>
      <c r="J723" s="244"/>
      <c r="K723" s="244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</row>
    <row r="724" ht="14.25" customHeight="1">
      <c r="A724" s="244"/>
      <c r="B724" s="244"/>
      <c r="C724" s="244"/>
      <c r="D724" s="244"/>
      <c r="E724" s="244"/>
      <c r="F724" s="244"/>
      <c r="G724" s="244"/>
      <c r="H724" s="244"/>
      <c r="I724" s="244"/>
      <c r="J724" s="244"/>
      <c r="K724" s="244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</row>
    <row r="725" ht="14.25" customHeight="1">
      <c r="A725" s="244"/>
      <c r="B725" s="244"/>
      <c r="C725" s="244"/>
      <c r="D725" s="244"/>
      <c r="E725" s="244"/>
      <c r="F725" s="244"/>
      <c r="G725" s="244"/>
      <c r="H725" s="244"/>
      <c r="I725" s="244"/>
      <c r="J725" s="244"/>
      <c r="K725" s="244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</row>
    <row r="726" ht="14.25" customHeight="1">
      <c r="A726" s="244"/>
      <c r="B726" s="244"/>
      <c r="C726" s="244"/>
      <c r="D726" s="244"/>
      <c r="E726" s="244"/>
      <c r="F726" s="244"/>
      <c r="G726" s="244"/>
      <c r="H726" s="244"/>
      <c r="I726" s="244"/>
      <c r="J726" s="244"/>
      <c r="K726" s="244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</row>
    <row r="727" ht="14.25" customHeight="1">
      <c r="A727" s="244"/>
      <c r="B727" s="244"/>
      <c r="C727" s="244"/>
      <c r="D727" s="244"/>
      <c r="E727" s="244"/>
      <c r="F727" s="244"/>
      <c r="G727" s="244"/>
      <c r="H727" s="244"/>
      <c r="I727" s="244"/>
      <c r="J727" s="244"/>
      <c r="K727" s="244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</row>
    <row r="728" ht="14.25" customHeight="1">
      <c r="A728" s="244"/>
      <c r="B728" s="244"/>
      <c r="C728" s="244"/>
      <c r="D728" s="244"/>
      <c r="E728" s="244"/>
      <c r="F728" s="244"/>
      <c r="G728" s="244"/>
      <c r="H728" s="244"/>
      <c r="I728" s="244"/>
      <c r="J728" s="244"/>
      <c r="K728" s="244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</row>
    <row r="729" ht="14.25" customHeight="1">
      <c r="A729" s="244"/>
      <c r="B729" s="244"/>
      <c r="C729" s="244"/>
      <c r="D729" s="244"/>
      <c r="E729" s="244"/>
      <c r="F729" s="244"/>
      <c r="G729" s="244"/>
      <c r="H729" s="244"/>
      <c r="I729" s="244"/>
      <c r="J729" s="244"/>
      <c r="K729" s="244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</row>
    <row r="730" ht="14.25" customHeight="1">
      <c r="A730" s="244"/>
      <c r="B730" s="244"/>
      <c r="C730" s="244"/>
      <c r="D730" s="244"/>
      <c r="E730" s="244"/>
      <c r="F730" s="244"/>
      <c r="G730" s="244"/>
      <c r="H730" s="244"/>
      <c r="I730" s="244"/>
      <c r="J730" s="244"/>
      <c r="K730" s="244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</row>
    <row r="731" ht="14.25" customHeight="1">
      <c r="A731" s="244"/>
      <c r="B731" s="244"/>
      <c r="C731" s="244"/>
      <c r="D731" s="244"/>
      <c r="E731" s="244"/>
      <c r="F731" s="244"/>
      <c r="G731" s="244"/>
      <c r="H731" s="244"/>
      <c r="I731" s="244"/>
      <c r="J731" s="244"/>
      <c r="K731" s="244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</row>
    <row r="732" ht="14.25" customHeight="1">
      <c r="A732" s="244"/>
      <c r="B732" s="244"/>
      <c r="C732" s="244"/>
      <c r="D732" s="244"/>
      <c r="E732" s="244"/>
      <c r="F732" s="244"/>
      <c r="G732" s="244"/>
      <c r="H732" s="244"/>
      <c r="I732" s="244"/>
      <c r="J732" s="244"/>
      <c r="K732" s="244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</row>
    <row r="733" ht="14.25" customHeight="1">
      <c r="A733" s="244"/>
      <c r="B733" s="244"/>
      <c r="C733" s="244"/>
      <c r="D733" s="244"/>
      <c r="E733" s="244"/>
      <c r="F733" s="244"/>
      <c r="G733" s="244"/>
      <c r="H733" s="244"/>
      <c r="I733" s="244"/>
      <c r="J733" s="244"/>
      <c r="K733" s="244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</row>
    <row r="734" ht="14.25" customHeight="1">
      <c r="A734" s="244"/>
      <c r="B734" s="244"/>
      <c r="C734" s="244"/>
      <c r="D734" s="244"/>
      <c r="E734" s="244"/>
      <c r="F734" s="244"/>
      <c r="G734" s="244"/>
      <c r="H734" s="244"/>
      <c r="I734" s="244"/>
      <c r="J734" s="244"/>
      <c r="K734" s="244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</row>
    <row r="735" ht="14.25" customHeight="1">
      <c r="A735" s="244"/>
      <c r="B735" s="244"/>
      <c r="C735" s="244"/>
      <c r="D735" s="244"/>
      <c r="E735" s="244"/>
      <c r="F735" s="244"/>
      <c r="G735" s="244"/>
      <c r="H735" s="244"/>
      <c r="I735" s="244"/>
      <c r="J735" s="244"/>
      <c r="K735" s="244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</row>
    <row r="736" ht="14.25" customHeight="1">
      <c r="A736" s="244"/>
      <c r="B736" s="244"/>
      <c r="C736" s="244"/>
      <c r="D736" s="244"/>
      <c r="E736" s="244"/>
      <c r="F736" s="244"/>
      <c r="G736" s="244"/>
      <c r="H736" s="244"/>
      <c r="I736" s="244"/>
      <c r="J736" s="244"/>
      <c r="K736" s="244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</row>
    <row r="737" ht="14.25" customHeight="1">
      <c r="A737" s="244"/>
      <c r="B737" s="244"/>
      <c r="C737" s="244"/>
      <c r="D737" s="244"/>
      <c r="E737" s="244"/>
      <c r="F737" s="244"/>
      <c r="G737" s="244"/>
      <c r="H737" s="244"/>
      <c r="I737" s="244"/>
      <c r="J737" s="244"/>
      <c r="K737" s="244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</row>
    <row r="738" ht="14.25" customHeight="1">
      <c r="A738" s="244"/>
      <c r="B738" s="244"/>
      <c r="C738" s="244"/>
      <c r="D738" s="244"/>
      <c r="E738" s="244"/>
      <c r="F738" s="244"/>
      <c r="G738" s="244"/>
      <c r="H738" s="244"/>
      <c r="I738" s="244"/>
      <c r="J738" s="244"/>
      <c r="K738" s="244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</row>
    <row r="739" ht="14.25" customHeight="1">
      <c r="A739" s="244"/>
      <c r="B739" s="244"/>
      <c r="C739" s="244"/>
      <c r="D739" s="244"/>
      <c r="E739" s="244"/>
      <c r="F739" s="244"/>
      <c r="G739" s="244"/>
      <c r="H739" s="244"/>
      <c r="I739" s="244"/>
      <c r="J739" s="244"/>
      <c r="K739" s="244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</row>
    <row r="740" ht="14.25" customHeight="1">
      <c r="A740" s="244"/>
      <c r="B740" s="244"/>
      <c r="C740" s="244"/>
      <c r="D740" s="244"/>
      <c r="E740" s="244"/>
      <c r="F740" s="244"/>
      <c r="G740" s="244"/>
      <c r="H740" s="244"/>
      <c r="I740" s="244"/>
      <c r="J740" s="244"/>
      <c r="K740" s="244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</row>
    <row r="741" ht="14.25" customHeight="1">
      <c r="A741" s="244"/>
      <c r="B741" s="244"/>
      <c r="C741" s="244"/>
      <c r="D741" s="244"/>
      <c r="E741" s="244"/>
      <c r="F741" s="244"/>
      <c r="G741" s="244"/>
      <c r="H741" s="244"/>
      <c r="I741" s="244"/>
      <c r="J741" s="244"/>
      <c r="K741" s="244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</row>
    <row r="742" ht="14.25" customHeight="1">
      <c r="A742" s="244"/>
      <c r="B742" s="244"/>
      <c r="C742" s="244"/>
      <c r="D742" s="244"/>
      <c r="E742" s="244"/>
      <c r="F742" s="244"/>
      <c r="G742" s="244"/>
      <c r="H742" s="244"/>
      <c r="I742" s="244"/>
      <c r="J742" s="244"/>
      <c r="K742" s="244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</row>
    <row r="743" ht="14.25" customHeight="1">
      <c r="A743" s="244"/>
      <c r="B743" s="244"/>
      <c r="C743" s="244"/>
      <c r="D743" s="244"/>
      <c r="E743" s="244"/>
      <c r="F743" s="244"/>
      <c r="G743" s="244"/>
      <c r="H743" s="244"/>
      <c r="I743" s="244"/>
      <c r="J743" s="244"/>
      <c r="K743" s="244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</row>
    <row r="744" ht="14.25" customHeight="1">
      <c r="A744" s="244"/>
      <c r="B744" s="244"/>
      <c r="C744" s="244"/>
      <c r="D744" s="244"/>
      <c r="E744" s="244"/>
      <c r="F744" s="244"/>
      <c r="G744" s="244"/>
      <c r="H744" s="244"/>
      <c r="I744" s="244"/>
      <c r="J744" s="244"/>
      <c r="K744" s="244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</row>
    <row r="745" ht="14.25" customHeight="1">
      <c r="A745" s="244"/>
      <c r="B745" s="244"/>
      <c r="C745" s="244"/>
      <c r="D745" s="244"/>
      <c r="E745" s="244"/>
      <c r="F745" s="244"/>
      <c r="G745" s="244"/>
      <c r="H745" s="244"/>
      <c r="I745" s="244"/>
      <c r="J745" s="244"/>
      <c r="K745" s="244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</row>
    <row r="746" ht="14.25" customHeight="1">
      <c r="A746" s="244"/>
      <c r="B746" s="244"/>
      <c r="C746" s="244"/>
      <c r="D746" s="244"/>
      <c r="E746" s="244"/>
      <c r="F746" s="244"/>
      <c r="G746" s="244"/>
      <c r="H746" s="244"/>
      <c r="I746" s="244"/>
      <c r="J746" s="244"/>
      <c r="K746" s="244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</row>
    <row r="747" ht="14.25" customHeight="1">
      <c r="A747" s="244"/>
      <c r="B747" s="244"/>
      <c r="C747" s="244"/>
      <c r="D747" s="244"/>
      <c r="E747" s="244"/>
      <c r="F747" s="244"/>
      <c r="G747" s="244"/>
      <c r="H747" s="244"/>
      <c r="I747" s="244"/>
      <c r="J747" s="244"/>
      <c r="K747" s="244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</row>
    <row r="748" ht="14.25" customHeight="1">
      <c r="A748" s="244"/>
      <c r="B748" s="244"/>
      <c r="C748" s="244"/>
      <c r="D748" s="244"/>
      <c r="E748" s="244"/>
      <c r="F748" s="244"/>
      <c r="G748" s="244"/>
      <c r="H748" s="244"/>
      <c r="I748" s="244"/>
      <c r="J748" s="244"/>
      <c r="K748" s="244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</row>
    <row r="749" ht="14.25" customHeight="1">
      <c r="A749" s="244"/>
      <c r="B749" s="244"/>
      <c r="C749" s="244"/>
      <c r="D749" s="244"/>
      <c r="E749" s="244"/>
      <c r="F749" s="244"/>
      <c r="G749" s="244"/>
      <c r="H749" s="244"/>
      <c r="I749" s="244"/>
      <c r="J749" s="244"/>
      <c r="K749" s="244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</row>
    <row r="750" ht="14.25" customHeight="1">
      <c r="A750" s="244"/>
      <c r="B750" s="244"/>
      <c r="C750" s="244"/>
      <c r="D750" s="244"/>
      <c r="E750" s="244"/>
      <c r="F750" s="244"/>
      <c r="G750" s="244"/>
      <c r="H750" s="244"/>
      <c r="I750" s="244"/>
      <c r="J750" s="244"/>
      <c r="K750" s="244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</row>
    <row r="751" ht="14.25" customHeight="1">
      <c r="A751" s="244"/>
      <c r="B751" s="244"/>
      <c r="C751" s="244"/>
      <c r="D751" s="244"/>
      <c r="E751" s="244"/>
      <c r="F751" s="244"/>
      <c r="G751" s="244"/>
      <c r="H751" s="244"/>
      <c r="I751" s="244"/>
      <c r="J751" s="244"/>
      <c r="K751" s="244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</row>
    <row r="752" ht="14.25" customHeight="1">
      <c r="A752" s="244"/>
      <c r="B752" s="244"/>
      <c r="C752" s="244"/>
      <c r="D752" s="244"/>
      <c r="E752" s="244"/>
      <c r="F752" s="244"/>
      <c r="G752" s="244"/>
      <c r="H752" s="244"/>
      <c r="I752" s="244"/>
      <c r="J752" s="244"/>
      <c r="K752" s="244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</row>
    <row r="753" ht="14.25" customHeight="1">
      <c r="A753" s="244"/>
      <c r="B753" s="244"/>
      <c r="C753" s="244"/>
      <c r="D753" s="244"/>
      <c r="E753" s="244"/>
      <c r="F753" s="244"/>
      <c r="G753" s="244"/>
      <c r="H753" s="244"/>
      <c r="I753" s="244"/>
      <c r="J753" s="244"/>
      <c r="K753" s="244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</row>
    <row r="754" ht="14.25" customHeight="1">
      <c r="A754" s="244"/>
      <c r="B754" s="244"/>
      <c r="C754" s="244"/>
      <c r="D754" s="244"/>
      <c r="E754" s="244"/>
      <c r="F754" s="244"/>
      <c r="G754" s="244"/>
      <c r="H754" s="244"/>
      <c r="I754" s="244"/>
      <c r="J754" s="244"/>
      <c r="K754" s="244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</row>
    <row r="755" ht="14.25" customHeight="1">
      <c r="A755" s="244"/>
      <c r="B755" s="244"/>
      <c r="C755" s="244"/>
      <c r="D755" s="244"/>
      <c r="E755" s="244"/>
      <c r="F755" s="244"/>
      <c r="G755" s="244"/>
      <c r="H755" s="244"/>
      <c r="I755" s="244"/>
      <c r="J755" s="244"/>
      <c r="K755" s="244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</row>
    <row r="756" ht="14.25" customHeight="1">
      <c r="A756" s="244"/>
      <c r="B756" s="244"/>
      <c r="C756" s="244"/>
      <c r="D756" s="244"/>
      <c r="E756" s="244"/>
      <c r="F756" s="244"/>
      <c r="G756" s="244"/>
      <c r="H756" s="244"/>
      <c r="I756" s="244"/>
      <c r="J756" s="244"/>
      <c r="K756" s="244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</row>
    <row r="757" ht="14.25" customHeight="1">
      <c r="A757" s="244"/>
      <c r="B757" s="244"/>
      <c r="C757" s="244"/>
      <c r="D757" s="244"/>
      <c r="E757" s="244"/>
      <c r="F757" s="244"/>
      <c r="G757" s="244"/>
      <c r="H757" s="244"/>
      <c r="I757" s="244"/>
      <c r="J757" s="244"/>
      <c r="K757" s="244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</row>
    <row r="758" ht="14.25" customHeight="1">
      <c r="A758" s="244"/>
      <c r="B758" s="244"/>
      <c r="C758" s="244"/>
      <c r="D758" s="244"/>
      <c r="E758" s="244"/>
      <c r="F758" s="244"/>
      <c r="G758" s="244"/>
      <c r="H758" s="244"/>
      <c r="I758" s="244"/>
      <c r="J758" s="244"/>
      <c r="K758" s="244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</row>
    <row r="759" ht="14.25" customHeight="1">
      <c r="A759" s="244"/>
      <c r="B759" s="244"/>
      <c r="C759" s="244"/>
      <c r="D759" s="244"/>
      <c r="E759" s="244"/>
      <c r="F759" s="244"/>
      <c r="G759" s="244"/>
      <c r="H759" s="244"/>
      <c r="I759" s="244"/>
      <c r="J759" s="244"/>
      <c r="K759" s="244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</row>
    <row r="760" ht="14.25" customHeight="1">
      <c r="A760" s="244"/>
      <c r="B760" s="244"/>
      <c r="C760" s="244"/>
      <c r="D760" s="244"/>
      <c r="E760" s="244"/>
      <c r="F760" s="244"/>
      <c r="G760" s="244"/>
      <c r="H760" s="244"/>
      <c r="I760" s="244"/>
      <c r="J760" s="244"/>
      <c r="K760" s="244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</row>
    <row r="761" ht="14.25" customHeight="1">
      <c r="A761" s="244"/>
      <c r="B761" s="244"/>
      <c r="C761" s="244"/>
      <c r="D761" s="244"/>
      <c r="E761" s="244"/>
      <c r="F761" s="244"/>
      <c r="G761" s="244"/>
      <c r="H761" s="244"/>
      <c r="I761" s="244"/>
      <c r="J761" s="244"/>
      <c r="K761" s="244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</row>
    <row r="762" ht="14.25" customHeight="1">
      <c r="A762" s="244"/>
      <c r="B762" s="244"/>
      <c r="C762" s="244"/>
      <c r="D762" s="244"/>
      <c r="E762" s="244"/>
      <c r="F762" s="244"/>
      <c r="G762" s="244"/>
      <c r="H762" s="244"/>
      <c r="I762" s="244"/>
      <c r="J762" s="244"/>
      <c r="K762" s="244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</row>
    <row r="763" ht="14.25" customHeight="1">
      <c r="A763" s="244"/>
      <c r="B763" s="244"/>
      <c r="C763" s="244"/>
      <c r="D763" s="244"/>
      <c r="E763" s="244"/>
      <c r="F763" s="244"/>
      <c r="G763" s="244"/>
      <c r="H763" s="244"/>
      <c r="I763" s="244"/>
      <c r="J763" s="244"/>
      <c r="K763" s="244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</row>
    <row r="764" ht="14.25" customHeight="1">
      <c r="A764" s="244"/>
      <c r="B764" s="244"/>
      <c r="C764" s="244"/>
      <c r="D764" s="244"/>
      <c r="E764" s="244"/>
      <c r="F764" s="244"/>
      <c r="G764" s="244"/>
      <c r="H764" s="244"/>
      <c r="I764" s="244"/>
      <c r="J764" s="244"/>
      <c r="K764" s="244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</row>
    <row r="765" ht="14.25" customHeight="1">
      <c r="A765" s="244"/>
      <c r="B765" s="244"/>
      <c r="C765" s="244"/>
      <c r="D765" s="244"/>
      <c r="E765" s="244"/>
      <c r="F765" s="244"/>
      <c r="G765" s="244"/>
      <c r="H765" s="244"/>
      <c r="I765" s="244"/>
      <c r="J765" s="244"/>
      <c r="K765" s="244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</row>
    <row r="766" ht="14.25" customHeight="1">
      <c r="A766" s="244"/>
      <c r="B766" s="244"/>
      <c r="C766" s="244"/>
      <c r="D766" s="244"/>
      <c r="E766" s="244"/>
      <c r="F766" s="244"/>
      <c r="G766" s="244"/>
      <c r="H766" s="244"/>
      <c r="I766" s="244"/>
      <c r="J766" s="244"/>
      <c r="K766" s="244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</row>
    <row r="767" ht="14.25" customHeight="1">
      <c r="A767" s="244"/>
      <c r="B767" s="244"/>
      <c r="C767" s="244"/>
      <c r="D767" s="244"/>
      <c r="E767" s="244"/>
      <c r="F767" s="244"/>
      <c r="G767" s="244"/>
      <c r="H767" s="244"/>
      <c r="I767" s="244"/>
      <c r="J767" s="244"/>
      <c r="K767" s="244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</row>
    <row r="768" ht="14.25" customHeight="1">
      <c r="A768" s="244"/>
      <c r="B768" s="244"/>
      <c r="C768" s="244"/>
      <c r="D768" s="244"/>
      <c r="E768" s="244"/>
      <c r="F768" s="244"/>
      <c r="G768" s="244"/>
      <c r="H768" s="244"/>
      <c r="I768" s="244"/>
      <c r="J768" s="244"/>
      <c r="K768" s="244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</row>
    <row r="769" ht="14.25" customHeight="1">
      <c r="A769" s="244"/>
      <c r="B769" s="244"/>
      <c r="C769" s="244"/>
      <c r="D769" s="244"/>
      <c r="E769" s="244"/>
      <c r="F769" s="244"/>
      <c r="G769" s="244"/>
      <c r="H769" s="244"/>
      <c r="I769" s="244"/>
      <c r="J769" s="244"/>
      <c r="K769" s="244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</row>
    <row r="770" ht="14.25" customHeight="1">
      <c r="A770" s="244"/>
      <c r="B770" s="244"/>
      <c r="C770" s="244"/>
      <c r="D770" s="244"/>
      <c r="E770" s="244"/>
      <c r="F770" s="244"/>
      <c r="G770" s="244"/>
      <c r="H770" s="244"/>
      <c r="I770" s="244"/>
      <c r="J770" s="244"/>
      <c r="K770" s="244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</row>
    <row r="771" ht="14.25" customHeight="1">
      <c r="A771" s="244"/>
      <c r="B771" s="244"/>
      <c r="C771" s="244"/>
      <c r="D771" s="244"/>
      <c r="E771" s="244"/>
      <c r="F771" s="244"/>
      <c r="G771" s="244"/>
      <c r="H771" s="244"/>
      <c r="I771" s="244"/>
      <c r="J771" s="244"/>
      <c r="K771" s="244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</row>
    <row r="772" ht="14.25" customHeight="1">
      <c r="A772" s="244"/>
      <c r="B772" s="244"/>
      <c r="C772" s="244"/>
      <c r="D772" s="244"/>
      <c r="E772" s="244"/>
      <c r="F772" s="244"/>
      <c r="G772" s="244"/>
      <c r="H772" s="244"/>
      <c r="I772" s="244"/>
      <c r="J772" s="244"/>
      <c r="K772" s="244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</row>
    <row r="773" ht="14.25" customHeight="1">
      <c r="A773" s="244"/>
      <c r="B773" s="244"/>
      <c r="C773" s="244"/>
      <c r="D773" s="244"/>
      <c r="E773" s="244"/>
      <c r="F773" s="244"/>
      <c r="G773" s="244"/>
      <c r="H773" s="244"/>
      <c r="I773" s="244"/>
      <c r="J773" s="244"/>
      <c r="K773" s="244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</row>
    <row r="774" ht="14.25" customHeight="1">
      <c r="A774" s="244"/>
      <c r="B774" s="244"/>
      <c r="C774" s="244"/>
      <c r="D774" s="244"/>
      <c r="E774" s="244"/>
      <c r="F774" s="244"/>
      <c r="G774" s="244"/>
      <c r="H774" s="244"/>
      <c r="I774" s="244"/>
      <c r="J774" s="244"/>
      <c r="K774" s="244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</row>
    <row r="775" ht="14.25" customHeight="1">
      <c r="A775" s="244"/>
      <c r="B775" s="244"/>
      <c r="C775" s="244"/>
      <c r="D775" s="244"/>
      <c r="E775" s="244"/>
      <c r="F775" s="244"/>
      <c r="G775" s="244"/>
      <c r="H775" s="244"/>
      <c r="I775" s="244"/>
      <c r="J775" s="244"/>
      <c r="K775" s="244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</row>
    <row r="776" ht="14.25" customHeight="1">
      <c r="A776" s="244"/>
      <c r="B776" s="244"/>
      <c r="C776" s="244"/>
      <c r="D776" s="244"/>
      <c r="E776" s="244"/>
      <c r="F776" s="244"/>
      <c r="G776" s="244"/>
      <c r="H776" s="244"/>
      <c r="I776" s="244"/>
      <c r="J776" s="244"/>
      <c r="K776" s="244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</row>
    <row r="777" ht="14.25" customHeight="1">
      <c r="A777" s="244"/>
      <c r="B777" s="244"/>
      <c r="C777" s="244"/>
      <c r="D777" s="244"/>
      <c r="E777" s="244"/>
      <c r="F777" s="244"/>
      <c r="G777" s="244"/>
      <c r="H777" s="244"/>
      <c r="I777" s="244"/>
      <c r="J777" s="244"/>
      <c r="K777" s="244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</row>
    <row r="778" ht="14.25" customHeight="1">
      <c r="A778" s="244"/>
      <c r="B778" s="244"/>
      <c r="C778" s="244"/>
      <c r="D778" s="244"/>
      <c r="E778" s="244"/>
      <c r="F778" s="244"/>
      <c r="G778" s="244"/>
      <c r="H778" s="244"/>
      <c r="I778" s="244"/>
      <c r="J778" s="244"/>
      <c r="K778" s="244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</row>
    <row r="779" ht="14.25" customHeight="1">
      <c r="A779" s="244"/>
      <c r="B779" s="244"/>
      <c r="C779" s="244"/>
      <c r="D779" s="244"/>
      <c r="E779" s="244"/>
      <c r="F779" s="244"/>
      <c r="G779" s="244"/>
      <c r="H779" s="244"/>
      <c r="I779" s="244"/>
      <c r="J779" s="244"/>
      <c r="K779" s="244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</row>
    <row r="780" ht="14.25" customHeight="1">
      <c r="A780" s="244"/>
      <c r="B780" s="244"/>
      <c r="C780" s="244"/>
      <c r="D780" s="244"/>
      <c r="E780" s="244"/>
      <c r="F780" s="244"/>
      <c r="G780" s="244"/>
      <c r="H780" s="244"/>
      <c r="I780" s="244"/>
      <c r="J780" s="244"/>
      <c r="K780" s="244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</row>
    <row r="781" ht="14.25" customHeight="1">
      <c r="A781" s="244"/>
      <c r="B781" s="244"/>
      <c r="C781" s="244"/>
      <c r="D781" s="244"/>
      <c r="E781" s="244"/>
      <c r="F781" s="244"/>
      <c r="G781" s="244"/>
      <c r="H781" s="244"/>
      <c r="I781" s="244"/>
      <c r="J781" s="244"/>
      <c r="K781" s="244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</row>
    <row r="782" ht="14.25" customHeight="1">
      <c r="A782" s="244"/>
      <c r="B782" s="244"/>
      <c r="C782" s="244"/>
      <c r="D782" s="244"/>
      <c r="E782" s="244"/>
      <c r="F782" s="244"/>
      <c r="G782" s="244"/>
      <c r="H782" s="244"/>
      <c r="I782" s="244"/>
      <c r="J782" s="244"/>
      <c r="K782" s="244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</row>
    <row r="783" ht="14.25" customHeight="1">
      <c r="A783" s="244"/>
      <c r="B783" s="244"/>
      <c r="C783" s="244"/>
      <c r="D783" s="244"/>
      <c r="E783" s="244"/>
      <c r="F783" s="244"/>
      <c r="G783" s="244"/>
      <c r="H783" s="244"/>
      <c r="I783" s="244"/>
      <c r="J783" s="244"/>
      <c r="K783" s="244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</row>
    <row r="784" ht="14.25" customHeight="1">
      <c r="A784" s="244"/>
      <c r="B784" s="244"/>
      <c r="C784" s="244"/>
      <c r="D784" s="244"/>
      <c r="E784" s="244"/>
      <c r="F784" s="244"/>
      <c r="G784" s="244"/>
      <c r="H784" s="244"/>
      <c r="I784" s="244"/>
      <c r="J784" s="244"/>
      <c r="K784" s="244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</row>
    <row r="785" ht="14.25" customHeight="1">
      <c r="A785" s="244"/>
      <c r="B785" s="244"/>
      <c r="C785" s="244"/>
      <c r="D785" s="244"/>
      <c r="E785" s="244"/>
      <c r="F785" s="244"/>
      <c r="G785" s="244"/>
      <c r="H785" s="244"/>
      <c r="I785" s="244"/>
      <c r="J785" s="244"/>
      <c r="K785" s="244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</row>
    <row r="786" ht="14.25" customHeight="1">
      <c r="A786" s="244"/>
      <c r="B786" s="244"/>
      <c r="C786" s="244"/>
      <c r="D786" s="244"/>
      <c r="E786" s="244"/>
      <c r="F786" s="244"/>
      <c r="G786" s="244"/>
      <c r="H786" s="244"/>
      <c r="I786" s="244"/>
      <c r="J786" s="244"/>
      <c r="K786" s="244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</row>
    <row r="787" ht="14.25" customHeight="1">
      <c r="A787" s="244"/>
      <c r="B787" s="244"/>
      <c r="C787" s="244"/>
      <c r="D787" s="244"/>
      <c r="E787" s="244"/>
      <c r="F787" s="244"/>
      <c r="G787" s="244"/>
      <c r="H787" s="244"/>
      <c r="I787" s="244"/>
      <c r="J787" s="244"/>
      <c r="K787" s="244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</row>
    <row r="788" ht="14.25" customHeight="1">
      <c r="A788" s="244"/>
      <c r="B788" s="244"/>
      <c r="C788" s="244"/>
      <c r="D788" s="244"/>
      <c r="E788" s="244"/>
      <c r="F788" s="244"/>
      <c r="G788" s="244"/>
      <c r="H788" s="244"/>
      <c r="I788" s="244"/>
      <c r="J788" s="244"/>
      <c r="K788" s="244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</row>
    <row r="789" ht="14.25" customHeight="1">
      <c r="A789" s="244"/>
      <c r="B789" s="244"/>
      <c r="C789" s="244"/>
      <c r="D789" s="244"/>
      <c r="E789" s="244"/>
      <c r="F789" s="244"/>
      <c r="G789" s="244"/>
      <c r="H789" s="244"/>
      <c r="I789" s="244"/>
      <c r="J789" s="244"/>
      <c r="K789" s="244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</row>
    <row r="790" ht="14.25" customHeight="1">
      <c r="A790" s="244"/>
      <c r="B790" s="244"/>
      <c r="C790" s="244"/>
      <c r="D790" s="244"/>
      <c r="E790" s="244"/>
      <c r="F790" s="244"/>
      <c r="G790" s="244"/>
      <c r="H790" s="244"/>
      <c r="I790" s="244"/>
      <c r="J790" s="244"/>
      <c r="K790" s="244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</row>
    <row r="791" ht="14.25" customHeight="1">
      <c r="A791" s="244"/>
      <c r="B791" s="244"/>
      <c r="C791" s="244"/>
      <c r="D791" s="244"/>
      <c r="E791" s="244"/>
      <c r="F791" s="244"/>
      <c r="G791" s="244"/>
      <c r="H791" s="244"/>
      <c r="I791" s="244"/>
      <c r="J791" s="244"/>
      <c r="K791" s="244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</row>
    <row r="792" ht="14.25" customHeight="1">
      <c r="A792" s="244"/>
      <c r="B792" s="244"/>
      <c r="C792" s="244"/>
      <c r="D792" s="244"/>
      <c r="E792" s="244"/>
      <c r="F792" s="244"/>
      <c r="G792" s="244"/>
      <c r="H792" s="244"/>
      <c r="I792" s="244"/>
      <c r="J792" s="244"/>
      <c r="K792" s="244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</row>
    <row r="793" ht="14.25" customHeight="1">
      <c r="A793" s="244"/>
      <c r="B793" s="244"/>
      <c r="C793" s="244"/>
      <c r="D793" s="244"/>
      <c r="E793" s="244"/>
      <c r="F793" s="244"/>
      <c r="G793" s="244"/>
      <c r="H793" s="244"/>
      <c r="I793" s="244"/>
      <c r="J793" s="244"/>
      <c r="K793" s="244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</row>
    <row r="794" ht="14.25" customHeight="1">
      <c r="A794" s="244"/>
      <c r="B794" s="244"/>
      <c r="C794" s="244"/>
      <c r="D794" s="244"/>
      <c r="E794" s="244"/>
      <c r="F794" s="244"/>
      <c r="G794" s="244"/>
      <c r="H794" s="244"/>
      <c r="I794" s="244"/>
      <c r="J794" s="244"/>
      <c r="K794" s="244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</row>
    <row r="795" ht="14.25" customHeight="1">
      <c r="A795" s="244"/>
      <c r="B795" s="244"/>
      <c r="C795" s="244"/>
      <c r="D795" s="244"/>
      <c r="E795" s="244"/>
      <c r="F795" s="244"/>
      <c r="G795" s="244"/>
      <c r="H795" s="244"/>
      <c r="I795" s="244"/>
      <c r="J795" s="244"/>
      <c r="K795" s="244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</row>
    <row r="796" ht="14.25" customHeight="1">
      <c r="A796" s="244"/>
      <c r="B796" s="244"/>
      <c r="C796" s="244"/>
      <c r="D796" s="244"/>
      <c r="E796" s="244"/>
      <c r="F796" s="244"/>
      <c r="G796" s="244"/>
      <c r="H796" s="244"/>
      <c r="I796" s="244"/>
      <c r="J796" s="244"/>
      <c r="K796" s="244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</row>
    <row r="797" ht="14.25" customHeight="1">
      <c r="A797" s="244"/>
      <c r="B797" s="244"/>
      <c r="C797" s="244"/>
      <c r="D797" s="244"/>
      <c r="E797" s="244"/>
      <c r="F797" s="244"/>
      <c r="G797" s="244"/>
      <c r="H797" s="244"/>
      <c r="I797" s="244"/>
      <c r="J797" s="244"/>
      <c r="K797" s="244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</row>
    <row r="798" ht="14.25" customHeight="1">
      <c r="A798" s="244"/>
      <c r="B798" s="244"/>
      <c r="C798" s="244"/>
      <c r="D798" s="244"/>
      <c r="E798" s="244"/>
      <c r="F798" s="244"/>
      <c r="G798" s="244"/>
      <c r="H798" s="244"/>
      <c r="I798" s="244"/>
      <c r="J798" s="244"/>
      <c r="K798" s="244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</row>
    <row r="799" ht="14.25" customHeight="1">
      <c r="A799" s="244"/>
      <c r="B799" s="244"/>
      <c r="C799" s="244"/>
      <c r="D799" s="244"/>
      <c r="E799" s="244"/>
      <c r="F799" s="244"/>
      <c r="G799" s="244"/>
      <c r="H799" s="244"/>
      <c r="I799" s="244"/>
      <c r="J799" s="244"/>
      <c r="K799" s="244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</row>
    <row r="800" ht="14.25" customHeight="1">
      <c r="A800" s="244"/>
      <c r="B800" s="244"/>
      <c r="C800" s="244"/>
      <c r="D800" s="244"/>
      <c r="E800" s="244"/>
      <c r="F800" s="244"/>
      <c r="G800" s="244"/>
      <c r="H800" s="244"/>
      <c r="I800" s="244"/>
      <c r="J800" s="244"/>
      <c r="K800" s="244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</row>
    <row r="801" ht="14.25" customHeight="1">
      <c r="A801" s="244"/>
      <c r="B801" s="244"/>
      <c r="C801" s="244"/>
      <c r="D801" s="244"/>
      <c r="E801" s="244"/>
      <c r="F801" s="244"/>
      <c r="G801" s="244"/>
      <c r="H801" s="244"/>
      <c r="I801" s="244"/>
      <c r="J801" s="244"/>
      <c r="K801" s="244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</row>
    <row r="802" ht="14.25" customHeight="1">
      <c r="A802" s="244"/>
      <c r="B802" s="244"/>
      <c r="C802" s="244"/>
      <c r="D802" s="244"/>
      <c r="E802" s="244"/>
      <c r="F802" s="244"/>
      <c r="G802" s="244"/>
      <c r="H802" s="244"/>
      <c r="I802" s="244"/>
      <c r="J802" s="244"/>
      <c r="K802" s="244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</row>
    <row r="803" ht="14.25" customHeight="1">
      <c r="A803" s="244"/>
      <c r="B803" s="244"/>
      <c r="C803" s="244"/>
      <c r="D803" s="244"/>
      <c r="E803" s="244"/>
      <c r="F803" s="244"/>
      <c r="G803" s="244"/>
      <c r="H803" s="244"/>
      <c r="I803" s="244"/>
      <c r="J803" s="244"/>
      <c r="K803" s="244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</row>
    <row r="804" ht="14.25" customHeight="1">
      <c r="A804" s="244"/>
      <c r="B804" s="244"/>
      <c r="C804" s="244"/>
      <c r="D804" s="244"/>
      <c r="E804" s="244"/>
      <c r="F804" s="244"/>
      <c r="G804" s="244"/>
      <c r="H804" s="244"/>
      <c r="I804" s="244"/>
      <c r="J804" s="244"/>
      <c r="K804" s="244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</row>
    <row r="805" ht="14.25" customHeight="1">
      <c r="A805" s="244"/>
      <c r="B805" s="244"/>
      <c r="C805" s="244"/>
      <c r="D805" s="244"/>
      <c r="E805" s="244"/>
      <c r="F805" s="244"/>
      <c r="G805" s="244"/>
      <c r="H805" s="244"/>
      <c r="I805" s="244"/>
      <c r="J805" s="244"/>
      <c r="K805" s="244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</row>
    <row r="806" ht="14.25" customHeight="1">
      <c r="A806" s="244"/>
      <c r="B806" s="244"/>
      <c r="C806" s="244"/>
      <c r="D806" s="244"/>
      <c r="E806" s="244"/>
      <c r="F806" s="244"/>
      <c r="G806" s="244"/>
      <c r="H806" s="244"/>
      <c r="I806" s="244"/>
      <c r="J806" s="244"/>
      <c r="K806" s="244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</row>
    <row r="807" ht="14.25" customHeight="1">
      <c r="A807" s="244"/>
      <c r="B807" s="244"/>
      <c r="C807" s="244"/>
      <c r="D807" s="244"/>
      <c r="E807" s="244"/>
      <c r="F807" s="244"/>
      <c r="G807" s="244"/>
      <c r="H807" s="244"/>
      <c r="I807" s="244"/>
      <c r="J807" s="244"/>
      <c r="K807" s="244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</row>
    <row r="808" ht="14.25" customHeight="1">
      <c r="A808" s="244"/>
      <c r="B808" s="244"/>
      <c r="C808" s="244"/>
      <c r="D808" s="244"/>
      <c r="E808" s="244"/>
      <c r="F808" s="244"/>
      <c r="G808" s="244"/>
      <c r="H808" s="244"/>
      <c r="I808" s="244"/>
      <c r="J808" s="244"/>
      <c r="K808" s="244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</row>
    <row r="809" ht="14.25" customHeight="1">
      <c r="A809" s="244"/>
      <c r="B809" s="244"/>
      <c r="C809" s="244"/>
      <c r="D809" s="244"/>
      <c r="E809" s="244"/>
      <c r="F809" s="244"/>
      <c r="G809" s="244"/>
      <c r="H809" s="244"/>
      <c r="I809" s="244"/>
      <c r="J809" s="244"/>
      <c r="K809" s="244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</row>
    <row r="810" ht="14.25" customHeight="1">
      <c r="A810" s="244"/>
      <c r="B810" s="244"/>
      <c r="C810" s="244"/>
      <c r="D810" s="244"/>
      <c r="E810" s="244"/>
      <c r="F810" s="244"/>
      <c r="G810" s="244"/>
      <c r="H810" s="244"/>
      <c r="I810" s="244"/>
      <c r="J810" s="244"/>
      <c r="K810" s="244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</row>
    <row r="811" ht="14.25" customHeight="1">
      <c r="A811" s="244"/>
      <c r="B811" s="244"/>
      <c r="C811" s="244"/>
      <c r="D811" s="244"/>
      <c r="E811" s="244"/>
      <c r="F811" s="244"/>
      <c r="G811" s="244"/>
      <c r="H811" s="244"/>
      <c r="I811" s="244"/>
      <c r="J811" s="244"/>
      <c r="K811" s="244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</row>
    <row r="812" ht="14.25" customHeight="1">
      <c r="A812" s="244"/>
      <c r="B812" s="244"/>
      <c r="C812" s="244"/>
      <c r="D812" s="244"/>
      <c r="E812" s="244"/>
      <c r="F812" s="244"/>
      <c r="G812" s="244"/>
      <c r="H812" s="244"/>
      <c r="I812" s="244"/>
      <c r="J812" s="244"/>
      <c r="K812" s="244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</row>
    <row r="813" ht="14.25" customHeight="1">
      <c r="A813" s="244"/>
      <c r="B813" s="244"/>
      <c r="C813" s="244"/>
      <c r="D813" s="244"/>
      <c r="E813" s="244"/>
      <c r="F813" s="244"/>
      <c r="G813" s="244"/>
      <c r="H813" s="244"/>
      <c r="I813" s="244"/>
      <c r="J813" s="244"/>
      <c r="K813" s="244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</row>
    <row r="814" ht="14.25" customHeight="1">
      <c r="A814" s="244"/>
      <c r="B814" s="244"/>
      <c r="C814" s="244"/>
      <c r="D814" s="244"/>
      <c r="E814" s="244"/>
      <c r="F814" s="244"/>
      <c r="G814" s="244"/>
      <c r="H814" s="244"/>
      <c r="I814" s="244"/>
      <c r="J814" s="244"/>
      <c r="K814" s="244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</row>
    <row r="815" ht="14.25" customHeight="1">
      <c r="A815" s="244"/>
      <c r="B815" s="244"/>
      <c r="C815" s="244"/>
      <c r="D815" s="244"/>
      <c r="E815" s="244"/>
      <c r="F815" s="244"/>
      <c r="G815" s="244"/>
      <c r="H815" s="244"/>
      <c r="I815" s="244"/>
      <c r="J815" s="244"/>
      <c r="K815" s="244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</row>
    <row r="816" ht="14.25" customHeight="1">
      <c r="A816" s="244"/>
      <c r="B816" s="244"/>
      <c r="C816" s="244"/>
      <c r="D816" s="244"/>
      <c r="E816" s="244"/>
      <c r="F816" s="244"/>
      <c r="G816" s="244"/>
      <c r="H816" s="244"/>
      <c r="I816" s="244"/>
      <c r="J816" s="244"/>
      <c r="K816" s="244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</row>
    <row r="817" ht="14.25" customHeight="1">
      <c r="A817" s="244"/>
      <c r="B817" s="244"/>
      <c r="C817" s="244"/>
      <c r="D817" s="244"/>
      <c r="E817" s="244"/>
      <c r="F817" s="244"/>
      <c r="G817" s="244"/>
      <c r="H817" s="244"/>
      <c r="I817" s="244"/>
      <c r="J817" s="244"/>
      <c r="K817" s="244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</row>
    <row r="818" ht="14.25" customHeight="1">
      <c r="A818" s="244"/>
      <c r="B818" s="244"/>
      <c r="C818" s="244"/>
      <c r="D818" s="244"/>
      <c r="E818" s="244"/>
      <c r="F818" s="244"/>
      <c r="G818" s="244"/>
      <c r="H818" s="244"/>
      <c r="I818" s="244"/>
      <c r="J818" s="244"/>
      <c r="K818" s="244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</row>
    <row r="819" ht="14.25" customHeight="1">
      <c r="A819" s="244"/>
      <c r="B819" s="244"/>
      <c r="C819" s="244"/>
      <c r="D819" s="244"/>
      <c r="E819" s="244"/>
      <c r="F819" s="244"/>
      <c r="G819" s="244"/>
      <c r="H819" s="244"/>
      <c r="I819" s="244"/>
      <c r="J819" s="244"/>
      <c r="K819" s="244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</row>
    <row r="820" ht="14.25" customHeight="1">
      <c r="A820" s="244"/>
      <c r="B820" s="244"/>
      <c r="C820" s="244"/>
      <c r="D820" s="244"/>
      <c r="E820" s="244"/>
      <c r="F820" s="244"/>
      <c r="G820" s="244"/>
      <c r="H820" s="244"/>
      <c r="I820" s="244"/>
      <c r="J820" s="244"/>
      <c r="K820" s="244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</row>
    <row r="821" ht="14.25" customHeight="1">
      <c r="A821" s="244"/>
      <c r="B821" s="244"/>
      <c r="C821" s="244"/>
      <c r="D821" s="244"/>
      <c r="E821" s="244"/>
      <c r="F821" s="244"/>
      <c r="G821" s="244"/>
      <c r="H821" s="244"/>
      <c r="I821" s="244"/>
      <c r="J821" s="244"/>
      <c r="K821" s="244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</row>
    <row r="822" ht="14.25" customHeight="1">
      <c r="A822" s="244"/>
      <c r="B822" s="244"/>
      <c r="C822" s="244"/>
      <c r="D822" s="244"/>
      <c r="E822" s="244"/>
      <c r="F822" s="244"/>
      <c r="G822" s="244"/>
      <c r="H822" s="244"/>
      <c r="I822" s="244"/>
      <c r="J822" s="244"/>
      <c r="K822" s="244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</row>
    <row r="823" ht="14.25" customHeight="1">
      <c r="A823" s="244"/>
      <c r="B823" s="244"/>
      <c r="C823" s="244"/>
      <c r="D823" s="244"/>
      <c r="E823" s="244"/>
      <c r="F823" s="244"/>
      <c r="G823" s="244"/>
      <c r="H823" s="244"/>
      <c r="I823" s="244"/>
      <c r="J823" s="244"/>
      <c r="K823" s="244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</row>
    <row r="824" ht="14.25" customHeight="1">
      <c r="A824" s="244"/>
      <c r="B824" s="244"/>
      <c r="C824" s="244"/>
      <c r="D824" s="244"/>
      <c r="E824" s="244"/>
      <c r="F824" s="244"/>
      <c r="G824" s="244"/>
      <c r="H824" s="244"/>
      <c r="I824" s="244"/>
      <c r="J824" s="244"/>
      <c r="K824" s="244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</row>
    <row r="825" ht="14.25" customHeight="1">
      <c r="A825" s="244"/>
      <c r="B825" s="244"/>
      <c r="C825" s="244"/>
      <c r="D825" s="244"/>
      <c r="E825" s="244"/>
      <c r="F825" s="244"/>
      <c r="G825" s="244"/>
      <c r="H825" s="244"/>
      <c r="I825" s="244"/>
      <c r="J825" s="244"/>
      <c r="K825" s="244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</row>
    <row r="826" ht="14.25" customHeight="1">
      <c r="A826" s="244"/>
      <c r="B826" s="244"/>
      <c r="C826" s="244"/>
      <c r="D826" s="244"/>
      <c r="E826" s="244"/>
      <c r="F826" s="244"/>
      <c r="G826" s="244"/>
      <c r="H826" s="244"/>
      <c r="I826" s="244"/>
      <c r="J826" s="244"/>
      <c r="K826" s="244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</row>
    <row r="827" ht="14.25" customHeight="1">
      <c r="A827" s="244"/>
      <c r="B827" s="244"/>
      <c r="C827" s="244"/>
      <c r="D827" s="244"/>
      <c r="E827" s="244"/>
      <c r="F827" s="244"/>
      <c r="G827" s="244"/>
      <c r="H827" s="244"/>
      <c r="I827" s="244"/>
      <c r="J827" s="244"/>
      <c r="K827" s="244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</row>
    <row r="828" ht="14.25" customHeight="1">
      <c r="A828" s="244"/>
      <c r="B828" s="244"/>
      <c r="C828" s="244"/>
      <c r="D828" s="244"/>
      <c r="E828" s="244"/>
      <c r="F828" s="244"/>
      <c r="G828" s="244"/>
      <c r="H828" s="244"/>
      <c r="I828" s="244"/>
      <c r="J828" s="244"/>
      <c r="K828" s="244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</row>
    <row r="829" ht="14.25" customHeight="1">
      <c r="A829" s="244"/>
      <c r="B829" s="244"/>
      <c r="C829" s="244"/>
      <c r="D829" s="244"/>
      <c r="E829" s="244"/>
      <c r="F829" s="244"/>
      <c r="G829" s="244"/>
      <c r="H829" s="244"/>
      <c r="I829" s="244"/>
      <c r="J829" s="244"/>
      <c r="K829" s="244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</row>
    <row r="830" ht="14.25" customHeight="1">
      <c r="A830" s="244"/>
      <c r="B830" s="244"/>
      <c r="C830" s="244"/>
      <c r="D830" s="244"/>
      <c r="E830" s="244"/>
      <c r="F830" s="244"/>
      <c r="G830" s="244"/>
      <c r="H830" s="244"/>
      <c r="I830" s="244"/>
      <c r="J830" s="244"/>
      <c r="K830" s="244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</row>
    <row r="831" ht="14.25" customHeight="1">
      <c r="A831" s="244"/>
      <c r="B831" s="244"/>
      <c r="C831" s="244"/>
      <c r="D831" s="244"/>
      <c r="E831" s="244"/>
      <c r="F831" s="244"/>
      <c r="G831" s="244"/>
      <c r="H831" s="244"/>
      <c r="I831" s="244"/>
      <c r="J831" s="244"/>
      <c r="K831" s="244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</row>
    <row r="832" ht="14.25" customHeight="1">
      <c r="A832" s="244"/>
      <c r="B832" s="244"/>
      <c r="C832" s="244"/>
      <c r="D832" s="244"/>
      <c r="E832" s="244"/>
      <c r="F832" s="244"/>
      <c r="G832" s="244"/>
      <c r="H832" s="244"/>
      <c r="I832" s="244"/>
      <c r="J832" s="244"/>
      <c r="K832" s="244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</row>
    <row r="833" ht="14.25" customHeight="1">
      <c r="A833" s="244"/>
      <c r="B833" s="244"/>
      <c r="C833" s="244"/>
      <c r="D833" s="244"/>
      <c r="E833" s="244"/>
      <c r="F833" s="244"/>
      <c r="G833" s="244"/>
      <c r="H833" s="244"/>
      <c r="I833" s="244"/>
      <c r="J833" s="244"/>
      <c r="K833" s="244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</row>
    <row r="834" ht="14.25" customHeight="1">
      <c r="A834" s="244"/>
      <c r="B834" s="244"/>
      <c r="C834" s="244"/>
      <c r="D834" s="244"/>
      <c r="E834" s="244"/>
      <c r="F834" s="244"/>
      <c r="G834" s="244"/>
      <c r="H834" s="244"/>
      <c r="I834" s="244"/>
      <c r="J834" s="244"/>
      <c r="K834" s="244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</row>
    <row r="835" ht="14.25" customHeight="1">
      <c r="A835" s="244"/>
      <c r="B835" s="244"/>
      <c r="C835" s="244"/>
      <c r="D835" s="244"/>
      <c r="E835" s="244"/>
      <c r="F835" s="244"/>
      <c r="G835" s="244"/>
      <c r="H835" s="244"/>
      <c r="I835" s="244"/>
      <c r="J835" s="244"/>
      <c r="K835" s="244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</row>
    <row r="836" ht="14.25" customHeight="1">
      <c r="A836" s="244"/>
      <c r="B836" s="244"/>
      <c r="C836" s="244"/>
      <c r="D836" s="244"/>
      <c r="E836" s="244"/>
      <c r="F836" s="244"/>
      <c r="G836" s="244"/>
      <c r="H836" s="244"/>
      <c r="I836" s="244"/>
      <c r="J836" s="244"/>
      <c r="K836" s="244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</row>
    <row r="837" ht="14.25" customHeight="1">
      <c r="A837" s="244"/>
      <c r="B837" s="244"/>
      <c r="C837" s="244"/>
      <c r="D837" s="244"/>
      <c r="E837" s="244"/>
      <c r="F837" s="244"/>
      <c r="G837" s="244"/>
      <c r="H837" s="244"/>
      <c r="I837" s="244"/>
      <c r="J837" s="244"/>
      <c r="K837" s="244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</row>
    <row r="838" ht="14.25" customHeight="1">
      <c r="A838" s="244"/>
      <c r="B838" s="244"/>
      <c r="C838" s="244"/>
      <c r="D838" s="244"/>
      <c r="E838" s="244"/>
      <c r="F838" s="244"/>
      <c r="G838" s="244"/>
      <c r="H838" s="244"/>
      <c r="I838" s="244"/>
      <c r="J838" s="244"/>
      <c r="K838" s="244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</row>
    <row r="839" ht="14.25" customHeight="1">
      <c r="A839" s="244"/>
      <c r="B839" s="244"/>
      <c r="C839" s="244"/>
      <c r="D839" s="244"/>
      <c r="E839" s="244"/>
      <c r="F839" s="244"/>
      <c r="G839" s="244"/>
      <c r="H839" s="244"/>
      <c r="I839" s="244"/>
      <c r="J839" s="244"/>
      <c r="K839" s="244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</row>
    <row r="840" ht="14.25" customHeight="1">
      <c r="A840" s="244"/>
      <c r="B840" s="244"/>
      <c r="C840" s="244"/>
      <c r="D840" s="244"/>
      <c r="E840" s="244"/>
      <c r="F840" s="244"/>
      <c r="G840" s="244"/>
      <c r="H840" s="244"/>
      <c r="I840" s="244"/>
      <c r="J840" s="244"/>
      <c r="K840" s="244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</row>
    <row r="841" ht="14.25" customHeight="1">
      <c r="A841" s="244"/>
      <c r="B841" s="244"/>
      <c r="C841" s="244"/>
      <c r="D841" s="244"/>
      <c r="E841" s="244"/>
      <c r="F841" s="244"/>
      <c r="G841" s="244"/>
      <c r="H841" s="244"/>
      <c r="I841" s="244"/>
      <c r="J841" s="244"/>
      <c r="K841" s="244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</row>
    <row r="842" ht="14.25" customHeight="1">
      <c r="A842" s="244"/>
      <c r="B842" s="244"/>
      <c r="C842" s="244"/>
      <c r="D842" s="244"/>
      <c r="E842" s="244"/>
      <c r="F842" s="244"/>
      <c r="G842" s="244"/>
      <c r="H842" s="244"/>
      <c r="I842" s="244"/>
      <c r="J842" s="244"/>
      <c r="K842" s="244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</row>
    <row r="843" ht="14.25" customHeight="1">
      <c r="A843" s="244"/>
      <c r="B843" s="244"/>
      <c r="C843" s="244"/>
      <c r="D843" s="244"/>
      <c r="E843" s="244"/>
      <c r="F843" s="244"/>
      <c r="G843" s="244"/>
      <c r="H843" s="244"/>
      <c r="I843" s="244"/>
      <c r="J843" s="244"/>
      <c r="K843" s="244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</row>
    <row r="844" ht="14.25" customHeight="1">
      <c r="A844" s="244"/>
      <c r="B844" s="244"/>
      <c r="C844" s="244"/>
      <c r="D844" s="244"/>
      <c r="E844" s="244"/>
      <c r="F844" s="244"/>
      <c r="G844" s="244"/>
      <c r="H844" s="244"/>
      <c r="I844" s="244"/>
      <c r="J844" s="244"/>
      <c r="K844" s="244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</row>
    <row r="845" ht="14.25" customHeight="1">
      <c r="A845" s="244"/>
      <c r="B845" s="244"/>
      <c r="C845" s="244"/>
      <c r="D845" s="244"/>
      <c r="E845" s="244"/>
      <c r="F845" s="244"/>
      <c r="G845" s="244"/>
      <c r="H845" s="244"/>
      <c r="I845" s="244"/>
      <c r="J845" s="244"/>
      <c r="K845" s="244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</row>
    <row r="846" ht="14.25" customHeight="1">
      <c r="A846" s="244"/>
      <c r="B846" s="244"/>
      <c r="C846" s="244"/>
      <c r="D846" s="244"/>
      <c r="E846" s="244"/>
      <c r="F846" s="244"/>
      <c r="G846" s="244"/>
      <c r="H846" s="244"/>
      <c r="I846" s="244"/>
      <c r="J846" s="244"/>
      <c r="K846" s="244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</row>
    <row r="847" ht="14.25" customHeight="1">
      <c r="A847" s="244"/>
      <c r="B847" s="244"/>
      <c r="C847" s="244"/>
      <c r="D847" s="244"/>
      <c r="E847" s="244"/>
      <c r="F847" s="244"/>
      <c r="G847" s="244"/>
      <c r="H847" s="244"/>
      <c r="I847" s="244"/>
      <c r="J847" s="244"/>
      <c r="K847" s="244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</row>
    <row r="848" ht="14.25" customHeight="1">
      <c r="A848" s="244"/>
      <c r="B848" s="244"/>
      <c r="C848" s="244"/>
      <c r="D848" s="244"/>
      <c r="E848" s="244"/>
      <c r="F848" s="244"/>
      <c r="G848" s="244"/>
      <c r="H848" s="244"/>
      <c r="I848" s="244"/>
      <c r="J848" s="244"/>
      <c r="K848" s="244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</row>
    <row r="849" ht="14.25" customHeight="1">
      <c r="A849" s="244"/>
      <c r="B849" s="244"/>
      <c r="C849" s="244"/>
      <c r="D849" s="244"/>
      <c r="E849" s="244"/>
      <c r="F849" s="244"/>
      <c r="G849" s="244"/>
      <c r="H849" s="244"/>
      <c r="I849" s="244"/>
      <c r="J849" s="244"/>
      <c r="K849" s="244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</row>
    <row r="850" ht="14.25" customHeight="1">
      <c r="A850" s="244"/>
      <c r="B850" s="244"/>
      <c r="C850" s="244"/>
      <c r="D850" s="244"/>
      <c r="E850" s="244"/>
      <c r="F850" s="244"/>
      <c r="G850" s="244"/>
      <c r="H850" s="244"/>
      <c r="I850" s="244"/>
      <c r="J850" s="244"/>
      <c r="K850" s="244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</row>
    <row r="851" ht="14.25" customHeight="1">
      <c r="A851" s="244"/>
      <c r="B851" s="244"/>
      <c r="C851" s="244"/>
      <c r="D851" s="244"/>
      <c r="E851" s="244"/>
      <c r="F851" s="244"/>
      <c r="G851" s="244"/>
      <c r="H851" s="244"/>
      <c r="I851" s="244"/>
      <c r="J851" s="244"/>
      <c r="K851" s="244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</row>
    <row r="852" ht="14.25" customHeight="1">
      <c r="A852" s="244"/>
      <c r="B852" s="244"/>
      <c r="C852" s="244"/>
      <c r="D852" s="244"/>
      <c r="E852" s="244"/>
      <c r="F852" s="244"/>
      <c r="G852" s="244"/>
      <c r="H852" s="244"/>
      <c r="I852" s="244"/>
      <c r="J852" s="244"/>
      <c r="K852" s="244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</row>
    <row r="853" ht="14.25" customHeight="1">
      <c r="A853" s="244"/>
      <c r="B853" s="244"/>
      <c r="C853" s="244"/>
      <c r="D853" s="244"/>
      <c r="E853" s="244"/>
      <c r="F853" s="244"/>
      <c r="G853" s="244"/>
      <c r="H853" s="244"/>
      <c r="I853" s="244"/>
      <c r="J853" s="244"/>
      <c r="K853" s="244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</row>
    <row r="854" ht="14.25" customHeight="1">
      <c r="A854" s="244"/>
      <c r="B854" s="244"/>
      <c r="C854" s="244"/>
      <c r="D854" s="244"/>
      <c r="E854" s="244"/>
      <c r="F854" s="244"/>
      <c r="G854" s="244"/>
      <c r="H854" s="244"/>
      <c r="I854" s="244"/>
      <c r="J854" s="244"/>
      <c r="K854" s="244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</row>
    <row r="855" ht="14.25" customHeight="1">
      <c r="A855" s="244"/>
      <c r="B855" s="244"/>
      <c r="C855" s="244"/>
      <c r="D855" s="244"/>
      <c r="E855" s="244"/>
      <c r="F855" s="244"/>
      <c r="G855" s="244"/>
      <c r="H855" s="244"/>
      <c r="I855" s="244"/>
      <c r="J855" s="244"/>
      <c r="K855" s="244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</row>
    <row r="856" ht="14.25" customHeight="1">
      <c r="A856" s="244"/>
      <c r="B856" s="244"/>
      <c r="C856" s="244"/>
      <c r="D856" s="244"/>
      <c r="E856" s="244"/>
      <c r="F856" s="244"/>
      <c r="G856" s="244"/>
      <c r="H856" s="244"/>
      <c r="I856" s="244"/>
      <c r="J856" s="244"/>
      <c r="K856" s="244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</row>
    <row r="857" ht="14.25" customHeight="1">
      <c r="A857" s="244"/>
      <c r="B857" s="244"/>
      <c r="C857" s="244"/>
      <c r="D857" s="244"/>
      <c r="E857" s="244"/>
      <c r="F857" s="244"/>
      <c r="G857" s="244"/>
      <c r="H857" s="244"/>
      <c r="I857" s="244"/>
      <c r="J857" s="244"/>
      <c r="K857" s="244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</row>
    <row r="858" ht="14.25" customHeight="1">
      <c r="A858" s="244"/>
      <c r="B858" s="244"/>
      <c r="C858" s="244"/>
      <c r="D858" s="244"/>
      <c r="E858" s="244"/>
      <c r="F858" s="244"/>
      <c r="G858" s="244"/>
      <c r="H858" s="244"/>
      <c r="I858" s="244"/>
      <c r="J858" s="244"/>
      <c r="K858" s="244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</row>
    <row r="859" ht="14.25" customHeight="1">
      <c r="A859" s="244"/>
      <c r="B859" s="244"/>
      <c r="C859" s="244"/>
      <c r="D859" s="244"/>
      <c r="E859" s="244"/>
      <c r="F859" s="244"/>
      <c r="G859" s="244"/>
      <c r="H859" s="244"/>
      <c r="I859" s="244"/>
      <c r="J859" s="244"/>
      <c r="K859" s="244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</row>
    <row r="860" ht="14.25" customHeight="1">
      <c r="A860" s="244"/>
      <c r="B860" s="244"/>
      <c r="C860" s="244"/>
      <c r="D860" s="244"/>
      <c r="E860" s="244"/>
      <c r="F860" s="244"/>
      <c r="G860" s="244"/>
      <c r="H860" s="244"/>
      <c r="I860" s="244"/>
      <c r="J860" s="244"/>
      <c r="K860" s="244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</row>
    <row r="861" ht="14.25" customHeight="1">
      <c r="A861" s="244"/>
      <c r="B861" s="244"/>
      <c r="C861" s="244"/>
      <c r="D861" s="244"/>
      <c r="E861" s="244"/>
      <c r="F861" s="244"/>
      <c r="G861" s="244"/>
      <c r="H861" s="244"/>
      <c r="I861" s="244"/>
      <c r="J861" s="244"/>
      <c r="K861" s="244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</row>
    <row r="862" ht="14.25" customHeight="1">
      <c r="A862" s="244"/>
      <c r="B862" s="244"/>
      <c r="C862" s="244"/>
      <c r="D862" s="244"/>
      <c r="E862" s="244"/>
      <c r="F862" s="244"/>
      <c r="G862" s="244"/>
      <c r="H862" s="244"/>
      <c r="I862" s="244"/>
      <c r="J862" s="244"/>
      <c r="K862" s="244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</row>
    <row r="863" ht="14.25" customHeight="1">
      <c r="A863" s="244"/>
      <c r="B863" s="244"/>
      <c r="C863" s="244"/>
      <c r="D863" s="244"/>
      <c r="E863" s="244"/>
      <c r="F863" s="244"/>
      <c r="G863" s="244"/>
      <c r="H863" s="244"/>
      <c r="I863" s="244"/>
      <c r="J863" s="244"/>
      <c r="K863" s="244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</row>
    <row r="864" ht="14.25" customHeight="1">
      <c r="A864" s="244"/>
      <c r="B864" s="244"/>
      <c r="C864" s="244"/>
      <c r="D864" s="244"/>
      <c r="E864" s="244"/>
      <c r="F864" s="244"/>
      <c r="G864" s="244"/>
      <c r="H864" s="244"/>
      <c r="I864" s="244"/>
      <c r="J864" s="244"/>
      <c r="K864" s="244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</row>
    <row r="865" ht="14.25" customHeight="1">
      <c r="A865" s="244"/>
      <c r="B865" s="244"/>
      <c r="C865" s="244"/>
      <c r="D865" s="244"/>
      <c r="E865" s="244"/>
      <c r="F865" s="244"/>
      <c r="G865" s="244"/>
      <c r="H865" s="244"/>
      <c r="I865" s="244"/>
      <c r="J865" s="244"/>
      <c r="K865" s="244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</row>
    <row r="866" ht="14.25" customHeight="1">
      <c r="A866" s="244"/>
      <c r="B866" s="244"/>
      <c r="C866" s="244"/>
      <c r="D866" s="244"/>
      <c r="E866" s="244"/>
      <c r="F866" s="244"/>
      <c r="G866" s="244"/>
      <c r="H866" s="244"/>
      <c r="I866" s="244"/>
      <c r="J866" s="244"/>
      <c r="K866" s="244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</row>
    <row r="867" ht="14.25" customHeight="1">
      <c r="A867" s="244"/>
      <c r="B867" s="244"/>
      <c r="C867" s="244"/>
      <c r="D867" s="244"/>
      <c r="E867" s="244"/>
      <c r="F867" s="244"/>
      <c r="G867" s="244"/>
      <c r="H867" s="244"/>
      <c r="I867" s="244"/>
      <c r="J867" s="244"/>
      <c r="K867" s="244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</row>
    <row r="868" ht="14.25" customHeight="1">
      <c r="A868" s="244"/>
      <c r="B868" s="244"/>
      <c r="C868" s="244"/>
      <c r="D868" s="244"/>
      <c r="E868" s="244"/>
      <c r="F868" s="244"/>
      <c r="G868" s="244"/>
      <c r="H868" s="244"/>
      <c r="I868" s="244"/>
      <c r="J868" s="244"/>
      <c r="K868" s="244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</row>
    <row r="869" ht="14.25" customHeight="1">
      <c r="A869" s="244"/>
      <c r="B869" s="244"/>
      <c r="C869" s="244"/>
      <c r="D869" s="244"/>
      <c r="E869" s="244"/>
      <c r="F869" s="244"/>
      <c r="G869" s="244"/>
      <c r="H869" s="244"/>
      <c r="I869" s="244"/>
      <c r="J869" s="244"/>
      <c r="K869" s="244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</row>
    <row r="870" ht="14.25" customHeight="1">
      <c r="A870" s="244"/>
      <c r="B870" s="244"/>
      <c r="C870" s="244"/>
      <c r="D870" s="244"/>
      <c r="E870" s="244"/>
      <c r="F870" s="244"/>
      <c r="G870" s="244"/>
      <c r="H870" s="244"/>
      <c r="I870" s="244"/>
      <c r="J870" s="244"/>
      <c r="K870" s="244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</row>
    <row r="871" ht="14.25" customHeight="1">
      <c r="A871" s="244"/>
      <c r="B871" s="244"/>
      <c r="C871" s="244"/>
      <c r="D871" s="244"/>
      <c r="E871" s="244"/>
      <c r="F871" s="244"/>
      <c r="G871" s="244"/>
      <c r="H871" s="244"/>
      <c r="I871" s="244"/>
      <c r="J871" s="244"/>
      <c r="K871" s="244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</row>
    <row r="872" ht="14.25" customHeight="1">
      <c r="A872" s="244"/>
      <c r="B872" s="244"/>
      <c r="C872" s="244"/>
      <c r="D872" s="244"/>
      <c r="E872" s="244"/>
      <c r="F872" s="244"/>
      <c r="G872" s="244"/>
      <c r="H872" s="244"/>
      <c r="I872" s="244"/>
      <c r="J872" s="244"/>
      <c r="K872" s="244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</row>
    <row r="873" ht="14.25" customHeight="1">
      <c r="A873" s="244"/>
      <c r="B873" s="244"/>
      <c r="C873" s="244"/>
      <c r="D873" s="244"/>
      <c r="E873" s="244"/>
      <c r="F873" s="244"/>
      <c r="G873" s="244"/>
      <c r="H873" s="244"/>
      <c r="I873" s="244"/>
      <c r="J873" s="244"/>
      <c r="K873" s="244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</row>
    <row r="874" ht="14.25" customHeight="1">
      <c r="A874" s="244"/>
      <c r="B874" s="244"/>
      <c r="C874" s="244"/>
      <c r="D874" s="244"/>
      <c r="E874" s="244"/>
      <c r="F874" s="244"/>
      <c r="G874" s="244"/>
      <c r="H874" s="244"/>
      <c r="I874" s="244"/>
      <c r="J874" s="244"/>
      <c r="K874" s="244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</row>
    <row r="875" ht="14.25" customHeight="1">
      <c r="A875" s="244"/>
      <c r="B875" s="244"/>
      <c r="C875" s="244"/>
      <c r="D875" s="244"/>
      <c r="E875" s="244"/>
      <c r="F875" s="244"/>
      <c r="G875" s="244"/>
      <c r="H875" s="244"/>
      <c r="I875" s="244"/>
      <c r="J875" s="244"/>
      <c r="K875" s="244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</row>
    <row r="876" ht="14.25" customHeight="1">
      <c r="A876" s="244"/>
      <c r="B876" s="244"/>
      <c r="C876" s="244"/>
      <c r="D876" s="244"/>
      <c r="E876" s="244"/>
      <c r="F876" s="244"/>
      <c r="G876" s="244"/>
      <c r="H876" s="244"/>
      <c r="I876" s="244"/>
      <c r="J876" s="244"/>
      <c r="K876" s="244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</row>
    <row r="877" ht="14.25" customHeight="1">
      <c r="A877" s="244"/>
      <c r="B877" s="244"/>
      <c r="C877" s="244"/>
      <c r="D877" s="244"/>
      <c r="E877" s="244"/>
      <c r="F877" s="244"/>
      <c r="G877" s="244"/>
      <c r="H877" s="244"/>
      <c r="I877" s="244"/>
      <c r="J877" s="244"/>
      <c r="K877" s="244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</row>
    <row r="878" ht="14.25" customHeight="1">
      <c r="A878" s="244"/>
      <c r="B878" s="244"/>
      <c r="C878" s="244"/>
      <c r="D878" s="244"/>
      <c r="E878" s="244"/>
      <c r="F878" s="244"/>
      <c r="G878" s="244"/>
      <c r="H878" s="244"/>
      <c r="I878" s="244"/>
      <c r="J878" s="244"/>
      <c r="K878" s="244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</row>
    <row r="879" ht="14.25" customHeight="1">
      <c r="A879" s="244"/>
      <c r="B879" s="244"/>
      <c r="C879" s="244"/>
      <c r="D879" s="244"/>
      <c r="E879" s="244"/>
      <c r="F879" s="244"/>
      <c r="G879" s="244"/>
      <c r="H879" s="244"/>
      <c r="I879" s="244"/>
      <c r="J879" s="244"/>
      <c r="K879" s="244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</row>
    <row r="880" ht="14.25" customHeight="1">
      <c r="A880" s="244"/>
      <c r="B880" s="244"/>
      <c r="C880" s="244"/>
      <c r="D880" s="244"/>
      <c r="E880" s="244"/>
      <c r="F880" s="244"/>
      <c r="G880" s="244"/>
      <c r="H880" s="244"/>
      <c r="I880" s="244"/>
      <c r="J880" s="244"/>
      <c r="K880" s="244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</row>
    <row r="881" ht="14.25" customHeight="1">
      <c r="A881" s="244"/>
      <c r="B881" s="244"/>
      <c r="C881" s="244"/>
      <c r="D881" s="244"/>
      <c r="E881" s="244"/>
      <c r="F881" s="244"/>
      <c r="G881" s="244"/>
      <c r="H881" s="244"/>
      <c r="I881" s="244"/>
      <c r="J881" s="244"/>
      <c r="K881" s="244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</row>
    <row r="882" ht="14.25" customHeight="1">
      <c r="A882" s="244"/>
      <c r="B882" s="244"/>
      <c r="C882" s="244"/>
      <c r="D882" s="244"/>
      <c r="E882" s="244"/>
      <c r="F882" s="244"/>
      <c r="G882" s="244"/>
      <c r="H882" s="244"/>
      <c r="I882" s="244"/>
      <c r="J882" s="244"/>
      <c r="K882" s="244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</row>
    <row r="883" ht="14.25" customHeight="1">
      <c r="A883" s="244"/>
      <c r="B883" s="244"/>
      <c r="C883" s="244"/>
      <c r="D883" s="244"/>
      <c r="E883" s="244"/>
      <c r="F883" s="244"/>
      <c r="G883" s="244"/>
      <c r="H883" s="244"/>
      <c r="I883" s="244"/>
      <c r="J883" s="244"/>
      <c r="K883" s="244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</row>
    <row r="884" ht="14.25" customHeight="1">
      <c r="A884" s="244"/>
      <c r="B884" s="244"/>
      <c r="C884" s="244"/>
      <c r="D884" s="244"/>
      <c r="E884" s="244"/>
      <c r="F884" s="244"/>
      <c r="G884" s="244"/>
      <c r="H884" s="244"/>
      <c r="I884" s="244"/>
      <c r="J884" s="244"/>
      <c r="K884" s="244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</row>
    <row r="885" ht="14.25" customHeight="1">
      <c r="A885" s="244"/>
      <c r="B885" s="244"/>
      <c r="C885" s="244"/>
      <c r="D885" s="244"/>
      <c r="E885" s="244"/>
      <c r="F885" s="244"/>
      <c r="G885" s="244"/>
      <c r="H885" s="244"/>
      <c r="I885" s="244"/>
      <c r="J885" s="244"/>
      <c r="K885" s="244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</row>
    <row r="886" ht="14.25" customHeight="1">
      <c r="A886" s="244"/>
      <c r="B886" s="244"/>
      <c r="C886" s="244"/>
      <c r="D886" s="244"/>
      <c r="E886" s="244"/>
      <c r="F886" s="244"/>
      <c r="G886" s="244"/>
      <c r="H886" s="244"/>
      <c r="I886" s="244"/>
      <c r="J886" s="244"/>
      <c r="K886" s="244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</row>
    <row r="887" ht="14.25" customHeight="1">
      <c r="A887" s="244"/>
      <c r="B887" s="244"/>
      <c r="C887" s="244"/>
      <c r="D887" s="244"/>
      <c r="E887" s="244"/>
      <c r="F887" s="244"/>
      <c r="G887" s="244"/>
      <c r="H887" s="244"/>
      <c r="I887" s="244"/>
      <c r="J887" s="244"/>
      <c r="K887" s="244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</row>
    <row r="888" ht="14.25" customHeight="1">
      <c r="A888" s="244"/>
      <c r="B888" s="244"/>
      <c r="C888" s="244"/>
      <c r="D888" s="244"/>
      <c r="E888" s="244"/>
      <c r="F888" s="244"/>
      <c r="G888" s="244"/>
      <c r="H888" s="244"/>
      <c r="I888" s="244"/>
      <c r="J888" s="244"/>
      <c r="K888" s="244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</row>
    <row r="889" ht="14.25" customHeight="1">
      <c r="A889" s="244"/>
      <c r="B889" s="244"/>
      <c r="C889" s="244"/>
      <c r="D889" s="244"/>
      <c r="E889" s="244"/>
      <c r="F889" s="244"/>
      <c r="G889" s="244"/>
      <c r="H889" s="244"/>
      <c r="I889" s="244"/>
      <c r="J889" s="244"/>
      <c r="K889" s="244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</row>
    <row r="890" ht="14.25" customHeight="1">
      <c r="A890" s="244"/>
      <c r="B890" s="244"/>
      <c r="C890" s="244"/>
      <c r="D890" s="244"/>
      <c r="E890" s="244"/>
      <c r="F890" s="244"/>
      <c r="G890" s="244"/>
      <c r="H890" s="244"/>
      <c r="I890" s="244"/>
      <c r="J890" s="244"/>
      <c r="K890" s="244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</row>
    <row r="891" ht="14.25" customHeight="1">
      <c r="A891" s="244"/>
      <c r="B891" s="244"/>
      <c r="C891" s="244"/>
      <c r="D891" s="244"/>
      <c r="E891" s="244"/>
      <c r="F891" s="244"/>
      <c r="G891" s="244"/>
      <c r="H891" s="244"/>
      <c r="I891" s="244"/>
      <c r="J891" s="244"/>
      <c r="K891" s="244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</row>
    <row r="892" ht="14.25" customHeight="1">
      <c r="A892" s="244"/>
      <c r="B892" s="244"/>
      <c r="C892" s="244"/>
      <c r="D892" s="244"/>
      <c r="E892" s="244"/>
      <c r="F892" s="244"/>
      <c r="G892" s="244"/>
      <c r="H892" s="244"/>
      <c r="I892" s="244"/>
      <c r="J892" s="244"/>
      <c r="K892" s="244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</row>
    <row r="893" ht="14.25" customHeight="1">
      <c r="A893" s="244"/>
      <c r="B893" s="244"/>
      <c r="C893" s="244"/>
      <c r="D893" s="244"/>
      <c r="E893" s="244"/>
      <c r="F893" s="244"/>
      <c r="G893" s="244"/>
      <c r="H893" s="244"/>
      <c r="I893" s="244"/>
      <c r="J893" s="244"/>
      <c r="K893" s="244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</row>
    <row r="894" ht="14.25" customHeight="1">
      <c r="A894" s="244"/>
      <c r="B894" s="244"/>
      <c r="C894" s="244"/>
      <c r="D894" s="244"/>
      <c r="E894" s="244"/>
      <c r="F894" s="244"/>
      <c r="G894" s="244"/>
      <c r="H894" s="244"/>
      <c r="I894" s="244"/>
      <c r="J894" s="244"/>
      <c r="K894" s="244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</row>
    <row r="895" ht="14.25" customHeight="1">
      <c r="A895" s="244"/>
      <c r="B895" s="244"/>
      <c r="C895" s="244"/>
      <c r="D895" s="244"/>
      <c r="E895" s="244"/>
      <c r="F895" s="244"/>
      <c r="G895" s="244"/>
      <c r="H895" s="244"/>
      <c r="I895" s="244"/>
      <c r="J895" s="244"/>
      <c r="K895" s="244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</row>
    <row r="896" ht="14.25" customHeight="1">
      <c r="A896" s="244"/>
      <c r="B896" s="244"/>
      <c r="C896" s="244"/>
      <c r="D896" s="244"/>
      <c r="E896" s="244"/>
      <c r="F896" s="244"/>
      <c r="G896" s="244"/>
      <c r="H896" s="244"/>
      <c r="I896" s="244"/>
      <c r="J896" s="244"/>
      <c r="K896" s="244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</row>
    <row r="897" ht="14.25" customHeight="1">
      <c r="A897" s="244"/>
      <c r="B897" s="244"/>
      <c r="C897" s="244"/>
      <c r="D897" s="244"/>
      <c r="E897" s="244"/>
      <c r="F897" s="244"/>
      <c r="G897" s="244"/>
      <c r="H897" s="244"/>
      <c r="I897" s="244"/>
      <c r="J897" s="244"/>
      <c r="K897" s="244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</row>
    <row r="898" ht="14.25" customHeight="1">
      <c r="A898" s="244"/>
      <c r="B898" s="244"/>
      <c r="C898" s="244"/>
      <c r="D898" s="244"/>
      <c r="E898" s="244"/>
      <c r="F898" s="244"/>
      <c r="G898" s="244"/>
      <c r="H898" s="244"/>
      <c r="I898" s="244"/>
      <c r="J898" s="244"/>
      <c r="K898" s="244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</row>
    <row r="899" ht="14.25" customHeight="1">
      <c r="A899" s="244"/>
      <c r="B899" s="244"/>
      <c r="C899" s="244"/>
      <c r="D899" s="244"/>
      <c r="E899" s="244"/>
      <c r="F899" s="244"/>
      <c r="G899" s="244"/>
      <c r="H899" s="244"/>
      <c r="I899" s="244"/>
      <c r="J899" s="244"/>
      <c r="K899" s="244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</row>
    <row r="900" ht="14.25" customHeight="1">
      <c r="A900" s="244"/>
      <c r="B900" s="244"/>
      <c r="C900" s="244"/>
      <c r="D900" s="244"/>
      <c r="E900" s="244"/>
      <c r="F900" s="244"/>
      <c r="G900" s="244"/>
      <c r="H900" s="244"/>
      <c r="I900" s="244"/>
      <c r="J900" s="244"/>
      <c r="K900" s="244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</row>
    <row r="901" ht="14.25" customHeight="1">
      <c r="A901" s="244"/>
      <c r="B901" s="244"/>
      <c r="C901" s="244"/>
      <c r="D901" s="244"/>
      <c r="E901" s="244"/>
      <c r="F901" s="244"/>
      <c r="G901" s="244"/>
      <c r="H901" s="244"/>
      <c r="I901" s="244"/>
      <c r="J901" s="244"/>
      <c r="K901" s="244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</row>
    <row r="902" ht="14.25" customHeight="1">
      <c r="A902" s="244"/>
      <c r="B902" s="244"/>
      <c r="C902" s="244"/>
      <c r="D902" s="244"/>
      <c r="E902" s="244"/>
      <c r="F902" s="244"/>
      <c r="G902" s="244"/>
      <c r="H902" s="244"/>
      <c r="I902" s="244"/>
      <c r="J902" s="244"/>
      <c r="K902" s="244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</row>
    <row r="903" ht="14.25" customHeight="1">
      <c r="A903" s="244"/>
      <c r="B903" s="244"/>
      <c r="C903" s="244"/>
      <c r="D903" s="244"/>
      <c r="E903" s="244"/>
      <c r="F903" s="244"/>
      <c r="G903" s="244"/>
      <c r="H903" s="244"/>
      <c r="I903" s="244"/>
      <c r="J903" s="244"/>
      <c r="K903" s="244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</row>
    <row r="904" ht="14.25" customHeight="1">
      <c r="A904" s="244"/>
      <c r="B904" s="244"/>
      <c r="C904" s="244"/>
      <c r="D904" s="244"/>
      <c r="E904" s="244"/>
      <c r="F904" s="244"/>
      <c r="G904" s="244"/>
      <c r="H904" s="244"/>
      <c r="I904" s="244"/>
      <c r="J904" s="244"/>
      <c r="K904" s="244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</row>
    <row r="905" ht="14.25" customHeight="1">
      <c r="A905" s="244"/>
      <c r="B905" s="244"/>
      <c r="C905" s="244"/>
      <c r="D905" s="244"/>
      <c r="E905" s="244"/>
      <c r="F905" s="244"/>
      <c r="G905" s="244"/>
      <c r="H905" s="244"/>
      <c r="I905" s="244"/>
      <c r="J905" s="244"/>
      <c r="K905" s="244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</row>
    <row r="906" ht="14.25" customHeight="1">
      <c r="A906" s="244"/>
      <c r="B906" s="244"/>
      <c r="C906" s="244"/>
      <c r="D906" s="244"/>
      <c r="E906" s="244"/>
      <c r="F906" s="244"/>
      <c r="G906" s="244"/>
      <c r="H906" s="244"/>
      <c r="I906" s="244"/>
      <c r="J906" s="244"/>
      <c r="K906" s="244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</row>
    <row r="907" ht="14.25" customHeight="1">
      <c r="A907" s="244"/>
      <c r="B907" s="244"/>
      <c r="C907" s="244"/>
      <c r="D907" s="244"/>
      <c r="E907" s="244"/>
      <c r="F907" s="244"/>
      <c r="G907" s="244"/>
      <c r="H907" s="244"/>
      <c r="I907" s="244"/>
      <c r="J907" s="244"/>
      <c r="K907" s="244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</row>
    <row r="908" ht="14.25" customHeight="1">
      <c r="A908" s="244"/>
      <c r="B908" s="244"/>
      <c r="C908" s="244"/>
      <c r="D908" s="244"/>
      <c r="E908" s="244"/>
      <c r="F908" s="244"/>
      <c r="G908" s="244"/>
      <c r="H908" s="244"/>
      <c r="I908" s="244"/>
      <c r="J908" s="244"/>
      <c r="K908" s="244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</row>
    <row r="909" ht="14.25" customHeight="1">
      <c r="A909" s="244"/>
      <c r="B909" s="244"/>
      <c r="C909" s="244"/>
      <c r="D909" s="244"/>
      <c r="E909" s="244"/>
      <c r="F909" s="244"/>
      <c r="G909" s="244"/>
      <c r="H909" s="244"/>
      <c r="I909" s="244"/>
      <c r="J909" s="244"/>
      <c r="K909" s="244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</row>
    <row r="910" ht="14.25" customHeight="1">
      <c r="A910" s="244"/>
      <c r="B910" s="244"/>
      <c r="C910" s="244"/>
      <c r="D910" s="244"/>
      <c r="E910" s="244"/>
      <c r="F910" s="244"/>
      <c r="G910" s="244"/>
      <c r="H910" s="244"/>
      <c r="I910" s="244"/>
      <c r="J910" s="244"/>
      <c r="K910" s="244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</row>
    <row r="911" ht="14.25" customHeight="1">
      <c r="A911" s="244"/>
      <c r="B911" s="244"/>
      <c r="C911" s="244"/>
      <c r="D911" s="244"/>
      <c r="E911" s="244"/>
      <c r="F911" s="244"/>
      <c r="G911" s="244"/>
      <c r="H911" s="244"/>
      <c r="I911" s="244"/>
      <c r="J911" s="244"/>
      <c r="K911" s="244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</row>
    <row r="912" ht="14.25" customHeight="1">
      <c r="A912" s="244"/>
      <c r="B912" s="244"/>
      <c r="C912" s="244"/>
      <c r="D912" s="244"/>
      <c r="E912" s="244"/>
      <c r="F912" s="244"/>
      <c r="G912" s="244"/>
      <c r="H912" s="244"/>
      <c r="I912" s="244"/>
      <c r="J912" s="244"/>
      <c r="K912" s="244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</row>
    <row r="913" ht="14.25" customHeight="1">
      <c r="A913" s="244"/>
      <c r="B913" s="244"/>
      <c r="C913" s="244"/>
      <c r="D913" s="244"/>
      <c r="E913" s="244"/>
      <c r="F913" s="244"/>
      <c r="G913" s="244"/>
      <c r="H913" s="244"/>
      <c r="I913" s="244"/>
      <c r="J913" s="244"/>
      <c r="K913" s="244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</row>
    <row r="914" ht="14.25" customHeight="1">
      <c r="A914" s="244"/>
      <c r="B914" s="244"/>
      <c r="C914" s="244"/>
      <c r="D914" s="244"/>
      <c r="E914" s="244"/>
      <c r="F914" s="244"/>
      <c r="G914" s="244"/>
      <c r="H914" s="244"/>
      <c r="I914" s="244"/>
      <c r="J914" s="244"/>
      <c r="K914" s="244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</row>
    <row r="915" ht="14.25" customHeight="1">
      <c r="A915" s="244"/>
      <c r="B915" s="244"/>
      <c r="C915" s="244"/>
      <c r="D915" s="244"/>
      <c r="E915" s="244"/>
      <c r="F915" s="244"/>
      <c r="G915" s="244"/>
      <c r="H915" s="244"/>
      <c r="I915" s="244"/>
      <c r="J915" s="244"/>
      <c r="K915" s="244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</row>
    <row r="916" ht="14.25" customHeight="1">
      <c r="A916" s="244"/>
      <c r="B916" s="244"/>
      <c r="C916" s="244"/>
      <c r="D916" s="244"/>
      <c r="E916" s="244"/>
      <c r="F916" s="244"/>
      <c r="G916" s="244"/>
      <c r="H916" s="244"/>
      <c r="I916" s="244"/>
      <c r="J916" s="244"/>
      <c r="K916" s="244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</row>
    <row r="917" ht="14.25" customHeight="1">
      <c r="A917" s="244"/>
      <c r="B917" s="244"/>
      <c r="C917" s="244"/>
      <c r="D917" s="244"/>
      <c r="E917" s="244"/>
      <c r="F917" s="244"/>
      <c r="G917" s="244"/>
      <c r="H917" s="244"/>
      <c r="I917" s="244"/>
      <c r="J917" s="244"/>
      <c r="K917" s="244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</row>
    <row r="918" ht="14.25" customHeight="1">
      <c r="A918" s="244"/>
      <c r="B918" s="244"/>
      <c r="C918" s="244"/>
      <c r="D918" s="244"/>
      <c r="E918" s="244"/>
      <c r="F918" s="244"/>
      <c r="G918" s="244"/>
      <c r="H918" s="244"/>
      <c r="I918" s="244"/>
      <c r="J918" s="244"/>
      <c r="K918" s="244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</row>
    <row r="919" ht="14.25" customHeight="1">
      <c r="A919" s="244"/>
      <c r="B919" s="244"/>
      <c r="C919" s="244"/>
      <c r="D919" s="244"/>
      <c r="E919" s="244"/>
      <c r="F919" s="244"/>
      <c r="G919" s="244"/>
      <c r="H919" s="244"/>
      <c r="I919" s="244"/>
      <c r="J919" s="244"/>
      <c r="K919" s="244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</row>
    <row r="920" ht="14.25" customHeight="1">
      <c r="A920" s="244"/>
      <c r="B920" s="244"/>
      <c r="C920" s="244"/>
      <c r="D920" s="244"/>
      <c r="E920" s="244"/>
      <c r="F920" s="244"/>
      <c r="G920" s="244"/>
      <c r="H920" s="244"/>
      <c r="I920" s="244"/>
      <c r="J920" s="244"/>
      <c r="K920" s="244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</row>
    <row r="921" ht="14.25" customHeight="1">
      <c r="A921" s="244"/>
      <c r="B921" s="244"/>
      <c r="C921" s="244"/>
      <c r="D921" s="244"/>
      <c r="E921" s="244"/>
      <c r="F921" s="244"/>
      <c r="G921" s="244"/>
      <c r="H921" s="244"/>
      <c r="I921" s="244"/>
      <c r="J921" s="244"/>
      <c r="K921" s="244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</row>
    <row r="922" ht="14.25" customHeight="1">
      <c r="A922" s="244"/>
      <c r="B922" s="244"/>
      <c r="C922" s="244"/>
      <c r="D922" s="244"/>
      <c r="E922" s="244"/>
      <c r="F922" s="244"/>
      <c r="G922" s="244"/>
      <c r="H922" s="244"/>
      <c r="I922" s="244"/>
      <c r="J922" s="244"/>
      <c r="K922" s="244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</row>
    <row r="923" ht="14.25" customHeight="1">
      <c r="A923" s="244"/>
      <c r="B923" s="244"/>
      <c r="C923" s="244"/>
      <c r="D923" s="244"/>
      <c r="E923" s="244"/>
      <c r="F923" s="244"/>
      <c r="G923" s="244"/>
      <c r="H923" s="244"/>
      <c r="I923" s="244"/>
      <c r="J923" s="244"/>
      <c r="K923" s="244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</row>
    <row r="924" ht="14.25" customHeight="1">
      <c r="A924" s="244"/>
      <c r="B924" s="244"/>
      <c r="C924" s="244"/>
      <c r="D924" s="244"/>
      <c r="E924" s="244"/>
      <c r="F924" s="244"/>
      <c r="G924" s="244"/>
      <c r="H924" s="244"/>
      <c r="I924" s="244"/>
      <c r="J924" s="244"/>
      <c r="K924" s="244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</row>
    <row r="925" ht="14.25" customHeight="1">
      <c r="A925" s="244"/>
      <c r="B925" s="244"/>
      <c r="C925" s="244"/>
      <c r="D925" s="244"/>
      <c r="E925" s="244"/>
      <c r="F925" s="244"/>
      <c r="G925" s="244"/>
      <c r="H925" s="244"/>
      <c r="I925" s="244"/>
      <c r="J925" s="244"/>
      <c r="K925" s="244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</row>
    <row r="926" ht="14.25" customHeight="1">
      <c r="A926" s="244"/>
      <c r="B926" s="244"/>
      <c r="C926" s="244"/>
      <c r="D926" s="244"/>
      <c r="E926" s="244"/>
      <c r="F926" s="244"/>
      <c r="G926" s="244"/>
      <c r="H926" s="244"/>
      <c r="I926" s="244"/>
      <c r="J926" s="244"/>
      <c r="K926" s="244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</row>
    <row r="927" ht="14.25" customHeight="1">
      <c r="A927" s="244"/>
      <c r="B927" s="244"/>
      <c r="C927" s="244"/>
      <c r="D927" s="244"/>
      <c r="E927" s="244"/>
      <c r="F927" s="244"/>
      <c r="G927" s="244"/>
      <c r="H927" s="244"/>
      <c r="I927" s="244"/>
      <c r="J927" s="244"/>
      <c r="K927" s="244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</row>
    <row r="928" ht="14.25" customHeight="1">
      <c r="A928" s="244"/>
      <c r="B928" s="244"/>
      <c r="C928" s="244"/>
      <c r="D928" s="244"/>
      <c r="E928" s="244"/>
      <c r="F928" s="244"/>
      <c r="G928" s="244"/>
      <c r="H928" s="244"/>
      <c r="I928" s="244"/>
      <c r="J928" s="244"/>
      <c r="K928" s="244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</row>
    <row r="929" ht="14.25" customHeight="1">
      <c r="A929" s="244"/>
      <c r="B929" s="244"/>
      <c r="C929" s="244"/>
      <c r="D929" s="244"/>
      <c r="E929" s="244"/>
      <c r="F929" s="244"/>
      <c r="G929" s="244"/>
      <c r="H929" s="244"/>
      <c r="I929" s="244"/>
      <c r="J929" s="244"/>
      <c r="K929" s="244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</row>
    <row r="930" ht="14.25" customHeight="1">
      <c r="A930" s="244"/>
      <c r="B930" s="244"/>
      <c r="C930" s="244"/>
      <c r="D930" s="244"/>
      <c r="E930" s="244"/>
      <c r="F930" s="244"/>
      <c r="G930" s="244"/>
      <c r="H930" s="244"/>
      <c r="I930" s="244"/>
      <c r="J930" s="244"/>
      <c r="K930" s="244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</row>
    <row r="931" ht="14.25" customHeight="1">
      <c r="A931" s="244"/>
      <c r="B931" s="244"/>
      <c r="C931" s="244"/>
      <c r="D931" s="244"/>
      <c r="E931" s="244"/>
      <c r="F931" s="244"/>
      <c r="G931" s="244"/>
      <c r="H931" s="244"/>
      <c r="I931" s="244"/>
      <c r="J931" s="244"/>
      <c r="K931" s="244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</row>
    <row r="932" ht="14.25" customHeight="1">
      <c r="A932" s="244"/>
      <c r="B932" s="244"/>
      <c r="C932" s="244"/>
      <c r="D932" s="244"/>
      <c r="E932" s="244"/>
      <c r="F932" s="244"/>
      <c r="G932" s="244"/>
      <c r="H932" s="244"/>
      <c r="I932" s="244"/>
      <c r="J932" s="244"/>
      <c r="K932" s="244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</row>
    <row r="933" ht="14.25" customHeight="1">
      <c r="A933" s="244"/>
      <c r="B933" s="244"/>
      <c r="C933" s="244"/>
      <c r="D933" s="244"/>
      <c r="E933" s="244"/>
      <c r="F933" s="244"/>
      <c r="G933" s="244"/>
      <c r="H933" s="244"/>
      <c r="I933" s="244"/>
      <c r="J933" s="244"/>
      <c r="K933" s="244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</row>
    <row r="934" ht="14.25" customHeight="1">
      <c r="A934" s="244"/>
      <c r="B934" s="244"/>
      <c r="C934" s="244"/>
      <c r="D934" s="244"/>
      <c r="E934" s="244"/>
      <c r="F934" s="244"/>
      <c r="G934" s="244"/>
      <c r="H934" s="244"/>
      <c r="I934" s="244"/>
      <c r="J934" s="244"/>
      <c r="K934" s="244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</row>
    <row r="935" ht="14.25" customHeight="1">
      <c r="A935" s="244"/>
      <c r="B935" s="244"/>
      <c r="C935" s="244"/>
      <c r="D935" s="244"/>
      <c r="E935" s="244"/>
      <c r="F935" s="244"/>
      <c r="G935" s="244"/>
      <c r="H935" s="244"/>
      <c r="I935" s="244"/>
      <c r="J935" s="244"/>
      <c r="K935" s="244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</row>
    <row r="936" ht="14.25" customHeight="1">
      <c r="A936" s="244"/>
      <c r="B936" s="244"/>
      <c r="C936" s="244"/>
      <c r="D936" s="244"/>
      <c r="E936" s="244"/>
      <c r="F936" s="244"/>
      <c r="G936" s="244"/>
      <c r="H936" s="244"/>
      <c r="I936" s="244"/>
      <c r="J936" s="244"/>
      <c r="K936" s="244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</row>
    <row r="937" ht="14.25" customHeight="1">
      <c r="A937" s="244"/>
      <c r="B937" s="244"/>
      <c r="C937" s="244"/>
      <c r="D937" s="244"/>
      <c r="E937" s="244"/>
      <c r="F937" s="244"/>
      <c r="G937" s="244"/>
      <c r="H937" s="244"/>
      <c r="I937" s="244"/>
      <c r="J937" s="244"/>
      <c r="K937" s="244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</row>
    <row r="938" ht="14.25" customHeight="1">
      <c r="A938" s="244"/>
      <c r="B938" s="244"/>
      <c r="C938" s="244"/>
      <c r="D938" s="244"/>
      <c r="E938" s="244"/>
      <c r="F938" s="244"/>
      <c r="G938" s="244"/>
      <c r="H938" s="244"/>
      <c r="I938" s="244"/>
      <c r="J938" s="244"/>
      <c r="K938" s="244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</row>
    <row r="939" ht="14.25" customHeight="1">
      <c r="A939" s="244"/>
      <c r="B939" s="244"/>
      <c r="C939" s="244"/>
      <c r="D939" s="244"/>
      <c r="E939" s="244"/>
      <c r="F939" s="244"/>
      <c r="G939" s="244"/>
      <c r="H939" s="244"/>
      <c r="I939" s="244"/>
      <c r="J939" s="244"/>
      <c r="K939" s="244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</row>
    <row r="940" ht="14.25" customHeight="1">
      <c r="A940" s="244"/>
      <c r="B940" s="244"/>
      <c r="C940" s="244"/>
      <c r="D940" s="244"/>
      <c r="E940" s="244"/>
      <c r="F940" s="244"/>
      <c r="G940" s="244"/>
      <c r="H940" s="244"/>
      <c r="I940" s="244"/>
      <c r="J940" s="244"/>
      <c r="K940" s="244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</row>
    <row r="941" ht="14.25" customHeight="1">
      <c r="A941" s="244"/>
      <c r="B941" s="244"/>
      <c r="C941" s="244"/>
      <c r="D941" s="244"/>
      <c r="E941" s="244"/>
      <c r="F941" s="244"/>
      <c r="G941" s="244"/>
      <c r="H941" s="244"/>
      <c r="I941" s="244"/>
      <c r="J941" s="244"/>
      <c r="K941" s="244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</row>
    <row r="942" ht="14.25" customHeight="1">
      <c r="A942" s="244"/>
      <c r="B942" s="244"/>
      <c r="C942" s="244"/>
      <c r="D942" s="244"/>
      <c r="E942" s="244"/>
      <c r="F942" s="244"/>
      <c r="G942" s="244"/>
      <c r="H942" s="244"/>
      <c r="I942" s="244"/>
      <c r="J942" s="244"/>
      <c r="K942" s="244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</row>
    <row r="943" ht="14.25" customHeight="1">
      <c r="A943" s="244"/>
      <c r="B943" s="244"/>
      <c r="C943" s="244"/>
      <c r="D943" s="244"/>
      <c r="E943" s="244"/>
      <c r="F943" s="244"/>
      <c r="G943" s="244"/>
      <c r="H943" s="244"/>
      <c r="I943" s="244"/>
      <c r="J943" s="244"/>
      <c r="K943" s="244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</row>
    <row r="944" ht="14.25" customHeight="1">
      <c r="A944" s="244"/>
      <c r="B944" s="244"/>
      <c r="C944" s="244"/>
      <c r="D944" s="244"/>
      <c r="E944" s="244"/>
      <c r="F944" s="244"/>
      <c r="G944" s="244"/>
      <c r="H944" s="244"/>
      <c r="I944" s="244"/>
      <c r="J944" s="244"/>
      <c r="K944" s="244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</row>
    <row r="945" ht="14.25" customHeight="1">
      <c r="A945" s="244"/>
      <c r="B945" s="244"/>
      <c r="C945" s="244"/>
      <c r="D945" s="244"/>
      <c r="E945" s="244"/>
      <c r="F945" s="244"/>
      <c r="G945" s="244"/>
      <c r="H945" s="244"/>
      <c r="I945" s="244"/>
      <c r="J945" s="244"/>
      <c r="K945" s="244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</row>
    <row r="946" ht="14.25" customHeight="1">
      <c r="A946" s="244"/>
      <c r="B946" s="244"/>
      <c r="C946" s="244"/>
      <c r="D946" s="244"/>
      <c r="E946" s="244"/>
      <c r="F946" s="244"/>
      <c r="G946" s="244"/>
      <c r="H946" s="244"/>
      <c r="I946" s="244"/>
      <c r="J946" s="244"/>
      <c r="K946" s="244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</row>
    <row r="947" ht="14.25" customHeight="1">
      <c r="A947" s="244"/>
      <c r="B947" s="244"/>
      <c r="C947" s="244"/>
      <c r="D947" s="244"/>
      <c r="E947" s="244"/>
      <c r="F947" s="244"/>
      <c r="G947" s="244"/>
      <c r="H947" s="244"/>
      <c r="I947" s="244"/>
      <c r="J947" s="244"/>
      <c r="K947" s="244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</row>
    <row r="948" ht="14.25" customHeight="1">
      <c r="A948" s="244"/>
      <c r="B948" s="244"/>
      <c r="C948" s="244"/>
      <c r="D948" s="244"/>
      <c r="E948" s="244"/>
      <c r="F948" s="244"/>
      <c r="G948" s="244"/>
      <c r="H948" s="244"/>
      <c r="I948" s="244"/>
      <c r="J948" s="244"/>
      <c r="K948" s="244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</row>
    <row r="949" ht="14.25" customHeight="1">
      <c r="A949" s="244"/>
      <c r="B949" s="244"/>
      <c r="C949" s="244"/>
      <c r="D949" s="244"/>
      <c r="E949" s="244"/>
      <c r="F949" s="244"/>
      <c r="G949" s="244"/>
      <c r="H949" s="244"/>
      <c r="I949" s="244"/>
      <c r="J949" s="244"/>
      <c r="K949" s="244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</row>
    <row r="950" ht="14.25" customHeight="1">
      <c r="A950" s="244"/>
      <c r="B950" s="244"/>
      <c r="C950" s="244"/>
      <c r="D950" s="244"/>
      <c r="E950" s="244"/>
      <c r="F950" s="244"/>
      <c r="G950" s="244"/>
      <c r="H950" s="244"/>
      <c r="I950" s="244"/>
      <c r="J950" s="244"/>
      <c r="K950" s="244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</row>
    <row r="951" ht="14.25" customHeight="1">
      <c r="A951" s="244"/>
      <c r="B951" s="244"/>
      <c r="C951" s="244"/>
      <c r="D951" s="244"/>
      <c r="E951" s="244"/>
      <c r="F951" s="244"/>
      <c r="G951" s="244"/>
      <c r="H951" s="244"/>
      <c r="I951" s="244"/>
      <c r="J951" s="244"/>
      <c r="K951" s="244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</row>
    <row r="952" ht="14.25" customHeight="1">
      <c r="A952" s="244"/>
      <c r="B952" s="244"/>
      <c r="C952" s="244"/>
      <c r="D952" s="244"/>
      <c r="E952" s="244"/>
      <c r="F952" s="244"/>
      <c r="G952" s="244"/>
      <c r="H952" s="244"/>
      <c r="I952" s="244"/>
      <c r="J952" s="244"/>
      <c r="K952" s="244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</row>
    <row r="953" ht="14.25" customHeight="1">
      <c r="A953" s="244"/>
      <c r="B953" s="244"/>
      <c r="C953" s="244"/>
      <c r="D953" s="244"/>
      <c r="E953" s="244"/>
      <c r="F953" s="244"/>
      <c r="G953" s="244"/>
      <c r="H953" s="244"/>
      <c r="I953" s="244"/>
      <c r="J953" s="244"/>
      <c r="K953" s="244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</row>
    <row r="954" ht="14.25" customHeight="1">
      <c r="A954" s="244"/>
      <c r="B954" s="244"/>
      <c r="C954" s="244"/>
      <c r="D954" s="244"/>
      <c r="E954" s="244"/>
      <c r="F954" s="244"/>
      <c r="G954" s="244"/>
      <c r="H954" s="244"/>
      <c r="I954" s="244"/>
      <c r="J954" s="244"/>
      <c r="K954" s="244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</row>
    <row r="955" ht="14.25" customHeight="1">
      <c r="A955" s="244"/>
      <c r="B955" s="244"/>
      <c r="C955" s="244"/>
      <c r="D955" s="244"/>
      <c r="E955" s="244"/>
      <c r="F955" s="244"/>
      <c r="G955" s="244"/>
      <c r="H955" s="244"/>
      <c r="I955" s="244"/>
      <c r="J955" s="244"/>
      <c r="K955" s="244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</row>
    <row r="956" ht="14.25" customHeight="1">
      <c r="A956" s="244"/>
      <c r="B956" s="244"/>
      <c r="C956" s="244"/>
      <c r="D956" s="244"/>
      <c r="E956" s="244"/>
      <c r="F956" s="244"/>
      <c r="G956" s="244"/>
      <c r="H956" s="244"/>
      <c r="I956" s="244"/>
      <c r="J956" s="244"/>
      <c r="K956" s="244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</row>
    <row r="957" ht="14.25" customHeight="1">
      <c r="A957" s="244"/>
      <c r="B957" s="244"/>
      <c r="C957" s="244"/>
      <c r="D957" s="244"/>
      <c r="E957" s="244"/>
      <c r="F957" s="244"/>
      <c r="G957" s="244"/>
      <c r="H957" s="244"/>
      <c r="I957" s="244"/>
      <c r="J957" s="244"/>
      <c r="K957" s="244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</row>
    <row r="958" ht="14.25" customHeight="1">
      <c r="A958" s="244"/>
      <c r="B958" s="244"/>
      <c r="C958" s="244"/>
      <c r="D958" s="244"/>
      <c r="E958" s="244"/>
      <c r="F958" s="244"/>
      <c r="G958" s="244"/>
      <c r="H958" s="244"/>
      <c r="I958" s="244"/>
      <c r="J958" s="244"/>
      <c r="K958" s="244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</row>
    <row r="959" ht="14.25" customHeight="1">
      <c r="A959" s="244"/>
      <c r="B959" s="244"/>
      <c r="C959" s="244"/>
      <c r="D959" s="244"/>
      <c r="E959" s="244"/>
      <c r="F959" s="244"/>
      <c r="G959" s="244"/>
      <c r="H959" s="244"/>
      <c r="I959" s="244"/>
      <c r="J959" s="244"/>
      <c r="K959" s="244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</row>
    <row r="960" ht="14.25" customHeight="1">
      <c r="A960" s="244"/>
      <c r="B960" s="244"/>
      <c r="C960" s="244"/>
      <c r="D960" s="244"/>
      <c r="E960" s="244"/>
      <c r="F960" s="244"/>
      <c r="G960" s="244"/>
      <c r="H960" s="244"/>
      <c r="I960" s="244"/>
      <c r="J960" s="244"/>
      <c r="K960" s="244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</row>
    <row r="961" ht="14.25" customHeight="1">
      <c r="A961" s="244"/>
      <c r="B961" s="244"/>
      <c r="C961" s="244"/>
      <c r="D961" s="244"/>
      <c r="E961" s="244"/>
      <c r="F961" s="244"/>
      <c r="G961" s="244"/>
      <c r="H961" s="244"/>
      <c r="I961" s="244"/>
      <c r="J961" s="244"/>
      <c r="K961" s="244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</row>
    <row r="962" ht="14.25" customHeight="1">
      <c r="A962" s="244"/>
      <c r="B962" s="244"/>
      <c r="C962" s="244"/>
      <c r="D962" s="244"/>
      <c r="E962" s="244"/>
      <c r="F962" s="244"/>
      <c r="G962" s="244"/>
      <c r="H962" s="244"/>
      <c r="I962" s="244"/>
      <c r="J962" s="244"/>
      <c r="K962" s="244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</row>
    <row r="963" ht="14.25" customHeight="1">
      <c r="A963" s="244"/>
      <c r="B963" s="244"/>
      <c r="C963" s="244"/>
      <c r="D963" s="244"/>
      <c r="E963" s="244"/>
      <c r="F963" s="244"/>
      <c r="G963" s="244"/>
      <c r="H963" s="244"/>
      <c r="I963" s="244"/>
      <c r="J963" s="244"/>
      <c r="K963" s="244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</row>
    <row r="964" ht="14.25" customHeight="1">
      <c r="A964" s="244"/>
      <c r="B964" s="244"/>
      <c r="C964" s="244"/>
      <c r="D964" s="244"/>
      <c r="E964" s="244"/>
      <c r="F964" s="244"/>
      <c r="G964" s="244"/>
      <c r="H964" s="244"/>
      <c r="I964" s="244"/>
      <c r="J964" s="244"/>
      <c r="K964" s="244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</row>
    <row r="965" ht="14.25" customHeight="1">
      <c r="A965" s="244"/>
      <c r="B965" s="244"/>
      <c r="C965" s="244"/>
      <c r="D965" s="244"/>
      <c r="E965" s="244"/>
      <c r="F965" s="244"/>
      <c r="G965" s="244"/>
      <c r="H965" s="244"/>
      <c r="I965" s="244"/>
      <c r="J965" s="244"/>
      <c r="K965" s="244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</row>
    <row r="966" ht="14.25" customHeight="1">
      <c r="A966" s="244"/>
      <c r="B966" s="244"/>
      <c r="C966" s="244"/>
      <c r="D966" s="244"/>
      <c r="E966" s="244"/>
      <c r="F966" s="244"/>
      <c r="G966" s="244"/>
      <c r="H966" s="244"/>
      <c r="I966" s="244"/>
      <c r="J966" s="244"/>
      <c r="K966" s="244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</row>
    <row r="967" ht="14.25" customHeight="1">
      <c r="A967" s="244"/>
      <c r="B967" s="244"/>
      <c r="C967" s="244"/>
      <c r="D967" s="244"/>
      <c r="E967" s="244"/>
      <c r="F967" s="244"/>
      <c r="G967" s="244"/>
      <c r="H967" s="244"/>
      <c r="I967" s="244"/>
      <c r="J967" s="244"/>
      <c r="K967" s="244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</row>
    <row r="968" ht="14.25" customHeight="1">
      <c r="A968" s="244"/>
      <c r="B968" s="244"/>
      <c r="C968" s="244"/>
      <c r="D968" s="244"/>
      <c r="E968" s="244"/>
      <c r="F968" s="244"/>
      <c r="G968" s="244"/>
      <c r="H968" s="244"/>
      <c r="I968" s="244"/>
      <c r="J968" s="244"/>
      <c r="K968" s="244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</row>
    <row r="969" ht="14.25" customHeight="1">
      <c r="A969" s="244"/>
      <c r="B969" s="244"/>
      <c r="C969" s="244"/>
      <c r="D969" s="244"/>
      <c r="E969" s="244"/>
      <c r="F969" s="244"/>
      <c r="G969" s="244"/>
      <c r="H969" s="244"/>
      <c r="I969" s="244"/>
      <c r="J969" s="244"/>
      <c r="K969" s="244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</row>
    <row r="970" ht="14.25" customHeight="1">
      <c r="A970" s="244"/>
      <c r="B970" s="244"/>
      <c r="C970" s="244"/>
      <c r="D970" s="244"/>
      <c r="E970" s="244"/>
      <c r="F970" s="244"/>
      <c r="G970" s="244"/>
      <c r="H970" s="244"/>
      <c r="I970" s="244"/>
      <c r="J970" s="244"/>
      <c r="K970" s="244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</row>
    <row r="971" ht="14.25" customHeight="1">
      <c r="A971" s="244"/>
      <c r="B971" s="244"/>
      <c r="C971" s="244"/>
      <c r="D971" s="244"/>
      <c r="E971" s="244"/>
      <c r="F971" s="244"/>
      <c r="G971" s="244"/>
      <c r="H971" s="244"/>
      <c r="I971" s="244"/>
      <c r="J971" s="244"/>
      <c r="K971" s="244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</row>
    <row r="972" ht="14.25" customHeight="1">
      <c r="A972" s="244"/>
      <c r="B972" s="244"/>
      <c r="C972" s="244"/>
      <c r="D972" s="244"/>
      <c r="E972" s="244"/>
      <c r="F972" s="244"/>
      <c r="G972" s="244"/>
      <c r="H972" s="244"/>
      <c r="I972" s="244"/>
      <c r="J972" s="244"/>
      <c r="K972" s="244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</row>
    <row r="973" ht="14.25" customHeight="1">
      <c r="A973" s="244"/>
      <c r="B973" s="244"/>
      <c r="C973" s="244"/>
      <c r="D973" s="244"/>
      <c r="E973" s="244"/>
      <c r="F973" s="244"/>
      <c r="G973" s="244"/>
      <c r="H973" s="244"/>
      <c r="I973" s="244"/>
      <c r="J973" s="244"/>
      <c r="K973" s="244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</row>
    <row r="974" ht="14.25" customHeight="1">
      <c r="A974" s="244"/>
      <c r="B974" s="244"/>
      <c r="C974" s="244"/>
      <c r="D974" s="244"/>
      <c r="E974" s="244"/>
      <c r="F974" s="244"/>
      <c r="G974" s="244"/>
      <c r="H974" s="244"/>
      <c r="I974" s="244"/>
      <c r="J974" s="244"/>
      <c r="K974" s="244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</row>
    <row r="975" ht="14.25" customHeight="1">
      <c r="A975" s="244"/>
      <c r="B975" s="244"/>
      <c r="C975" s="244"/>
      <c r="D975" s="244"/>
      <c r="E975" s="244"/>
      <c r="F975" s="244"/>
      <c r="G975" s="244"/>
      <c r="H975" s="244"/>
      <c r="I975" s="244"/>
      <c r="J975" s="244"/>
      <c r="K975" s="244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</row>
    <row r="976" ht="14.25" customHeight="1">
      <c r="A976" s="244"/>
      <c r="B976" s="244"/>
      <c r="C976" s="244"/>
      <c r="D976" s="244"/>
      <c r="E976" s="244"/>
      <c r="F976" s="244"/>
      <c r="G976" s="244"/>
      <c r="H976" s="244"/>
      <c r="I976" s="244"/>
      <c r="J976" s="244"/>
      <c r="K976" s="244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</row>
    <row r="977" ht="14.25" customHeight="1">
      <c r="A977" s="244"/>
      <c r="B977" s="244"/>
      <c r="C977" s="244"/>
      <c r="D977" s="244"/>
      <c r="E977" s="244"/>
      <c r="F977" s="244"/>
      <c r="G977" s="244"/>
      <c r="H977" s="244"/>
      <c r="I977" s="244"/>
      <c r="J977" s="244"/>
      <c r="K977" s="244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</row>
    <row r="978" ht="14.25" customHeight="1">
      <c r="A978" s="244"/>
      <c r="B978" s="244"/>
      <c r="C978" s="244"/>
      <c r="D978" s="244"/>
      <c r="E978" s="244"/>
      <c r="F978" s="244"/>
      <c r="G978" s="244"/>
      <c r="H978" s="244"/>
      <c r="I978" s="244"/>
      <c r="J978" s="244"/>
      <c r="K978" s="244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</row>
    <row r="979" ht="14.25" customHeight="1">
      <c r="A979" s="244"/>
      <c r="B979" s="244"/>
      <c r="C979" s="244"/>
      <c r="D979" s="244"/>
      <c r="E979" s="244"/>
      <c r="F979" s="244"/>
      <c r="G979" s="244"/>
      <c r="H979" s="244"/>
      <c r="I979" s="244"/>
      <c r="J979" s="244"/>
      <c r="K979" s="244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</row>
    <row r="980" ht="14.25" customHeight="1">
      <c r="A980" s="244"/>
      <c r="B980" s="244"/>
      <c r="C980" s="244"/>
      <c r="D980" s="244"/>
      <c r="E980" s="244"/>
      <c r="F980" s="244"/>
      <c r="G980" s="244"/>
      <c r="H980" s="244"/>
      <c r="I980" s="244"/>
      <c r="J980" s="244"/>
      <c r="K980" s="244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</row>
    <row r="981" ht="14.25" customHeight="1">
      <c r="A981" s="244"/>
      <c r="B981" s="244"/>
      <c r="C981" s="244"/>
      <c r="D981" s="244"/>
      <c r="E981" s="244"/>
      <c r="F981" s="244"/>
      <c r="G981" s="244"/>
      <c r="H981" s="244"/>
      <c r="I981" s="244"/>
      <c r="J981" s="244"/>
      <c r="K981" s="244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</row>
    <row r="982" ht="14.25" customHeight="1">
      <c r="A982" s="244"/>
      <c r="B982" s="244"/>
      <c r="C982" s="244"/>
      <c r="D982" s="244"/>
      <c r="E982" s="244"/>
      <c r="F982" s="244"/>
      <c r="G982" s="244"/>
      <c r="H982" s="244"/>
      <c r="I982" s="244"/>
      <c r="J982" s="244"/>
      <c r="K982" s="244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</row>
    <row r="983" ht="14.25" customHeight="1">
      <c r="A983" s="244"/>
      <c r="B983" s="244"/>
      <c r="C983" s="244"/>
      <c r="D983" s="244"/>
      <c r="E983" s="244"/>
      <c r="F983" s="244"/>
      <c r="G983" s="244"/>
      <c r="H983" s="244"/>
      <c r="I983" s="244"/>
      <c r="J983" s="244"/>
      <c r="K983" s="244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  <c r="AA983" s="245"/>
    </row>
    <row r="984" ht="14.25" customHeight="1">
      <c r="A984" s="244"/>
      <c r="B984" s="244"/>
      <c r="C984" s="244"/>
      <c r="D984" s="244"/>
      <c r="E984" s="244"/>
      <c r="F984" s="244"/>
      <c r="G984" s="244"/>
      <c r="H984" s="244"/>
      <c r="I984" s="244"/>
      <c r="J984" s="244"/>
      <c r="K984" s="244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  <c r="AA984" s="245"/>
    </row>
    <row r="985" ht="14.25" customHeight="1">
      <c r="A985" s="244"/>
      <c r="B985" s="244"/>
      <c r="C985" s="244"/>
      <c r="D985" s="244"/>
      <c r="E985" s="244"/>
      <c r="F985" s="244"/>
      <c r="G985" s="244"/>
      <c r="H985" s="244"/>
      <c r="I985" s="244"/>
      <c r="J985" s="244"/>
      <c r="K985" s="244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  <c r="AA985" s="245"/>
    </row>
    <row r="986" ht="14.25" customHeight="1">
      <c r="A986" s="244"/>
      <c r="B986" s="244"/>
      <c r="C986" s="244"/>
      <c r="D986" s="244"/>
      <c r="E986" s="244"/>
      <c r="F986" s="244"/>
      <c r="G986" s="244"/>
      <c r="H986" s="244"/>
      <c r="I986" s="244"/>
      <c r="J986" s="244"/>
      <c r="K986" s="244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  <c r="AA986" s="245"/>
    </row>
    <row r="987" ht="14.25" customHeight="1">
      <c r="A987" s="244"/>
      <c r="B987" s="244"/>
      <c r="C987" s="244"/>
      <c r="D987" s="244"/>
      <c r="E987" s="244"/>
      <c r="F987" s="244"/>
      <c r="G987" s="244"/>
      <c r="H987" s="244"/>
      <c r="I987" s="244"/>
      <c r="J987" s="244"/>
      <c r="K987" s="244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  <c r="AA987" s="245"/>
    </row>
    <row r="988" ht="14.25" customHeight="1">
      <c r="A988" s="244"/>
      <c r="B988" s="244"/>
      <c r="C988" s="244"/>
      <c r="D988" s="244"/>
      <c r="E988" s="244"/>
      <c r="F988" s="244"/>
      <c r="G988" s="244"/>
      <c r="H988" s="244"/>
      <c r="I988" s="244"/>
      <c r="J988" s="244"/>
      <c r="K988" s="244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  <c r="AA988" s="245"/>
    </row>
    <row r="989" ht="14.25" customHeight="1">
      <c r="A989" s="244"/>
      <c r="B989" s="244"/>
      <c r="C989" s="244"/>
      <c r="D989" s="244"/>
      <c r="E989" s="244"/>
      <c r="F989" s="244"/>
      <c r="G989" s="244"/>
      <c r="H989" s="244"/>
      <c r="I989" s="244"/>
      <c r="J989" s="244"/>
      <c r="K989" s="244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  <c r="AA989" s="245"/>
    </row>
    <row r="990" ht="14.25" customHeight="1">
      <c r="A990" s="244"/>
      <c r="B990" s="244"/>
      <c r="C990" s="244"/>
      <c r="D990" s="244"/>
      <c r="E990" s="244"/>
      <c r="F990" s="244"/>
      <c r="G990" s="244"/>
      <c r="H990" s="244"/>
      <c r="I990" s="244"/>
      <c r="J990" s="244"/>
      <c r="K990" s="244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  <c r="AA990" s="245"/>
    </row>
    <row r="991" ht="14.25" customHeight="1">
      <c r="A991" s="244"/>
      <c r="B991" s="244"/>
      <c r="C991" s="244"/>
      <c r="D991" s="244"/>
      <c r="E991" s="244"/>
      <c r="F991" s="244"/>
      <c r="G991" s="244"/>
      <c r="H991" s="244"/>
      <c r="I991" s="244"/>
      <c r="J991" s="244"/>
      <c r="K991" s="244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  <c r="AA991" s="245"/>
    </row>
    <row r="992" ht="14.25" customHeight="1">
      <c r="A992" s="244"/>
      <c r="B992" s="244"/>
      <c r="C992" s="244"/>
      <c r="D992" s="244"/>
      <c r="E992" s="244"/>
      <c r="F992" s="244"/>
      <c r="G992" s="244"/>
      <c r="H992" s="244"/>
      <c r="I992" s="244"/>
      <c r="J992" s="244"/>
      <c r="K992" s="244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  <c r="AA992" s="245"/>
    </row>
    <row r="993" ht="14.25" customHeight="1">
      <c r="A993" s="244"/>
      <c r="B993" s="244"/>
      <c r="C993" s="244"/>
      <c r="D993" s="244"/>
      <c r="E993" s="244"/>
      <c r="F993" s="244"/>
      <c r="G993" s="244"/>
      <c r="H993" s="244"/>
      <c r="I993" s="244"/>
      <c r="J993" s="244"/>
      <c r="K993" s="244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  <c r="AA993" s="245"/>
    </row>
    <row r="994" ht="14.25" customHeight="1">
      <c r="A994" s="244"/>
      <c r="B994" s="244"/>
      <c r="C994" s="244"/>
      <c r="D994" s="244"/>
      <c r="E994" s="244"/>
      <c r="F994" s="244"/>
      <c r="G994" s="244"/>
      <c r="H994" s="244"/>
      <c r="I994" s="244"/>
      <c r="J994" s="244"/>
      <c r="K994" s="244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  <c r="AA994" s="245"/>
    </row>
    <row r="995" ht="14.25" customHeight="1">
      <c r="A995" s="244"/>
      <c r="B995" s="244"/>
      <c r="C995" s="244"/>
      <c r="D995" s="244"/>
      <c r="E995" s="244"/>
      <c r="F995" s="244"/>
      <c r="G995" s="244"/>
      <c r="H995" s="244"/>
      <c r="I995" s="244"/>
      <c r="J995" s="244"/>
      <c r="K995" s="244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  <c r="AA995" s="245"/>
    </row>
    <row r="996" ht="14.25" customHeight="1">
      <c r="A996" s="244"/>
      <c r="B996" s="244"/>
      <c r="C996" s="244"/>
      <c r="D996" s="244"/>
      <c r="E996" s="244"/>
      <c r="F996" s="244"/>
      <c r="G996" s="244"/>
      <c r="H996" s="244"/>
      <c r="I996" s="244"/>
      <c r="J996" s="244"/>
      <c r="K996" s="244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  <c r="AA996" s="245"/>
    </row>
    <row r="997" ht="14.25" customHeight="1">
      <c r="A997" s="244"/>
      <c r="B997" s="244"/>
      <c r="C997" s="244"/>
      <c r="D997" s="244"/>
      <c r="E997" s="244"/>
      <c r="F997" s="244"/>
      <c r="G997" s="244"/>
      <c r="H997" s="244"/>
      <c r="I997" s="244"/>
      <c r="J997" s="244"/>
      <c r="K997" s="244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  <c r="AA997" s="245"/>
    </row>
    <row r="998" ht="14.25" customHeight="1">
      <c r="A998" s="244"/>
      <c r="B998" s="244"/>
      <c r="C998" s="244"/>
      <c r="D998" s="244"/>
      <c r="E998" s="244"/>
      <c r="F998" s="244"/>
      <c r="G998" s="244"/>
      <c r="H998" s="244"/>
      <c r="I998" s="244"/>
      <c r="J998" s="244"/>
      <c r="K998" s="244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  <c r="AA998" s="245"/>
    </row>
    <row r="999" ht="14.25" customHeight="1">
      <c r="A999" s="244"/>
      <c r="B999" s="244"/>
      <c r="C999" s="244"/>
      <c r="D999" s="244"/>
      <c r="E999" s="244"/>
      <c r="F999" s="244"/>
      <c r="G999" s="244"/>
      <c r="H999" s="244"/>
      <c r="I999" s="244"/>
      <c r="J999" s="244"/>
      <c r="K999" s="244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  <c r="AA999" s="245"/>
    </row>
    <row r="1000" ht="14.25" customHeight="1">
      <c r="A1000" s="244"/>
      <c r="B1000" s="244"/>
      <c r="C1000" s="244"/>
      <c r="D1000" s="244"/>
      <c r="E1000" s="244"/>
      <c r="F1000" s="244"/>
      <c r="G1000" s="244"/>
      <c r="H1000" s="244"/>
      <c r="I1000" s="244"/>
      <c r="J1000" s="244"/>
      <c r="K1000" s="244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  <c r="AA1000" s="245"/>
    </row>
    <row r="1001" ht="14.25" customHeight="1">
      <c r="A1001" s="244"/>
      <c r="B1001" s="244"/>
      <c r="C1001" s="244"/>
      <c r="D1001" s="244"/>
      <c r="E1001" s="244"/>
      <c r="F1001" s="244"/>
      <c r="G1001" s="244"/>
      <c r="H1001" s="244"/>
      <c r="I1001" s="244"/>
      <c r="J1001" s="244"/>
      <c r="K1001" s="244"/>
      <c r="L1001" s="245"/>
      <c r="M1001" s="245"/>
      <c r="N1001" s="245"/>
      <c r="O1001" s="245"/>
      <c r="P1001" s="245"/>
      <c r="Q1001" s="245"/>
      <c r="R1001" s="245"/>
      <c r="S1001" s="245"/>
      <c r="T1001" s="245"/>
      <c r="U1001" s="245"/>
      <c r="V1001" s="245"/>
      <c r="W1001" s="245"/>
      <c r="X1001" s="245"/>
      <c r="Y1001" s="245"/>
      <c r="Z1001" s="245"/>
      <c r="AA1001" s="245"/>
    </row>
    <row r="1002" ht="14.25" customHeight="1">
      <c r="A1002" s="244"/>
      <c r="B1002" s="244"/>
      <c r="C1002" s="244"/>
      <c r="D1002" s="244"/>
      <c r="E1002" s="244"/>
      <c r="F1002" s="244"/>
      <c r="G1002" s="244"/>
      <c r="H1002" s="244"/>
      <c r="I1002" s="244"/>
      <c r="J1002" s="244"/>
      <c r="K1002" s="244"/>
      <c r="L1002" s="245"/>
      <c r="M1002" s="245"/>
      <c r="N1002" s="245"/>
      <c r="O1002" s="245"/>
      <c r="P1002" s="245"/>
      <c r="Q1002" s="245"/>
      <c r="R1002" s="245"/>
      <c r="S1002" s="245"/>
      <c r="T1002" s="245"/>
      <c r="U1002" s="245"/>
      <c r="V1002" s="245"/>
      <c r="W1002" s="245"/>
      <c r="X1002" s="245"/>
      <c r="Y1002" s="245"/>
      <c r="Z1002" s="245"/>
      <c r="AA1002" s="245"/>
    </row>
    <row r="1003" ht="14.25" customHeight="1">
      <c r="A1003" s="244"/>
      <c r="B1003" s="244"/>
      <c r="C1003" s="244"/>
      <c r="D1003" s="244"/>
      <c r="E1003" s="244"/>
      <c r="F1003" s="244"/>
      <c r="G1003" s="244"/>
      <c r="H1003" s="244"/>
      <c r="I1003" s="244"/>
      <c r="J1003" s="244"/>
      <c r="K1003" s="244"/>
      <c r="L1003" s="245"/>
      <c r="M1003" s="245"/>
      <c r="N1003" s="245"/>
      <c r="O1003" s="245"/>
      <c r="P1003" s="245"/>
      <c r="Q1003" s="245"/>
      <c r="R1003" s="245"/>
      <c r="S1003" s="245"/>
      <c r="T1003" s="245"/>
      <c r="U1003" s="245"/>
      <c r="V1003" s="245"/>
      <c r="W1003" s="245"/>
      <c r="X1003" s="245"/>
      <c r="Y1003" s="245"/>
      <c r="Z1003" s="245"/>
      <c r="AA1003" s="245"/>
    </row>
    <row r="1004" ht="14.25" customHeight="1">
      <c r="A1004" s="244"/>
      <c r="B1004" s="244"/>
      <c r="C1004" s="244"/>
      <c r="D1004" s="244"/>
      <c r="E1004" s="244"/>
      <c r="F1004" s="244"/>
      <c r="G1004" s="244"/>
      <c r="H1004" s="244"/>
      <c r="I1004" s="244"/>
      <c r="J1004" s="244"/>
      <c r="K1004" s="244"/>
      <c r="L1004" s="245"/>
      <c r="M1004" s="245"/>
      <c r="N1004" s="245"/>
      <c r="O1004" s="245"/>
      <c r="P1004" s="245"/>
      <c r="Q1004" s="245"/>
      <c r="R1004" s="245"/>
      <c r="S1004" s="245"/>
      <c r="T1004" s="245"/>
      <c r="U1004" s="245"/>
      <c r="V1004" s="245"/>
      <c r="W1004" s="245"/>
      <c r="X1004" s="245"/>
      <c r="Y1004" s="245"/>
      <c r="Z1004" s="245"/>
      <c r="AA1004" s="245"/>
    </row>
    <row r="1005" ht="14.25" customHeight="1">
      <c r="A1005" s="244"/>
      <c r="B1005" s="244"/>
      <c r="C1005" s="244"/>
      <c r="D1005" s="244"/>
      <c r="E1005" s="244"/>
      <c r="F1005" s="244"/>
      <c r="G1005" s="244"/>
      <c r="H1005" s="244"/>
      <c r="I1005" s="244"/>
      <c r="J1005" s="244"/>
      <c r="K1005" s="244"/>
      <c r="L1005" s="245"/>
      <c r="M1005" s="245"/>
      <c r="N1005" s="245"/>
      <c r="O1005" s="245"/>
      <c r="P1005" s="245"/>
      <c r="Q1005" s="245"/>
      <c r="R1005" s="245"/>
      <c r="S1005" s="245"/>
      <c r="T1005" s="245"/>
      <c r="U1005" s="245"/>
      <c r="V1005" s="245"/>
      <c r="W1005" s="245"/>
      <c r="X1005" s="245"/>
      <c r="Y1005" s="245"/>
      <c r="Z1005" s="245"/>
      <c r="AA1005" s="245"/>
    </row>
    <row r="1006" ht="14.25" customHeight="1">
      <c r="A1006" s="244"/>
      <c r="B1006" s="244"/>
      <c r="C1006" s="244"/>
      <c r="D1006" s="244"/>
      <c r="E1006" s="244"/>
      <c r="F1006" s="244"/>
      <c r="G1006" s="244"/>
      <c r="H1006" s="244"/>
      <c r="I1006" s="244"/>
      <c r="J1006" s="244"/>
      <c r="K1006" s="244"/>
      <c r="L1006" s="245"/>
      <c r="M1006" s="245"/>
      <c r="N1006" s="245"/>
      <c r="O1006" s="245"/>
      <c r="P1006" s="245"/>
      <c r="Q1006" s="245"/>
      <c r="R1006" s="245"/>
      <c r="S1006" s="245"/>
      <c r="T1006" s="245"/>
      <c r="U1006" s="245"/>
      <c r="V1006" s="245"/>
      <c r="W1006" s="245"/>
      <c r="X1006" s="245"/>
      <c r="Y1006" s="245"/>
      <c r="Z1006" s="245"/>
      <c r="AA1006" s="245"/>
    </row>
    <row r="1007" ht="14.25" customHeight="1">
      <c r="A1007" s="244"/>
      <c r="B1007" s="244"/>
      <c r="C1007" s="244"/>
      <c r="D1007" s="244"/>
      <c r="E1007" s="244"/>
      <c r="F1007" s="244"/>
      <c r="G1007" s="244"/>
      <c r="H1007" s="244"/>
      <c r="I1007" s="244"/>
      <c r="J1007" s="244"/>
      <c r="K1007" s="244"/>
      <c r="L1007" s="245"/>
      <c r="M1007" s="245"/>
      <c r="N1007" s="245"/>
      <c r="O1007" s="245"/>
      <c r="P1007" s="245"/>
      <c r="Q1007" s="245"/>
      <c r="R1007" s="245"/>
      <c r="S1007" s="245"/>
      <c r="T1007" s="245"/>
      <c r="U1007" s="245"/>
      <c r="V1007" s="245"/>
      <c r="W1007" s="245"/>
      <c r="X1007" s="245"/>
      <c r="Y1007" s="245"/>
      <c r="Z1007" s="245"/>
      <c r="AA1007" s="245"/>
    </row>
    <row r="1008" ht="14.25" customHeight="1">
      <c r="A1008" s="244"/>
      <c r="B1008" s="244"/>
      <c r="C1008" s="244"/>
      <c r="D1008" s="244"/>
      <c r="E1008" s="244"/>
      <c r="F1008" s="244"/>
      <c r="G1008" s="244"/>
      <c r="H1008" s="244"/>
      <c r="I1008" s="244"/>
      <c r="J1008" s="244"/>
      <c r="K1008" s="244"/>
      <c r="L1008" s="245"/>
      <c r="M1008" s="245"/>
      <c r="N1008" s="245"/>
      <c r="O1008" s="245"/>
      <c r="P1008" s="245"/>
      <c r="Q1008" s="245"/>
      <c r="R1008" s="245"/>
      <c r="S1008" s="245"/>
      <c r="T1008" s="245"/>
      <c r="U1008" s="245"/>
      <c r="V1008" s="245"/>
      <c r="W1008" s="245"/>
      <c r="X1008" s="245"/>
      <c r="Y1008" s="245"/>
      <c r="Z1008" s="245"/>
      <c r="AA1008" s="245"/>
    </row>
    <row r="1009" ht="14.25" customHeight="1">
      <c r="A1009" s="244"/>
      <c r="B1009" s="244"/>
      <c r="C1009" s="244"/>
      <c r="D1009" s="244"/>
      <c r="E1009" s="244"/>
      <c r="F1009" s="244"/>
      <c r="G1009" s="244"/>
      <c r="H1009" s="244"/>
      <c r="I1009" s="244"/>
      <c r="J1009" s="244"/>
      <c r="K1009" s="244"/>
      <c r="L1009" s="245"/>
      <c r="M1009" s="245"/>
      <c r="N1009" s="245"/>
      <c r="O1009" s="245"/>
      <c r="P1009" s="245"/>
      <c r="Q1009" s="245"/>
      <c r="R1009" s="245"/>
      <c r="S1009" s="245"/>
      <c r="T1009" s="245"/>
      <c r="U1009" s="245"/>
      <c r="V1009" s="245"/>
      <c r="W1009" s="245"/>
      <c r="X1009" s="245"/>
      <c r="Y1009" s="245"/>
      <c r="Z1009" s="245"/>
      <c r="AA1009" s="245"/>
    </row>
    <row r="1010" ht="14.25" customHeight="1">
      <c r="A1010" s="244"/>
      <c r="B1010" s="244"/>
      <c r="C1010" s="244"/>
      <c r="D1010" s="244"/>
      <c r="E1010" s="244"/>
      <c r="F1010" s="244"/>
      <c r="G1010" s="244"/>
      <c r="H1010" s="244"/>
      <c r="I1010" s="244"/>
      <c r="J1010" s="244"/>
      <c r="K1010" s="244"/>
      <c r="L1010" s="245"/>
      <c r="M1010" s="245"/>
      <c r="N1010" s="245"/>
      <c r="O1010" s="245"/>
      <c r="P1010" s="245"/>
      <c r="Q1010" s="245"/>
      <c r="R1010" s="245"/>
      <c r="S1010" s="245"/>
      <c r="T1010" s="245"/>
      <c r="U1010" s="245"/>
      <c r="V1010" s="245"/>
      <c r="W1010" s="245"/>
      <c r="X1010" s="245"/>
      <c r="Y1010" s="245"/>
      <c r="Z1010" s="245"/>
      <c r="AA1010" s="245"/>
    </row>
    <row r="1011" ht="14.25" customHeight="1">
      <c r="A1011" s="244"/>
      <c r="B1011" s="244"/>
      <c r="C1011" s="244"/>
      <c r="D1011" s="244"/>
      <c r="E1011" s="244"/>
      <c r="F1011" s="244"/>
      <c r="G1011" s="244"/>
      <c r="H1011" s="244"/>
      <c r="I1011" s="244"/>
      <c r="J1011" s="244"/>
      <c r="K1011" s="244"/>
      <c r="L1011" s="245"/>
      <c r="M1011" s="245"/>
      <c r="N1011" s="245"/>
      <c r="O1011" s="245"/>
      <c r="P1011" s="245"/>
      <c r="Q1011" s="245"/>
      <c r="R1011" s="245"/>
      <c r="S1011" s="245"/>
      <c r="T1011" s="245"/>
      <c r="U1011" s="245"/>
      <c r="V1011" s="245"/>
      <c r="W1011" s="245"/>
      <c r="X1011" s="245"/>
      <c r="Y1011" s="245"/>
      <c r="Z1011" s="245"/>
      <c r="AA1011" s="245"/>
    </row>
    <row r="1012" ht="14.25" customHeight="1">
      <c r="A1012" s="244"/>
      <c r="B1012" s="244"/>
      <c r="C1012" s="244"/>
      <c r="D1012" s="244"/>
      <c r="E1012" s="244"/>
      <c r="F1012" s="244"/>
      <c r="G1012" s="244"/>
      <c r="H1012" s="244"/>
      <c r="I1012" s="244"/>
      <c r="J1012" s="244"/>
      <c r="K1012" s="244"/>
      <c r="L1012" s="245"/>
      <c r="M1012" s="245"/>
      <c r="N1012" s="245"/>
      <c r="O1012" s="245"/>
      <c r="P1012" s="245"/>
      <c r="Q1012" s="245"/>
      <c r="R1012" s="245"/>
      <c r="S1012" s="245"/>
      <c r="T1012" s="245"/>
      <c r="U1012" s="245"/>
      <c r="V1012" s="245"/>
      <c r="W1012" s="245"/>
      <c r="X1012" s="245"/>
      <c r="Y1012" s="245"/>
      <c r="Z1012" s="245"/>
      <c r="AA1012" s="245"/>
    </row>
    <row r="1013" ht="14.25" customHeight="1">
      <c r="A1013" s="244"/>
      <c r="B1013" s="244"/>
      <c r="C1013" s="244"/>
      <c r="D1013" s="244"/>
      <c r="E1013" s="244"/>
      <c r="F1013" s="244"/>
      <c r="G1013" s="244"/>
      <c r="H1013" s="244"/>
      <c r="I1013" s="244"/>
      <c r="J1013" s="244"/>
      <c r="K1013" s="244"/>
      <c r="L1013" s="245"/>
      <c r="M1013" s="245"/>
      <c r="N1013" s="245"/>
      <c r="O1013" s="245"/>
      <c r="P1013" s="245"/>
      <c r="Q1013" s="245"/>
      <c r="R1013" s="245"/>
      <c r="S1013" s="245"/>
      <c r="T1013" s="245"/>
      <c r="U1013" s="245"/>
      <c r="V1013" s="245"/>
      <c r="W1013" s="245"/>
      <c r="X1013" s="245"/>
      <c r="Y1013" s="245"/>
      <c r="Z1013" s="245"/>
      <c r="AA1013" s="245"/>
    </row>
    <row r="1014" ht="14.25" customHeight="1">
      <c r="A1014" s="244"/>
      <c r="B1014" s="244"/>
      <c r="C1014" s="244"/>
      <c r="D1014" s="244"/>
      <c r="E1014" s="244"/>
      <c r="F1014" s="244"/>
      <c r="G1014" s="244"/>
      <c r="H1014" s="244"/>
      <c r="I1014" s="244"/>
      <c r="J1014" s="244"/>
      <c r="K1014" s="244"/>
      <c r="L1014" s="245"/>
      <c r="M1014" s="245"/>
      <c r="N1014" s="245"/>
      <c r="O1014" s="245"/>
      <c r="P1014" s="245"/>
      <c r="Q1014" s="245"/>
      <c r="R1014" s="245"/>
      <c r="S1014" s="245"/>
      <c r="T1014" s="245"/>
      <c r="U1014" s="245"/>
      <c r="V1014" s="245"/>
      <c r="W1014" s="245"/>
      <c r="X1014" s="245"/>
      <c r="Y1014" s="245"/>
      <c r="Z1014" s="245"/>
      <c r="AA1014" s="245"/>
    </row>
    <row r="1015" ht="14.25" customHeight="1">
      <c r="A1015" s="244"/>
      <c r="B1015" s="244"/>
      <c r="C1015" s="244"/>
      <c r="D1015" s="244"/>
      <c r="E1015" s="244"/>
      <c r="F1015" s="244"/>
      <c r="G1015" s="244"/>
      <c r="H1015" s="244"/>
      <c r="I1015" s="244"/>
      <c r="J1015" s="244"/>
      <c r="K1015" s="244"/>
      <c r="L1015" s="245"/>
      <c r="M1015" s="245"/>
      <c r="N1015" s="245"/>
      <c r="O1015" s="245"/>
      <c r="P1015" s="245"/>
      <c r="Q1015" s="245"/>
      <c r="R1015" s="245"/>
      <c r="S1015" s="245"/>
      <c r="T1015" s="245"/>
      <c r="U1015" s="245"/>
      <c r="V1015" s="245"/>
      <c r="W1015" s="245"/>
      <c r="X1015" s="245"/>
      <c r="Y1015" s="245"/>
      <c r="Z1015" s="245"/>
      <c r="AA1015" s="245"/>
    </row>
    <row r="1016" ht="14.25" customHeight="1">
      <c r="A1016" s="244"/>
      <c r="B1016" s="244"/>
      <c r="C1016" s="244"/>
      <c r="D1016" s="244"/>
      <c r="E1016" s="244"/>
      <c r="F1016" s="244"/>
      <c r="G1016" s="244"/>
      <c r="H1016" s="244"/>
      <c r="I1016" s="244"/>
      <c r="J1016" s="244"/>
      <c r="K1016" s="244"/>
      <c r="L1016" s="245"/>
      <c r="M1016" s="245"/>
      <c r="N1016" s="245"/>
      <c r="O1016" s="245"/>
      <c r="P1016" s="245"/>
      <c r="Q1016" s="245"/>
      <c r="R1016" s="245"/>
      <c r="S1016" s="245"/>
      <c r="T1016" s="245"/>
      <c r="U1016" s="245"/>
      <c r="V1016" s="245"/>
      <c r="W1016" s="245"/>
      <c r="X1016" s="245"/>
      <c r="Y1016" s="245"/>
      <c r="Z1016" s="245"/>
      <c r="AA1016" s="245"/>
    </row>
    <row r="1017" ht="14.25" customHeight="1">
      <c r="A1017" s="244"/>
      <c r="B1017" s="244"/>
      <c r="C1017" s="244"/>
      <c r="D1017" s="244"/>
      <c r="E1017" s="244"/>
      <c r="F1017" s="244"/>
      <c r="G1017" s="244"/>
      <c r="H1017" s="244"/>
      <c r="I1017" s="244"/>
      <c r="J1017" s="244"/>
      <c r="K1017" s="244"/>
      <c r="L1017" s="245"/>
      <c r="M1017" s="245"/>
      <c r="N1017" s="245"/>
      <c r="O1017" s="245"/>
      <c r="P1017" s="245"/>
      <c r="Q1017" s="245"/>
      <c r="R1017" s="245"/>
      <c r="S1017" s="245"/>
      <c r="T1017" s="245"/>
      <c r="U1017" s="245"/>
      <c r="V1017" s="245"/>
      <c r="W1017" s="245"/>
      <c r="X1017" s="245"/>
      <c r="Y1017" s="245"/>
      <c r="Z1017" s="245"/>
      <c r="AA1017" s="245"/>
    </row>
    <row r="1018" ht="14.25" customHeight="1">
      <c r="A1018" s="244"/>
      <c r="B1018" s="244"/>
      <c r="C1018" s="244"/>
      <c r="D1018" s="244"/>
      <c r="E1018" s="244"/>
      <c r="F1018" s="244"/>
      <c r="G1018" s="244"/>
      <c r="H1018" s="244"/>
      <c r="I1018" s="244"/>
      <c r="J1018" s="244"/>
      <c r="K1018" s="244"/>
      <c r="L1018" s="245"/>
      <c r="M1018" s="245"/>
      <c r="N1018" s="245"/>
      <c r="O1018" s="245"/>
      <c r="P1018" s="245"/>
      <c r="Q1018" s="245"/>
      <c r="R1018" s="245"/>
      <c r="S1018" s="245"/>
      <c r="T1018" s="245"/>
      <c r="U1018" s="245"/>
      <c r="V1018" s="245"/>
      <c r="W1018" s="245"/>
      <c r="X1018" s="245"/>
      <c r="Y1018" s="245"/>
      <c r="Z1018" s="245"/>
      <c r="AA1018" s="245"/>
    </row>
    <row r="1019" ht="14.25" customHeight="1">
      <c r="A1019" s="244"/>
      <c r="B1019" s="244"/>
      <c r="C1019" s="244"/>
      <c r="D1019" s="244"/>
      <c r="E1019" s="244"/>
      <c r="F1019" s="244"/>
      <c r="G1019" s="244"/>
      <c r="H1019" s="244"/>
      <c r="I1019" s="244"/>
      <c r="J1019" s="244"/>
      <c r="K1019" s="244"/>
      <c r="L1019" s="245"/>
      <c r="M1019" s="245"/>
      <c r="N1019" s="245"/>
      <c r="O1019" s="245"/>
      <c r="P1019" s="245"/>
      <c r="Q1019" s="245"/>
      <c r="R1019" s="245"/>
      <c r="S1019" s="245"/>
      <c r="T1019" s="245"/>
      <c r="U1019" s="245"/>
      <c r="V1019" s="245"/>
      <c r="W1019" s="245"/>
      <c r="X1019" s="245"/>
      <c r="Y1019" s="245"/>
      <c r="Z1019" s="245"/>
      <c r="AA1019" s="245"/>
    </row>
  </sheetData>
  <mergeCells count="30">
    <mergeCell ref="A1:H1"/>
    <mergeCell ref="A9:M9"/>
    <mergeCell ref="A18:M18"/>
    <mergeCell ref="A49:M49"/>
    <mergeCell ref="A58:M58"/>
    <mergeCell ref="B59:M59"/>
    <mergeCell ref="B60:M60"/>
    <mergeCell ref="B61:M61"/>
    <mergeCell ref="B62:M62"/>
    <mergeCell ref="B63:M63"/>
    <mergeCell ref="B64:M64"/>
    <mergeCell ref="B65:M65"/>
    <mergeCell ref="B66:M66"/>
    <mergeCell ref="B67:M67"/>
    <mergeCell ref="B68:M68"/>
    <mergeCell ref="B69:M69"/>
    <mergeCell ref="B70:M70"/>
    <mergeCell ref="B71:M71"/>
    <mergeCell ref="B72:M72"/>
    <mergeCell ref="B73:M73"/>
    <mergeCell ref="B74:M74"/>
    <mergeCell ref="B82:M82"/>
    <mergeCell ref="B83:M83"/>
    <mergeCell ref="B75:M75"/>
    <mergeCell ref="B76:M76"/>
    <mergeCell ref="B77:M77"/>
    <mergeCell ref="B78:M78"/>
    <mergeCell ref="B79:M79"/>
    <mergeCell ref="B80:M80"/>
    <mergeCell ref="B81:M81"/>
  </mergeCells>
  <dataValidations>
    <dataValidation type="list" allowBlank="1" sqref="B20:B46 D51:D55">
      <formula1>"привлечено 10 000 учеников,Конверсия первичного касания,Средний чек удержан уровне,Реализована сквозная аналитика"</formula1>
    </dataValidation>
    <dataValidation type="list" allowBlank="1" sqref="A20:A46 B51:B55">
      <formula1>"📌 ЗАДАЧА,📦 ПРОЕКТ,🔬 ГИПОТЕЗА,💡 ИДЕЯ"</formula1>
    </dataValidation>
    <dataValidation type="list" allowBlank="1" sqref="F11:F16">
      <formula1>"On track,Опаздываем,Выполнено,Не начато,Требует внимания"</formula1>
    </dataValidation>
    <dataValidation type="list" allowBlank="1" sqref="G20:G21">
      <formula1>"⏸️ Не начато,🔄 В работе,✅ Выполнено,⏸️ На паузе,❌ Отменено,⚠️ Требует решения,Тестируется"</formula1>
    </dataValidation>
    <dataValidation type="list" allowBlank="1" sqref="E51:E55">
      <formula1>"High,Medium,Low"</formula1>
    </dataValidation>
    <dataValidation type="list" allowBlank="1" sqref="I24">
      <formula1>"⏸️ Не начато,🔄 В работе,✅ Выполнено,⏸️ На паузе,❌ Отменено,⚠️ Требует решения,не было времени"</formula1>
    </dataValidation>
    <dataValidation type="list" allowBlank="1" sqref="F20:F22 H20:I22 F23:I23 F24 H24 F25:I27 F28:J35 F36:I36 F37:J37 F38:I46">
      <formula1>"⏸️ Не начато,🔄 В работе,✅ Выполнено,⏸️ На паузе,❌ Отменено,⚠️ Требует решения"</formula1>
    </dataValidation>
    <dataValidation type="list" allowBlank="1" sqref="G22 G24">
      <formula1>"⏸️ Не начато,🔄 В работе,✅ Выполнено,⏸️ На паузе,❌ Отменено,⚠️ Требует решения,Не выполнено"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5.0"/>
    <col customWidth="1" min="3" max="3" width="45.71"/>
    <col customWidth="1" min="4" max="4" width="20.43"/>
    <col customWidth="1" min="5" max="5" width="16.29"/>
    <col customWidth="1" min="6" max="6" width="23.86"/>
    <col customWidth="1" min="7" max="7" width="16.86"/>
    <col customWidth="1" min="8" max="8" width="23.43"/>
    <col customWidth="1" min="9" max="9" width="20.71"/>
    <col customWidth="1" min="10" max="11" width="25.0"/>
    <col customWidth="1" min="12" max="27" width="8.71"/>
  </cols>
  <sheetData>
    <row r="1" ht="21.0" customHeight="1">
      <c r="A1" s="270" t="s">
        <v>1274</v>
      </c>
      <c r="B1" s="206"/>
      <c r="C1" s="206"/>
      <c r="D1" s="206"/>
      <c r="E1" s="206"/>
      <c r="F1" s="206"/>
      <c r="G1" s="206"/>
      <c r="H1" s="207"/>
      <c r="I1" s="244"/>
      <c r="J1" s="244"/>
      <c r="K1" s="244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</row>
    <row r="2" ht="14.25" customHeight="1">
      <c r="A2" s="246" t="s">
        <v>991</v>
      </c>
      <c r="B2" s="245" t="s">
        <v>903</v>
      </c>
      <c r="C2" s="244"/>
      <c r="D2" s="244"/>
      <c r="E2" s="244"/>
      <c r="F2" s="244"/>
      <c r="G2" s="244"/>
      <c r="H2" s="244"/>
      <c r="I2" s="244"/>
      <c r="J2" s="244"/>
      <c r="K2" s="244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</row>
    <row r="3" ht="14.25" customHeight="1">
      <c r="A3" s="246" t="s">
        <v>992</v>
      </c>
      <c r="B3" s="245" t="s">
        <v>64</v>
      </c>
      <c r="C3" s="244"/>
      <c r="D3" s="244"/>
      <c r="E3" s="244"/>
      <c r="F3" s="244"/>
      <c r="G3" s="244"/>
      <c r="H3" s="244"/>
      <c r="I3" s="244"/>
      <c r="J3" s="244"/>
      <c r="K3" s="244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</row>
    <row r="4" ht="14.25" customHeight="1">
      <c r="A4" s="246" t="s">
        <v>993</v>
      </c>
      <c r="B4" s="245" t="s">
        <v>904</v>
      </c>
      <c r="C4" s="244"/>
      <c r="D4" s="244"/>
      <c r="E4" s="244"/>
      <c r="F4" s="244"/>
      <c r="G4" s="244"/>
      <c r="H4" s="244"/>
      <c r="I4" s="244"/>
      <c r="J4" s="244"/>
      <c r="K4" s="244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</row>
    <row r="5" ht="14.25" customHeight="1">
      <c r="A5" s="246" t="s">
        <v>994</v>
      </c>
      <c r="B5" s="245" t="s">
        <v>882</v>
      </c>
      <c r="C5" s="244"/>
      <c r="D5" s="244"/>
      <c r="E5" s="244"/>
      <c r="F5" s="244"/>
      <c r="G5" s="244"/>
      <c r="H5" s="244"/>
      <c r="I5" s="244"/>
      <c r="J5" s="244"/>
      <c r="K5" s="244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</row>
    <row r="6" ht="14.25" customHeight="1">
      <c r="A6" s="247" t="s">
        <v>995</v>
      </c>
      <c r="B6" s="258"/>
      <c r="C6" s="259" t="s">
        <v>1275</v>
      </c>
      <c r="D6" s="244"/>
      <c r="E6" s="244"/>
      <c r="F6" s="244"/>
      <c r="G6" s="244"/>
      <c r="H6" s="244"/>
      <c r="I6" s="244"/>
      <c r="J6" s="244"/>
      <c r="K6" s="244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</row>
    <row r="7" ht="14.25" customHeight="1">
      <c r="A7" s="247" t="s">
        <v>997</v>
      </c>
      <c r="B7" s="258" t="s">
        <v>1276</v>
      </c>
      <c r="C7" s="259" t="s">
        <v>1277</v>
      </c>
      <c r="D7" s="244"/>
      <c r="E7" s="244"/>
      <c r="F7" s="244"/>
      <c r="G7" s="244"/>
      <c r="H7" s="244"/>
      <c r="I7" s="244"/>
      <c r="J7" s="244"/>
      <c r="K7" s="244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</row>
    <row r="8" ht="14.25" customHeight="1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</row>
    <row r="9" ht="15.0" customHeight="1">
      <c r="A9" s="275" t="s">
        <v>999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7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</row>
    <row r="10" ht="28.5" customHeight="1">
      <c r="A10" s="252" t="s">
        <v>914</v>
      </c>
      <c r="B10" s="252" t="s">
        <v>1000</v>
      </c>
      <c r="C10" s="252" t="s">
        <v>915</v>
      </c>
      <c r="D10" s="252" t="s">
        <v>916</v>
      </c>
      <c r="E10" s="252" t="s">
        <v>917</v>
      </c>
      <c r="F10" s="252" t="s">
        <v>1001</v>
      </c>
      <c r="G10" s="252" t="s">
        <v>22</v>
      </c>
      <c r="H10" s="252" t="s">
        <v>1002</v>
      </c>
      <c r="I10" s="244"/>
      <c r="J10" s="244"/>
      <c r="K10" s="244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</row>
    <row r="11" ht="57.0" customHeight="1">
      <c r="A11" s="253" t="s">
        <v>947</v>
      </c>
      <c r="B11" s="253" t="s">
        <v>1278</v>
      </c>
      <c r="C11" s="253" t="s">
        <v>279</v>
      </c>
      <c r="D11" s="254" t="s">
        <v>1279</v>
      </c>
      <c r="E11" s="253" t="s">
        <v>281</v>
      </c>
      <c r="F11" s="253" t="s">
        <v>1084</v>
      </c>
      <c r="G11" s="253" t="s">
        <v>29</v>
      </c>
      <c r="H11" s="254" t="s">
        <v>1280</v>
      </c>
      <c r="I11" s="244"/>
      <c r="J11" s="244"/>
      <c r="K11" s="244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</row>
    <row r="12" ht="42.75" customHeight="1">
      <c r="A12" s="253" t="s">
        <v>948</v>
      </c>
      <c r="B12" s="253" t="s">
        <v>1281</v>
      </c>
      <c r="C12" s="253" t="s">
        <v>283</v>
      </c>
      <c r="D12" s="253" t="s">
        <v>284</v>
      </c>
      <c r="E12" s="253" t="s">
        <v>285</v>
      </c>
      <c r="F12" s="254" t="s">
        <v>1078</v>
      </c>
      <c r="G12" s="253" t="s">
        <v>29</v>
      </c>
      <c r="H12" s="253"/>
      <c r="I12" s="244"/>
      <c r="J12" s="244"/>
      <c r="K12" s="244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</row>
    <row r="13" ht="86.25" customHeight="1">
      <c r="A13" s="253" t="s">
        <v>949</v>
      </c>
      <c r="B13" s="253" t="s">
        <v>1282</v>
      </c>
      <c r="C13" s="253" t="s">
        <v>286</v>
      </c>
      <c r="D13" s="253" t="s">
        <v>287</v>
      </c>
      <c r="E13" s="253" t="s">
        <v>288</v>
      </c>
      <c r="F13" s="254" t="s">
        <v>1078</v>
      </c>
      <c r="G13" s="253" t="s">
        <v>29</v>
      </c>
      <c r="H13" s="253"/>
      <c r="I13" s="244"/>
      <c r="J13" s="244"/>
      <c r="K13" s="244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</row>
    <row r="14" ht="42.75" customHeight="1">
      <c r="A14" s="253" t="s">
        <v>950</v>
      </c>
      <c r="B14" s="253" t="s">
        <v>1283</v>
      </c>
      <c r="C14" s="253" t="s">
        <v>289</v>
      </c>
      <c r="D14" s="253" t="s">
        <v>290</v>
      </c>
      <c r="E14" s="253" t="s">
        <v>291</v>
      </c>
      <c r="F14" s="254" t="s">
        <v>1078</v>
      </c>
      <c r="G14" s="253" t="s">
        <v>29</v>
      </c>
      <c r="H14" s="253"/>
      <c r="I14" s="244"/>
      <c r="J14" s="244"/>
      <c r="K14" s="244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</row>
    <row r="15" ht="42.75" customHeight="1">
      <c r="A15" s="253" t="s">
        <v>951</v>
      </c>
      <c r="B15" s="253" t="s">
        <v>1284</v>
      </c>
      <c r="C15" s="253" t="s">
        <v>293</v>
      </c>
      <c r="D15" s="253" t="s">
        <v>294</v>
      </c>
      <c r="E15" s="253" t="s">
        <v>295</v>
      </c>
      <c r="F15" s="254" t="s">
        <v>1078</v>
      </c>
      <c r="G15" s="253" t="s">
        <v>29</v>
      </c>
      <c r="H15" s="253"/>
      <c r="I15" s="244"/>
      <c r="J15" s="244"/>
      <c r="K15" s="244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</row>
    <row r="16" ht="14.25" customHeight="1">
      <c r="A16" s="244"/>
      <c r="B16" s="244"/>
      <c r="C16" s="244"/>
      <c r="D16" s="244"/>
      <c r="E16" s="244"/>
      <c r="F16" s="244"/>
      <c r="G16" s="244"/>
      <c r="H16" s="244"/>
      <c r="I16" s="244"/>
      <c r="J16" s="244"/>
      <c r="K16" s="244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</row>
    <row r="17" ht="15.0" customHeight="1">
      <c r="A17" s="255" t="s">
        <v>1014</v>
      </c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7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</row>
    <row r="18" ht="14.25" customHeight="1">
      <c r="A18" s="256" t="s">
        <v>32</v>
      </c>
      <c r="B18" s="256" t="s">
        <v>1015</v>
      </c>
      <c r="C18" s="256" t="s">
        <v>1016</v>
      </c>
      <c r="D18" s="256" t="s">
        <v>23</v>
      </c>
      <c r="E18" s="256" t="s">
        <v>22</v>
      </c>
      <c r="F18" s="256" t="s">
        <v>1017</v>
      </c>
      <c r="G18" s="256" t="s">
        <v>1018</v>
      </c>
      <c r="H18" s="256" t="s">
        <v>1019</v>
      </c>
      <c r="I18" s="256" t="s">
        <v>1020</v>
      </c>
      <c r="J18" s="257" t="s">
        <v>1090</v>
      </c>
      <c r="K18" s="256" t="s">
        <v>1021</v>
      </c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</row>
    <row r="19" ht="72.0" customHeight="1">
      <c r="A19" s="253" t="s">
        <v>1024</v>
      </c>
      <c r="B19" s="253" t="s">
        <v>947</v>
      </c>
      <c r="C19" s="253" t="s">
        <v>1285</v>
      </c>
      <c r="D19" s="253" t="s">
        <v>1286</v>
      </c>
      <c r="E19" s="253" t="s">
        <v>1228</v>
      </c>
      <c r="F19" s="253" t="s">
        <v>1045</v>
      </c>
      <c r="G19" s="254" t="s">
        <v>1043</v>
      </c>
      <c r="H19" s="253"/>
      <c r="I19" s="253"/>
      <c r="J19" s="253"/>
      <c r="K19" s="253" t="s">
        <v>1287</v>
      </c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</row>
    <row r="20" ht="72.0" customHeight="1">
      <c r="A20" s="253" t="s">
        <v>1024</v>
      </c>
      <c r="B20" s="253" t="s">
        <v>947</v>
      </c>
      <c r="C20" s="253" t="s">
        <v>1288</v>
      </c>
      <c r="D20" s="253" t="s">
        <v>1286</v>
      </c>
      <c r="E20" s="253" t="s">
        <v>1228</v>
      </c>
      <c r="F20" s="253" t="s">
        <v>1049</v>
      </c>
      <c r="G20" s="254" t="s">
        <v>1043</v>
      </c>
      <c r="H20" s="253"/>
      <c r="I20" s="253"/>
      <c r="J20" s="253"/>
      <c r="K20" s="253" t="s">
        <v>1289</v>
      </c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</row>
    <row r="21" ht="57.0" customHeight="1">
      <c r="A21" s="253" t="s">
        <v>1024</v>
      </c>
      <c r="B21" s="253" t="s">
        <v>948</v>
      </c>
      <c r="C21" s="253" t="s">
        <v>1290</v>
      </c>
      <c r="D21" s="253" t="s">
        <v>1286</v>
      </c>
      <c r="E21" s="253" t="s">
        <v>1228</v>
      </c>
      <c r="F21" s="253" t="s">
        <v>1049</v>
      </c>
      <c r="G21" s="254" t="s">
        <v>1043</v>
      </c>
      <c r="H21" s="253"/>
      <c r="I21" s="253"/>
      <c r="J21" s="253"/>
      <c r="K21" s="253" t="s">
        <v>1291</v>
      </c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</row>
    <row r="22" ht="72.0" customHeight="1">
      <c r="A22" s="253" t="s">
        <v>1024</v>
      </c>
      <c r="B22" s="253" t="s">
        <v>950</v>
      </c>
      <c r="C22" s="253" t="s">
        <v>1292</v>
      </c>
      <c r="D22" s="253" t="s">
        <v>1286</v>
      </c>
      <c r="E22" s="253" t="s">
        <v>1228</v>
      </c>
      <c r="F22" s="253" t="s">
        <v>1049</v>
      </c>
      <c r="G22" s="254" t="s">
        <v>1043</v>
      </c>
      <c r="H22" s="253"/>
      <c r="I22" s="253"/>
      <c r="J22" s="253"/>
      <c r="K22" s="253" t="s">
        <v>1293</v>
      </c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</row>
    <row r="23" ht="72.0" customHeight="1">
      <c r="A23" s="253" t="s">
        <v>1023</v>
      </c>
      <c r="B23" s="253" t="s">
        <v>949</v>
      </c>
      <c r="C23" s="253" t="s">
        <v>1294</v>
      </c>
      <c r="D23" s="253" t="s">
        <v>1286</v>
      </c>
      <c r="E23" s="253" t="s">
        <v>1228</v>
      </c>
      <c r="F23" s="253" t="s">
        <v>1049</v>
      </c>
      <c r="G23" s="254" t="s">
        <v>1045</v>
      </c>
      <c r="H23" s="254" t="s">
        <v>1045</v>
      </c>
      <c r="I23" s="254" t="s">
        <v>1043</v>
      </c>
      <c r="J23" s="253"/>
      <c r="K23" s="253" t="s">
        <v>1295</v>
      </c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</row>
    <row r="24" ht="72.0" customHeight="1">
      <c r="A24" s="253" t="s">
        <v>1022</v>
      </c>
      <c r="B24" s="253" t="s">
        <v>1296</v>
      </c>
      <c r="C24" s="253" t="s">
        <v>1297</v>
      </c>
      <c r="D24" s="253" t="s">
        <v>1286</v>
      </c>
      <c r="E24" s="253" t="s">
        <v>1144</v>
      </c>
      <c r="F24" s="253" t="s">
        <v>1051</v>
      </c>
      <c r="G24" s="254" t="s">
        <v>1045</v>
      </c>
      <c r="H24" s="253"/>
      <c r="I24" s="253"/>
      <c r="J24" s="253"/>
      <c r="K24" s="253" t="s">
        <v>1298</v>
      </c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</row>
    <row r="25" ht="72.0" customHeight="1">
      <c r="A25" s="253" t="s">
        <v>1022</v>
      </c>
      <c r="B25" s="253" t="s">
        <v>951</v>
      </c>
      <c r="C25" s="253" t="s">
        <v>1299</v>
      </c>
      <c r="D25" s="253" t="s">
        <v>1286</v>
      </c>
      <c r="E25" s="253" t="s">
        <v>1144</v>
      </c>
      <c r="F25" s="253" t="s">
        <v>1051</v>
      </c>
      <c r="G25" s="254" t="s">
        <v>1043</v>
      </c>
      <c r="H25" s="253"/>
      <c r="I25" s="253"/>
      <c r="J25" s="253"/>
      <c r="K25" s="253" t="s">
        <v>1300</v>
      </c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</row>
    <row r="26" ht="72.0" customHeight="1">
      <c r="A26" s="253" t="s">
        <v>1025</v>
      </c>
      <c r="B26" s="253" t="s">
        <v>947</v>
      </c>
      <c r="C26" s="253" t="s">
        <v>1301</v>
      </c>
      <c r="D26" s="253" t="s">
        <v>1286</v>
      </c>
      <c r="E26" s="253" t="s">
        <v>1144</v>
      </c>
      <c r="F26" s="253" t="s">
        <v>1051</v>
      </c>
      <c r="G26" s="254" t="s">
        <v>1043</v>
      </c>
      <c r="H26" s="253"/>
      <c r="I26" s="253"/>
      <c r="J26" s="253"/>
      <c r="K26" s="253" t="s">
        <v>1302</v>
      </c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</row>
    <row r="27" ht="14.25" customHeight="1">
      <c r="A27" s="253" t="s">
        <v>1024</v>
      </c>
      <c r="B27" s="254" t="s">
        <v>1303</v>
      </c>
      <c r="C27" s="254" t="s">
        <v>1304</v>
      </c>
      <c r="D27" s="253" t="s">
        <v>1286</v>
      </c>
      <c r="E27" s="253"/>
      <c r="F27" s="253"/>
      <c r="G27" s="253"/>
      <c r="H27" s="254" t="s">
        <v>1045</v>
      </c>
      <c r="I27" s="254" t="s">
        <v>1045</v>
      </c>
      <c r="J27" s="254" t="s">
        <v>1045</v>
      </c>
      <c r="K27" s="254" t="s">
        <v>1305</v>
      </c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</row>
    <row r="28" ht="14.25" customHeight="1">
      <c r="A28" s="254" t="s">
        <v>1024</v>
      </c>
      <c r="B28" s="254" t="s">
        <v>1282</v>
      </c>
      <c r="C28" s="265" t="s">
        <v>1306</v>
      </c>
      <c r="D28" s="253" t="s">
        <v>1286</v>
      </c>
      <c r="E28" s="253"/>
      <c r="F28" s="253"/>
      <c r="G28" s="253"/>
      <c r="H28" s="254" t="s">
        <v>1043</v>
      </c>
      <c r="I28" s="253"/>
      <c r="J28" s="265"/>
      <c r="K28" s="265" t="s">
        <v>1307</v>
      </c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</row>
    <row r="29" ht="14.25" customHeight="1">
      <c r="A29" s="254" t="s">
        <v>1022</v>
      </c>
      <c r="B29" s="254" t="s">
        <v>1303</v>
      </c>
      <c r="C29" s="254" t="s">
        <v>1308</v>
      </c>
      <c r="D29" s="253" t="s">
        <v>1286</v>
      </c>
      <c r="E29" s="253"/>
      <c r="F29" s="253"/>
      <c r="G29" s="253"/>
      <c r="H29" s="254" t="s">
        <v>1043</v>
      </c>
      <c r="I29" s="253"/>
      <c r="J29" s="254"/>
      <c r="K29" s="254" t="s">
        <v>1309</v>
      </c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</row>
    <row r="30" ht="14.25" customHeight="1">
      <c r="A30" s="254" t="s">
        <v>1025</v>
      </c>
      <c r="B30" s="254"/>
      <c r="C30" s="254" t="s">
        <v>1310</v>
      </c>
      <c r="D30" s="253" t="s">
        <v>1286</v>
      </c>
      <c r="E30" s="253"/>
      <c r="F30" s="253"/>
      <c r="G30" s="253"/>
      <c r="H30" s="254" t="s">
        <v>1311</v>
      </c>
      <c r="I30" s="254" t="s">
        <v>1045</v>
      </c>
      <c r="J30" s="254"/>
      <c r="K30" s="254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</row>
    <row r="31" ht="14.25" customHeight="1">
      <c r="A31" s="254" t="s">
        <v>1024</v>
      </c>
      <c r="B31" s="254" t="s">
        <v>1281</v>
      </c>
      <c r="C31" s="254" t="s">
        <v>1312</v>
      </c>
      <c r="D31" s="253" t="s">
        <v>1286</v>
      </c>
      <c r="E31" s="253"/>
      <c r="F31" s="253"/>
      <c r="G31" s="253"/>
      <c r="H31" s="254" t="s">
        <v>1043</v>
      </c>
      <c r="I31" s="253"/>
      <c r="J31" s="254"/>
      <c r="K31" s="254" t="s">
        <v>1313</v>
      </c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</row>
    <row r="32" ht="14.25" customHeight="1">
      <c r="A32" s="254" t="s">
        <v>1023</v>
      </c>
      <c r="B32" s="254" t="s">
        <v>1303</v>
      </c>
      <c r="C32" s="254" t="s">
        <v>1314</v>
      </c>
      <c r="D32" s="253" t="s">
        <v>1286</v>
      </c>
      <c r="E32" s="253"/>
      <c r="F32" s="253"/>
      <c r="G32" s="253"/>
      <c r="H32" s="254" t="s">
        <v>1045</v>
      </c>
      <c r="I32" s="254" t="s">
        <v>1043</v>
      </c>
      <c r="J32" s="254"/>
      <c r="K32" s="254" t="s">
        <v>1315</v>
      </c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</row>
    <row r="33" ht="14.25" customHeight="1">
      <c r="A33" s="254" t="s">
        <v>1022</v>
      </c>
      <c r="B33" s="254" t="s">
        <v>1303</v>
      </c>
      <c r="C33" s="254" t="s">
        <v>1316</v>
      </c>
      <c r="D33" s="253" t="s">
        <v>1286</v>
      </c>
      <c r="E33" s="254" t="s">
        <v>1317</v>
      </c>
      <c r="F33" s="253"/>
      <c r="G33" s="253"/>
      <c r="H33" s="253"/>
      <c r="I33" s="254" t="s">
        <v>1045</v>
      </c>
      <c r="J33" s="254" t="s">
        <v>1045</v>
      </c>
      <c r="K33" s="254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</row>
    <row r="34" ht="14.25" customHeight="1">
      <c r="A34" s="254" t="s">
        <v>1024</v>
      </c>
      <c r="B34" s="254" t="s">
        <v>1282</v>
      </c>
      <c r="C34" s="254" t="s">
        <v>1318</v>
      </c>
      <c r="D34" s="253" t="s">
        <v>1286</v>
      </c>
      <c r="E34" s="254" t="s">
        <v>1319</v>
      </c>
      <c r="F34" s="253"/>
      <c r="G34" s="253"/>
      <c r="H34" s="253"/>
      <c r="I34" s="254" t="s">
        <v>1043</v>
      </c>
      <c r="J34" s="254"/>
      <c r="K34" s="254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</row>
    <row r="35" ht="14.25" customHeight="1">
      <c r="A35" s="254" t="s">
        <v>1024</v>
      </c>
      <c r="B35" s="254" t="s">
        <v>1320</v>
      </c>
      <c r="C35" s="254" t="s">
        <v>1321</v>
      </c>
      <c r="D35" s="253" t="s">
        <v>1286</v>
      </c>
      <c r="E35" s="254" t="s">
        <v>1252</v>
      </c>
      <c r="F35" s="253"/>
      <c r="G35" s="253"/>
      <c r="H35" s="253"/>
      <c r="I35" s="254" t="s">
        <v>1045</v>
      </c>
      <c r="J35" s="254" t="s">
        <v>1047</v>
      </c>
      <c r="K35" s="254" t="s">
        <v>1322</v>
      </c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</row>
    <row r="36" ht="14.25" customHeight="1">
      <c r="A36" s="254" t="s">
        <v>1023</v>
      </c>
      <c r="B36" s="254" t="s">
        <v>1303</v>
      </c>
      <c r="C36" s="254" t="s">
        <v>1323</v>
      </c>
      <c r="D36" s="253" t="s">
        <v>1286</v>
      </c>
      <c r="E36" s="254" t="s">
        <v>1324</v>
      </c>
      <c r="F36" s="253"/>
      <c r="G36" s="253"/>
      <c r="H36" s="253"/>
      <c r="I36" s="254" t="s">
        <v>1102</v>
      </c>
      <c r="J36" s="254"/>
      <c r="K36" s="254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</row>
    <row r="37" ht="14.25" customHeight="1">
      <c r="A37" s="254" t="s">
        <v>1024</v>
      </c>
      <c r="B37" s="254" t="s">
        <v>1283</v>
      </c>
      <c r="C37" s="254" t="s">
        <v>1325</v>
      </c>
      <c r="D37" s="253" t="s">
        <v>1286</v>
      </c>
      <c r="E37" s="254" t="s">
        <v>1326</v>
      </c>
      <c r="F37" s="253"/>
      <c r="G37" s="253"/>
      <c r="H37" s="253"/>
      <c r="I37" s="254" t="s">
        <v>1045</v>
      </c>
      <c r="J37" s="254" t="s">
        <v>1043</v>
      </c>
      <c r="K37" s="254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</row>
    <row r="38" ht="14.25" customHeight="1">
      <c r="A38" s="254" t="s">
        <v>1022</v>
      </c>
      <c r="B38" s="254" t="s">
        <v>1283</v>
      </c>
      <c r="C38" s="254" t="s">
        <v>1327</v>
      </c>
      <c r="D38" s="253" t="s">
        <v>1286</v>
      </c>
      <c r="E38" s="254" t="s">
        <v>1328</v>
      </c>
      <c r="F38" s="253"/>
      <c r="G38" s="253"/>
      <c r="H38" s="253"/>
      <c r="I38" s="254" t="s">
        <v>1045</v>
      </c>
      <c r="J38" s="254" t="s">
        <v>1329</v>
      </c>
      <c r="K38" s="254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</row>
    <row r="39" ht="14.25" customHeight="1">
      <c r="A39" s="254" t="s">
        <v>1024</v>
      </c>
      <c r="B39" s="254"/>
      <c r="C39" s="254" t="s">
        <v>1330</v>
      </c>
      <c r="D39" s="253" t="s">
        <v>1286</v>
      </c>
      <c r="E39" s="253"/>
      <c r="F39" s="253"/>
      <c r="G39" s="253"/>
      <c r="H39" s="253"/>
      <c r="I39" s="253"/>
      <c r="J39" s="254" t="s">
        <v>1045</v>
      </c>
      <c r="K39" s="254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</row>
    <row r="40" ht="14.25" customHeight="1">
      <c r="A40" s="254"/>
      <c r="B40" s="254"/>
      <c r="C40" s="254"/>
      <c r="D40" s="253"/>
      <c r="E40" s="253"/>
      <c r="F40" s="253"/>
      <c r="G40" s="253"/>
      <c r="H40" s="253"/>
      <c r="I40" s="253"/>
      <c r="J40" s="254"/>
      <c r="K40" s="254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</row>
    <row r="41" ht="14.25" customHeight="1">
      <c r="A41" s="254"/>
      <c r="B41" s="254"/>
      <c r="C41" s="254"/>
      <c r="D41" s="253"/>
      <c r="E41" s="253"/>
      <c r="F41" s="253"/>
      <c r="G41" s="253"/>
      <c r="H41" s="253"/>
      <c r="I41" s="253"/>
      <c r="J41" s="254"/>
      <c r="K41" s="254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</row>
    <row r="42" ht="14.25" customHeight="1">
      <c r="A42" s="254"/>
      <c r="B42" s="254"/>
      <c r="C42" s="254"/>
      <c r="D42" s="253"/>
      <c r="E42" s="253"/>
      <c r="F42" s="253"/>
      <c r="G42" s="253"/>
      <c r="H42" s="253"/>
      <c r="I42" s="253"/>
      <c r="J42" s="254"/>
      <c r="K42" s="254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</row>
    <row r="43" ht="14.25" customHeight="1">
      <c r="A43" s="254"/>
      <c r="B43" s="254"/>
      <c r="C43" s="254"/>
      <c r="D43" s="253"/>
      <c r="E43" s="253"/>
      <c r="F43" s="253"/>
      <c r="G43" s="253"/>
      <c r="H43" s="253"/>
      <c r="I43" s="253"/>
      <c r="J43" s="254"/>
      <c r="K43" s="254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</row>
    <row r="44" ht="14.25" customHeight="1">
      <c r="A44" s="254"/>
      <c r="B44" s="254"/>
      <c r="C44" s="254"/>
      <c r="D44" s="253"/>
      <c r="E44" s="253"/>
      <c r="F44" s="253"/>
      <c r="G44" s="253"/>
      <c r="H44" s="253"/>
      <c r="I44" s="253"/>
      <c r="J44" s="254"/>
      <c r="K44" s="254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</row>
    <row r="45" ht="14.25" customHeight="1">
      <c r="A45" s="254"/>
      <c r="B45" s="254"/>
      <c r="C45" s="254"/>
      <c r="D45" s="253"/>
      <c r="E45" s="253"/>
      <c r="F45" s="253"/>
      <c r="G45" s="253"/>
      <c r="H45" s="253"/>
      <c r="I45" s="253"/>
      <c r="J45" s="254"/>
      <c r="K45" s="254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</row>
    <row r="46" ht="14.25" customHeight="1">
      <c r="A46" s="254"/>
      <c r="B46" s="254"/>
      <c r="C46" s="254"/>
      <c r="D46" s="253"/>
      <c r="E46" s="253"/>
      <c r="F46" s="253"/>
      <c r="G46" s="253"/>
      <c r="H46" s="253"/>
      <c r="I46" s="253"/>
      <c r="J46" s="254"/>
      <c r="K46" s="254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</row>
    <row r="47" ht="14.25" customHeight="1">
      <c r="A47" s="254" t="s">
        <v>1023</v>
      </c>
      <c r="B47" s="254"/>
      <c r="C47" s="254"/>
      <c r="D47" s="253"/>
      <c r="E47" s="253"/>
      <c r="F47" s="253"/>
      <c r="G47" s="253"/>
      <c r="H47" s="253"/>
      <c r="I47" s="253"/>
      <c r="J47" s="254"/>
      <c r="K47" s="254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</row>
    <row r="48" ht="14.25" customHeight="1">
      <c r="A48" s="244"/>
      <c r="B48" s="244"/>
      <c r="C48" s="258"/>
      <c r="D48" s="244"/>
      <c r="E48" s="244"/>
      <c r="F48" s="244"/>
      <c r="G48" s="244"/>
      <c r="H48" s="244"/>
      <c r="I48" s="244"/>
      <c r="J48" s="258"/>
      <c r="K48" s="258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</row>
    <row r="49" ht="14.25" customHeight="1">
      <c r="A49" s="244"/>
      <c r="B49" s="244"/>
      <c r="C49" s="244"/>
      <c r="D49" s="244"/>
      <c r="E49" s="244"/>
      <c r="F49" s="244"/>
      <c r="G49" s="244"/>
      <c r="H49" s="244"/>
      <c r="I49" s="244"/>
      <c r="J49" s="244"/>
      <c r="K49" s="244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</row>
    <row r="50" ht="14.25" customHeight="1">
      <c r="A50" s="261" t="s">
        <v>1026</v>
      </c>
      <c r="B50" s="206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7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</row>
    <row r="51" ht="24.0" customHeight="1">
      <c r="A51" s="262" t="s">
        <v>377</v>
      </c>
      <c r="B51" s="262" t="s">
        <v>32</v>
      </c>
      <c r="C51" s="262" t="s">
        <v>1027</v>
      </c>
      <c r="D51" s="262" t="s">
        <v>1028</v>
      </c>
      <c r="E51" s="262" t="s">
        <v>154</v>
      </c>
      <c r="F51" s="262" t="s">
        <v>1029</v>
      </c>
      <c r="G51" s="262" t="s">
        <v>381</v>
      </c>
      <c r="H51" s="244"/>
      <c r="I51" s="244"/>
      <c r="J51" s="244"/>
      <c r="K51" s="244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</row>
    <row r="52" ht="14.25" customHeight="1">
      <c r="A52" s="263" t="s">
        <v>1116</v>
      </c>
      <c r="B52" s="263" t="s">
        <v>1022</v>
      </c>
      <c r="C52" s="264" t="s">
        <v>1331</v>
      </c>
      <c r="D52" s="265" t="s">
        <v>1303</v>
      </c>
      <c r="E52" s="263" t="s">
        <v>1118</v>
      </c>
      <c r="F52" s="263" t="s">
        <v>1119</v>
      </c>
      <c r="G52" s="263" t="s">
        <v>1053</v>
      </c>
      <c r="H52" s="244"/>
      <c r="I52" s="244"/>
      <c r="J52" s="244"/>
      <c r="K52" s="244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</row>
    <row r="53" ht="14.25" customHeight="1">
      <c r="A53" s="263" t="s">
        <v>1120</v>
      </c>
      <c r="B53" s="263" t="s">
        <v>1025</v>
      </c>
      <c r="C53" s="264" t="s">
        <v>1332</v>
      </c>
      <c r="D53" s="263" t="s">
        <v>947</v>
      </c>
      <c r="E53" s="263" t="s">
        <v>1183</v>
      </c>
      <c r="F53" s="263" t="s">
        <v>1119</v>
      </c>
      <c r="G53" s="263" t="s">
        <v>1053</v>
      </c>
      <c r="H53" s="244"/>
      <c r="I53" s="244"/>
      <c r="J53" s="244"/>
      <c r="K53" s="244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</row>
    <row r="54" ht="14.25" customHeight="1">
      <c r="A54" s="263" t="s">
        <v>1122</v>
      </c>
      <c r="B54" s="263" t="s">
        <v>1025</v>
      </c>
      <c r="C54" s="264" t="s">
        <v>1333</v>
      </c>
      <c r="D54" s="263" t="s">
        <v>948</v>
      </c>
      <c r="E54" s="263" t="s">
        <v>1118</v>
      </c>
      <c r="F54" s="263" t="s">
        <v>1119</v>
      </c>
      <c r="G54" s="263" t="s">
        <v>1053</v>
      </c>
      <c r="H54" s="244"/>
      <c r="I54" s="244"/>
      <c r="J54" s="244"/>
      <c r="K54" s="244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</row>
    <row r="55" ht="14.25" customHeight="1">
      <c r="A55" s="263" t="s">
        <v>1187</v>
      </c>
      <c r="B55" s="263" t="s">
        <v>1022</v>
      </c>
      <c r="C55" s="264" t="s">
        <v>1334</v>
      </c>
      <c r="D55" s="263" t="s">
        <v>947</v>
      </c>
      <c r="E55" s="263" t="s">
        <v>1118</v>
      </c>
      <c r="F55" s="263" t="s">
        <v>1119</v>
      </c>
      <c r="G55" s="263" t="s">
        <v>1053</v>
      </c>
      <c r="H55" s="244"/>
      <c r="I55" s="244"/>
      <c r="J55" s="244"/>
      <c r="K55" s="244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</row>
    <row r="56" ht="14.25" customHeight="1">
      <c r="A56" s="263"/>
      <c r="B56" s="263"/>
      <c r="C56" s="266" t="s">
        <v>1335</v>
      </c>
      <c r="D56" s="265">
        <v>5.1</v>
      </c>
      <c r="E56" s="265" t="s">
        <v>1125</v>
      </c>
      <c r="F56" s="265">
        <v>24.02</v>
      </c>
      <c r="G56" s="265" t="s">
        <v>1336</v>
      </c>
      <c r="H56" s="244"/>
      <c r="I56" s="244"/>
      <c r="J56" s="244"/>
      <c r="K56" s="244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</row>
    <row r="57" ht="14.25" customHeight="1">
      <c r="A57" s="263"/>
      <c r="B57" s="263"/>
      <c r="C57" s="263"/>
      <c r="D57" s="263"/>
      <c r="E57" s="263"/>
      <c r="F57" s="263"/>
      <c r="G57" s="263"/>
      <c r="H57" s="244"/>
      <c r="I57" s="244"/>
      <c r="J57" s="244"/>
      <c r="K57" s="244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</row>
    <row r="58" ht="14.25" customHeight="1">
      <c r="A58" s="263"/>
      <c r="B58" s="263"/>
      <c r="C58" s="263"/>
      <c r="D58" s="263"/>
      <c r="E58" s="263"/>
      <c r="F58" s="263"/>
      <c r="G58" s="263"/>
      <c r="H58" s="244"/>
      <c r="I58" s="244"/>
      <c r="J58" s="244"/>
      <c r="K58" s="244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</row>
    <row r="59" ht="14.25" customHeight="1">
      <c r="A59" s="263"/>
      <c r="B59" s="263"/>
      <c r="C59" s="263"/>
      <c r="D59" s="263"/>
      <c r="E59" s="263"/>
      <c r="F59" s="263"/>
      <c r="G59" s="263"/>
      <c r="H59" s="244"/>
      <c r="I59" s="244"/>
      <c r="J59" s="244"/>
      <c r="K59" s="244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</row>
    <row r="60" ht="14.25" customHeight="1">
      <c r="A60" s="244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</row>
    <row r="61" ht="14.25" customHeight="1">
      <c r="A61" s="244"/>
      <c r="B61" s="244"/>
      <c r="C61" s="244"/>
      <c r="D61" s="244"/>
      <c r="E61" s="244"/>
      <c r="F61" s="244"/>
      <c r="G61" s="244"/>
      <c r="H61" s="244"/>
      <c r="I61" s="244"/>
      <c r="J61" s="244"/>
      <c r="K61" s="244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</row>
    <row r="62" ht="14.25" customHeight="1">
      <c r="A62" s="267" t="s">
        <v>1030</v>
      </c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20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</row>
    <row r="63" ht="14.25" customHeight="1">
      <c r="A63" s="268"/>
      <c r="B63" s="269" t="s">
        <v>1031</v>
      </c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20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</row>
    <row r="64" ht="14.25" customHeight="1">
      <c r="A64" s="268" t="s">
        <v>1024</v>
      </c>
      <c r="B64" s="269" t="s">
        <v>1032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20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</row>
    <row r="65" ht="14.25" customHeight="1">
      <c r="A65" s="268" t="s">
        <v>1023</v>
      </c>
      <c r="B65" s="269" t="s">
        <v>1033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20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</row>
    <row r="66" ht="14.25" customHeight="1">
      <c r="A66" s="268" t="s">
        <v>1022</v>
      </c>
      <c r="B66" s="269" t="s">
        <v>1034</v>
      </c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20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</row>
    <row r="67" ht="14.25" customHeight="1">
      <c r="A67" s="268" t="s">
        <v>1025</v>
      </c>
      <c r="B67" s="269" t="s">
        <v>1035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20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</row>
    <row r="68" ht="14.25" customHeight="1">
      <c r="A68" s="268"/>
      <c r="B68" s="269" t="s">
        <v>1036</v>
      </c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20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</row>
    <row r="69" ht="14.25" customHeight="1">
      <c r="A69" s="268" t="s">
        <v>1037</v>
      </c>
      <c r="B69" s="269" t="s">
        <v>1038</v>
      </c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20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</row>
    <row r="70" ht="14.25" customHeight="1">
      <c r="A70" s="268" t="s">
        <v>1039</v>
      </c>
      <c r="B70" s="269" t="s">
        <v>1040</v>
      </c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20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</row>
    <row r="71" ht="14.25" customHeight="1">
      <c r="A71" s="268" t="s">
        <v>1041</v>
      </c>
      <c r="B71" s="269" t="s">
        <v>1042</v>
      </c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20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</row>
    <row r="72" ht="14.25" customHeight="1">
      <c r="A72" s="268" t="s">
        <v>1043</v>
      </c>
      <c r="B72" s="269" t="s">
        <v>1044</v>
      </c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20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</row>
    <row r="73" ht="14.25" customHeight="1">
      <c r="A73" s="268" t="s">
        <v>1045</v>
      </c>
      <c r="B73" s="269" t="s">
        <v>1046</v>
      </c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20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</row>
    <row r="74" ht="14.25" customHeight="1">
      <c r="A74" s="268" t="s">
        <v>1047</v>
      </c>
      <c r="B74" s="269" t="s">
        <v>1048</v>
      </c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20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</row>
    <row r="75" ht="14.25" customHeight="1">
      <c r="A75" s="268" t="s">
        <v>1049</v>
      </c>
      <c r="B75" s="269" t="s">
        <v>1050</v>
      </c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20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</row>
    <row r="76" ht="14.25" customHeight="1">
      <c r="A76" s="268" t="s">
        <v>1051</v>
      </c>
      <c r="B76" s="269" t="s">
        <v>1052</v>
      </c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20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</row>
    <row r="77" ht="14.25" customHeight="1">
      <c r="A77" s="268" t="s">
        <v>1053</v>
      </c>
      <c r="B77" s="269" t="s">
        <v>1054</v>
      </c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20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</row>
    <row r="78" ht="14.25" customHeight="1">
      <c r="A78" s="268"/>
      <c r="B78" s="269" t="s">
        <v>1055</v>
      </c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20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</row>
    <row r="79" ht="14.25" customHeight="1">
      <c r="A79" s="268" t="s">
        <v>1056</v>
      </c>
      <c r="B79" s="269" t="s">
        <v>1057</v>
      </c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20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</row>
    <row r="80" ht="14.25" customHeight="1">
      <c r="A80" s="268" t="s">
        <v>1058</v>
      </c>
      <c r="B80" s="269" t="s">
        <v>1059</v>
      </c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20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</row>
    <row r="81" ht="14.25" customHeight="1">
      <c r="A81" s="268" t="s">
        <v>1060</v>
      </c>
      <c r="B81" s="269" t="s">
        <v>1061</v>
      </c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20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</row>
    <row r="82" ht="14.25" customHeight="1">
      <c r="A82" s="268" t="s">
        <v>1062</v>
      </c>
      <c r="B82" s="269" t="s">
        <v>1063</v>
      </c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20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</row>
    <row r="83" ht="14.25" customHeight="1">
      <c r="A83" s="268"/>
      <c r="B83" s="269" t="s">
        <v>1064</v>
      </c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20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</row>
    <row r="84" ht="14.25" customHeight="1">
      <c r="A84" s="268" t="s">
        <v>1065</v>
      </c>
      <c r="B84" s="269" t="s">
        <v>1066</v>
      </c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20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</row>
    <row r="85" ht="14.25" customHeight="1">
      <c r="A85" s="268" t="s">
        <v>1067</v>
      </c>
      <c r="B85" s="269" t="s">
        <v>1068</v>
      </c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20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</row>
    <row r="86" ht="14.25" customHeight="1">
      <c r="A86" s="268" t="s">
        <v>1069</v>
      </c>
      <c r="B86" s="269" t="s">
        <v>1070</v>
      </c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20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</row>
    <row r="87" ht="14.25" customHeight="1">
      <c r="A87" s="268" t="s">
        <v>1071</v>
      </c>
      <c r="B87" s="269" t="s">
        <v>1072</v>
      </c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20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</row>
    <row r="88" ht="14.25" customHeight="1">
      <c r="A88" s="244"/>
      <c r="B88" s="244"/>
      <c r="C88" s="244"/>
      <c r="D88" s="244"/>
      <c r="E88" s="244"/>
      <c r="F88" s="244"/>
      <c r="G88" s="244"/>
      <c r="H88" s="244"/>
      <c r="I88" s="244"/>
      <c r="J88" s="244"/>
      <c r="K88" s="244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</row>
    <row r="89" ht="14.25" customHeight="1">
      <c r="A89" s="244"/>
      <c r="B89" s="244"/>
      <c r="C89" s="244"/>
      <c r="D89" s="244"/>
      <c r="E89" s="244"/>
      <c r="F89" s="244"/>
      <c r="G89" s="244"/>
      <c r="H89" s="244"/>
      <c r="I89" s="244"/>
      <c r="J89" s="244"/>
      <c r="K89" s="244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</row>
    <row r="90" ht="14.25" customHeight="1">
      <c r="A90" s="244"/>
      <c r="B90" s="244"/>
      <c r="C90" s="244"/>
      <c r="D90" s="244"/>
      <c r="E90" s="244"/>
      <c r="F90" s="244"/>
      <c r="G90" s="244"/>
      <c r="H90" s="244"/>
      <c r="I90" s="244"/>
      <c r="J90" s="244"/>
      <c r="K90" s="244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</row>
    <row r="91" ht="14.25" customHeight="1">
      <c r="A91" s="244"/>
      <c r="B91" s="244"/>
      <c r="C91" s="244"/>
      <c r="D91" s="244"/>
      <c r="E91" s="244"/>
      <c r="F91" s="244"/>
      <c r="G91" s="244"/>
      <c r="H91" s="244"/>
      <c r="I91" s="244"/>
      <c r="J91" s="244"/>
      <c r="K91" s="244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</row>
    <row r="92" ht="14.25" customHeight="1">
      <c r="A92" s="244"/>
      <c r="B92" s="244"/>
      <c r="C92" s="244"/>
      <c r="D92" s="244"/>
      <c r="E92" s="244"/>
      <c r="F92" s="244"/>
      <c r="G92" s="244"/>
      <c r="H92" s="244"/>
      <c r="I92" s="244"/>
      <c r="J92" s="244"/>
      <c r="K92" s="244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</row>
    <row r="93" ht="14.25" customHeight="1">
      <c r="A93" s="244"/>
      <c r="B93" s="244"/>
      <c r="C93" s="244"/>
      <c r="D93" s="244"/>
      <c r="E93" s="244"/>
      <c r="F93" s="244"/>
      <c r="G93" s="244"/>
      <c r="H93" s="244"/>
      <c r="I93" s="244"/>
      <c r="J93" s="244"/>
      <c r="K93" s="244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</row>
    <row r="94" ht="14.25" customHeight="1">
      <c r="A94" s="244"/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</row>
    <row r="95" ht="14.25" customHeight="1">
      <c r="A95" s="244"/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</row>
    <row r="96" ht="14.25" customHeight="1">
      <c r="A96" s="244"/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</row>
    <row r="97" ht="14.25" customHeight="1">
      <c r="A97" s="24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</row>
    <row r="98" ht="14.25" customHeight="1">
      <c r="A98" s="24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</row>
    <row r="99" ht="14.25" customHeight="1">
      <c r="A99" s="24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</row>
    <row r="100" ht="14.25" customHeight="1">
      <c r="A100" s="244"/>
      <c r="B100" s="244"/>
      <c r="C100" s="244"/>
      <c r="D100" s="244"/>
      <c r="E100" s="244"/>
      <c r="F100" s="244"/>
      <c r="G100" s="244"/>
      <c r="H100" s="244"/>
      <c r="I100" s="244"/>
      <c r="J100" s="244"/>
      <c r="K100" s="244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</row>
    <row r="101" ht="14.25" customHeight="1">
      <c r="A101" s="244"/>
      <c r="B101" s="244"/>
      <c r="C101" s="244"/>
      <c r="D101" s="244"/>
      <c r="E101" s="244"/>
      <c r="F101" s="244"/>
      <c r="G101" s="244"/>
      <c r="H101" s="244"/>
      <c r="I101" s="244"/>
      <c r="J101" s="244"/>
      <c r="K101" s="244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</row>
    <row r="102" ht="14.25" customHeight="1">
      <c r="A102" s="244"/>
      <c r="B102" s="244"/>
      <c r="C102" s="244"/>
      <c r="D102" s="244"/>
      <c r="E102" s="244"/>
      <c r="F102" s="244"/>
      <c r="G102" s="244"/>
      <c r="H102" s="244"/>
      <c r="I102" s="244"/>
      <c r="J102" s="244"/>
      <c r="K102" s="244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</row>
    <row r="103" ht="14.25" customHeight="1">
      <c r="A103" s="244"/>
      <c r="B103" s="244"/>
      <c r="C103" s="244"/>
      <c r="D103" s="244"/>
      <c r="E103" s="244"/>
      <c r="F103" s="244"/>
      <c r="G103" s="244"/>
      <c r="H103" s="244"/>
      <c r="I103" s="244"/>
      <c r="J103" s="244"/>
      <c r="K103" s="244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</row>
    <row r="104" ht="14.25" customHeight="1">
      <c r="A104" s="244"/>
      <c r="B104" s="244"/>
      <c r="C104" s="244"/>
      <c r="D104" s="244"/>
      <c r="E104" s="244"/>
      <c r="F104" s="244"/>
      <c r="G104" s="244"/>
      <c r="H104" s="244"/>
      <c r="I104" s="244"/>
      <c r="J104" s="244"/>
      <c r="K104" s="244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</row>
    <row r="105" ht="14.25" customHeight="1">
      <c r="A105" s="244"/>
      <c r="B105" s="244"/>
      <c r="C105" s="244"/>
      <c r="D105" s="244"/>
      <c r="E105" s="244"/>
      <c r="F105" s="244"/>
      <c r="G105" s="244"/>
      <c r="H105" s="244"/>
      <c r="I105" s="244"/>
      <c r="J105" s="244"/>
      <c r="K105" s="244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</row>
    <row r="106" ht="14.25" customHeight="1">
      <c r="A106" s="244"/>
      <c r="B106" s="244"/>
      <c r="C106" s="244"/>
      <c r="D106" s="244"/>
      <c r="E106" s="244"/>
      <c r="F106" s="244"/>
      <c r="G106" s="244"/>
      <c r="H106" s="244"/>
      <c r="I106" s="244"/>
      <c r="J106" s="244"/>
      <c r="K106" s="244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</row>
    <row r="107" ht="14.25" customHeight="1">
      <c r="A107" s="244"/>
      <c r="B107" s="244"/>
      <c r="C107" s="244"/>
      <c r="D107" s="244"/>
      <c r="E107" s="244"/>
      <c r="F107" s="244"/>
      <c r="G107" s="244"/>
      <c r="H107" s="244"/>
      <c r="I107" s="244"/>
      <c r="J107" s="244"/>
      <c r="K107" s="244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</row>
    <row r="108" ht="14.25" customHeight="1">
      <c r="A108" s="244"/>
      <c r="B108" s="244"/>
      <c r="C108" s="244"/>
      <c r="D108" s="244"/>
      <c r="E108" s="244"/>
      <c r="F108" s="244"/>
      <c r="G108" s="244"/>
      <c r="H108" s="244"/>
      <c r="I108" s="244"/>
      <c r="J108" s="244"/>
      <c r="K108" s="244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</row>
    <row r="109" ht="14.25" customHeight="1">
      <c r="A109" s="244"/>
      <c r="B109" s="244"/>
      <c r="C109" s="244"/>
      <c r="D109" s="244"/>
      <c r="E109" s="244"/>
      <c r="F109" s="244"/>
      <c r="G109" s="244"/>
      <c r="H109" s="244"/>
      <c r="I109" s="244"/>
      <c r="J109" s="244"/>
      <c r="K109" s="244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</row>
    <row r="110" ht="14.25" customHeight="1">
      <c r="A110" s="244"/>
      <c r="B110" s="244"/>
      <c r="C110" s="244"/>
      <c r="D110" s="244"/>
      <c r="E110" s="244"/>
      <c r="F110" s="244"/>
      <c r="G110" s="244"/>
      <c r="H110" s="244"/>
      <c r="I110" s="244"/>
      <c r="J110" s="244"/>
      <c r="K110" s="244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</row>
    <row r="111" ht="14.25" customHeight="1">
      <c r="A111" s="244"/>
      <c r="B111" s="244"/>
      <c r="C111" s="244"/>
      <c r="D111" s="244"/>
      <c r="E111" s="244"/>
      <c r="F111" s="244"/>
      <c r="G111" s="244"/>
      <c r="H111" s="244"/>
      <c r="I111" s="244"/>
      <c r="J111" s="244"/>
      <c r="K111" s="244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</row>
    <row r="112" ht="14.25" customHeight="1">
      <c r="A112" s="244"/>
      <c r="B112" s="244"/>
      <c r="C112" s="244"/>
      <c r="D112" s="244"/>
      <c r="E112" s="244"/>
      <c r="F112" s="244"/>
      <c r="G112" s="244"/>
      <c r="H112" s="244"/>
      <c r="I112" s="244"/>
      <c r="J112" s="244"/>
      <c r="K112" s="244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</row>
    <row r="113" ht="14.25" customHeight="1">
      <c r="A113" s="244"/>
      <c r="B113" s="244"/>
      <c r="C113" s="244"/>
      <c r="D113" s="244"/>
      <c r="E113" s="244"/>
      <c r="F113" s="244"/>
      <c r="G113" s="244"/>
      <c r="H113" s="244"/>
      <c r="I113" s="244"/>
      <c r="J113" s="244"/>
      <c r="K113" s="244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</row>
    <row r="114" ht="14.25" customHeight="1">
      <c r="A114" s="244"/>
      <c r="B114" s="244"/>
      <c r="C114" s="244"/>
      <c r="D114" s="244"/>
      <c r="E114" s="244"/>
      <c r="F114" s="244"/>
      <c r="G114" s="244"/>
      <c r="H114" s="244"/>
      <c r="I114" s="244"/>
      <c r="J114" s="244"/>
      <c r="K114" s="244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</row>
    <row r="115" ht="14.25" customHeight="1">
      <c r="A115" s="244"/>
      <c r="B115" s="244"/>
      <c r="C115" s="244"/>
      <c r="D115" s="244"/>
      <c r="E115" s="244"/>
      <c r="F115" s="244"/>
      <c r="G115" s="244"/>
      <c r="H115" s="244"/>
      <c r="I115" s="244"/>
      <c r="J115" s="244"/>
      <c r="K115" s="244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</row>
    <row r="116" ht="14.25" customHeight="1">
      <c r="A116" s="244"/>
      <c r="B116" s="244"/>
      <c r="C116" s="244"/>
      <c r="D116" s="244"/>
      <c r="E116" s="244"/>
      <c r="F116" s="244"/>
      <c r="G116" s="244"/>
      <c r="H116" s="244"/>
      <c r="I116" s="244"/>
      <c r="J116" s="244"/>
      <c r="K116" s="244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</row>
    <row r="117" ht="14.25" customHeight="1">
      <c r="A117" s="244"/>
      <c r="B117" s="244"/>
      <c r="C117" s="244"/>
      <c r="D117" s="244"/>
      <c r="E117" s="244"/>
      <c r="F117" s="244"/>
      <c r="G117" s="244"/>
      <c r="H117" s="244"/>
      <c r="I117" s="244"/>
      <c r="J117" s="244"/>
      <c r="K117" s="244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</row>
    <row r="118" ht="14.25" customHeight="1">
      <c r="A118" s="244"/>
      <c r="B118" s="244"/>
      <c r="C118" s="244"/>
      <c r="D118" s="244"/>
      <c r="E118" s="244"/>
      <c r="F118" s="244"/>
      <c r="G118" s="244"/>
      <c r="H118" s="244"/>
      <c r="I118" s="244"/>
      <c r="J118" s="244"/>
      <c r="K118" s="244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</row>
    <row r="119" ht="14.25" customHeight="1">
      <c r="A119" s="244"/>
      <c r="B119" s="244"/>
      <c r="C119" s="244"/>
      <c r="D119" s="244"/>
      <c r="E119" s="244"/>
      <c r="F119" s="244"/>
      <c r="G119" s="244"/>
      <c r="H119" s="244"/>
      <c r="I119" s="244"/>
      <c r="J119" s="244"/>
      <c r="K119" s="244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</row>
    <row r="120" ht="14.25" customHeight="1">
      <c r="A120" s="244"/>
      <c r="B120" s="244"/>
      <c r="C120" s="244"/>
      <c r="D120" s="244"/>
      <c r="E120" s="244"/>
      <c r="F120" s="244"/>
      <c r="G120" s="244"/>
      <c r="H120" s="244"/>
      <c r="I120" s="244"/>
      <c r="J120" s="244"/>
      <c r="K120" s="244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</row>
    <row r="121" ht="14.25" customHeight="1">
      <c r="A121" s="244"/>
      <c r="B121" s="244"/>
      <c r="C121" s="244"/>
      <c r="D121" s="244"/>
      <c r="E121" s="244"/>
      <c r="F121" s="244"/>
      <c r="G121" s="244"/>
      <c r="H121" s="244"/>
      <c r="I121" s="244"/>
      <c r="J121" s="244"/>
      <c r="K121" s="244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</row>
    <row r="122" ht="14.25" customHeight="1">
      <c r="A122" s="244"/>
      <c r="B122" s="244"/>
      <c r="C122" s="244"/>
      <c r="D122" s="244"/>
      <c r="E122" s="244"/>
      <c r="F122" s="244"/>
      <c r="G122" s="244"/>
      <c r="H122" s="244"/>
      <c r="I122" s="244"/>
      <c r="J122" s="244"/>
      <c r="K122" s="244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</row>
    <row r="123" ht="14.25" customHeight="1">
      <c r="A123" s="244"/>
      <c r="B123" s="244"/>
      <c r="C123" s="244"/>
      <c r="D123" s="244"/>
      <c r="E123" s="244"/>
      <c r="F123" s="244"/>
      <c r="G123" s="244"/>
      <c r="H123" s="244"/>
      <c r="I123" s="244"/>
      <c r="J123" s="244"/>
      <c r="K123" s="244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</row>
    <row r="124" ht="14.25" customHeight="1">
      <c r="A124" s="244"/>
      <c r="B124" s="244"/>
      <c r="C124" s="244"/>
      <c r="D124" s="244"/>
      <c r="E124" s="244"/>
      <c r="F124" s="244"/>
      <c r="G124" s="244"/>
      <c r="H124" s="244"/>
      <c r="I124" s="244"/>
      <c r="J124" s="244"/>
      <c r="K124" s="244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</row>
    <row r="125" ht="14.25" customHeight="1">
      <c r="A125" s="244"/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</row>
    <row r="126" ht="14.25" customHeight="1">
      <c r="A126" s="244"/>
      <c r="B126" s="244"/>
      <c r="C126" s="244"/>
      <c r="D126" s="244"/>
      <c r="E126" s="244"/>
      <c r="F126" s="244"/>
      <c r="G126" s="244"/>
      <c r="H126" s="244"/>
      <c r="I126" s="244"/>
      <c r="J126" s="244"/>
      <c r="K126" s="244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</row>
    <row r="127" ht="14.25" customHeight="1">
      <c r="A127" s="244"/>
      <c r="B127" s="244"/>
      <c r="C127" s="244"/>
      <c r="D127" s="244"/>
      <c r="E127" s="244"/>
      <c r="F127" s="244"/>
      <c r="G127" s="244"/>
      <c r="H127" s="244"/>
      <c r="I127" s="244"/>
      <c r="J127" s="244"/>
      <c r="K127" s="244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</row>
    <row r="128" ht="14.25" customHeight="1">
      <c r="A128" s="244"/>
      <c r="B128" s="244"/>
      <c r="C128" s="244"/>
      <c r="D128" s="244"/>
      <c r="E128" s="244"/>
      <c r="F128" s="244"/>
      <c r="G128" s="244"/>
      <c r="H128" s="244"/>
      <c r="I128" s="244"/>
      <c r="J128" s="244"/>
      <c r="K128" s="244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</row>
    <row r="129" ht="14.25" customHeight="1">
      <c r="A129" s="244"/>
      <c r="B129" s="244"/>
      <c r="C129" s="244"/>
      <c r="D129" s="244"/>
      <c r="E129" s="244"/>
      <c r="F129" s="244"/>
      <c r="G129" s="244"/>
      <c r="H129" s="244"/>
      <c r="I129" s="244"/>
      <c r="J129" s="244"/>
      <c r="K129" s="244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</row>
    <row r="130" ht="14.25" customHeight="1">
      <c r="A130" s="244"/>
      <c r="B130" s="244"/>
      <c r="C130" s="244"/>
      <c r="D130" s="244"/>
      <c r="E130" s="244"/>
      <c r="F130" s="244"/>
      <c r="G130" s="244"/>
      <c r="H130" s="244"/>
      <c r="I130" s="244"/>
      <c r="J130" s="244"/>
      <c r="K130" s="244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</row>
    <row r="131" ht="14.25" customHeight="1">
      <c r="A131" s="244"/>
      <c r="B131" s="244"/>
      <c r="C131" s="244"/>
      <c r="D131" s="244"/>
      <c r="E131" s="244"/>
      <c r="F131" s="244"/>
      <c r="G131" s="244"/>
      <c r="H131" s="244"/>
      <c r="I131" s="244"/>
      <c r="J131" s="244"/>
      <c r="K131" s="244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</row>
    <row r="132" ht="14.25" customHeight="1">
      <c r="A132" s="244"/>
      <c r="B132" s="244"/>
      <c r="C132" s="244"/>
      <c r="D132" s="244"/>
      <c r="E132" s="244"/>
      <c r="F132" s="244"/>
      <c r="G132" s="244"/>
      <c r="H132" s="244"/>
      <c r="I132" s="244"/>
      <c r="J132" s="244"/>
      <c r="K132" s="244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</row>
    <row r="133" ht="14.25" customHeight="1">
      <c r="A133" s="244"/>
      <c r="B133" s="244"/>
      <c r="C133" s="244"/>
      <c r="D133" s="244"/>
      <c r="E133" s="244"/>
      <c r="F133" s="244"/>
      <c r="G133" s="244"/>
      <c r="H133" s="244"/>
      <c r="I133" s="244"/>
      <c r="J133" s="244"/>
      <c r="K133" s="244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</row>
    <row r="134" ht="14.25" customHeight="1">
      <c r="A134" s="244"/>
      <c r="B134" s="244"/>
      <c r="C134" s="244"/>
      <c r="D134" s="244"/>
      <c r="E134" s="244"/>
      <c r="F134" s="244"/>
      <c r="G134" s="244"/>
      <c r="H134" s="244"/>
      <c r="I134" s="244"/>
      <c r="J134" s="244"/>
      <c r="K134" s="244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</row>
    <row r="135" ht="14.25" customHeight="1">
      <c r="A135" s="244"/>
      <c r="B135" s="244"/>
      <c r="C135" s="244"/>
      <c r="D135" s="244"/>
      <c r="E135" s="244"/>
      <c r="F135" s="244"/>
      <c r="G135" s="244"/>
      <c r="H135" s="244"/>
      <c r="I135" s="244"/>
      <c r="J135" s="244"/>
      <c r="K135" s="244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</row>
    <row r="136" ht="14.25" customHeight="1">
      <c r="A136" s="244"/>
      <c r="B136" s="244"/>
      <c r="C136" s="244"/>
      <c r="D136" s="244"/>
      <c r="E136" s="244"/>
      <c r="F136" s="244"/>
      <c r="G136" s="244"/>
      <c r="H136" s="244"/>
      <c r="I136" s="244"/>
      <c r="J136" s="244"/>
      <c r="K136" s="244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</row>
    <row r="137" ht="14.25" customHeight="1">
      <c r="A137" s="244"/>
      <c r="B137" s="244"/>
      <c r="C137" s="244"/>
      <c r="D137" s="244"/>
      <c r="E137" s="244"/>
      <c r="F137" s="244"/>
      <c r="G137" s="244"/>
      <c r="H137" s="244"/>
      <c r="I137" s="244"/>
      <c r="J137" s="244"/>
      <c r="K137" s="244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</row>
    <row r="138" ht="14.25" customHeight="1">
      <c r="A138" s="244"/>
      <c r="B138" s="244"/>
      <c r="C138" s="244"/>
      <c r="D138" s="244"/>
      <c r="E138" s="244"/>
      <c r="F138" s="244"/>
      <c r="G138" s="244"/>
      <c r="H138" s="244"/>
      <c r="I138" s="244"/>
      <c r="J138" s="244"/>
      <c r="K138" s="244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</row>
    <row r="139" ht="14.25" customHeight="1">
      <c r="A139" s="244"/>
      <c r="B139" s="244"/>
      <c r="C139" s="244"/>
      <c r="D139" s="244"/>
      <c r="E139" s="244"/>
      <c r="F139" s="244"/>
      <c r="G139" s="244"/>
      <c r="H139" s="244"/>
      <c r="I139" s="244"/>
      <c r="J139" s="244"/>
      <c r="K139" s="244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</row>
    <row r="140" ht="14.25" customHeight="1">
      <c r="A140" s="244"/>
      <c r="B140" s="244"/>
      <c r="C140" s="244"/>
      <c r="D140" s="244"/>
      <c r="E140" s="244"/>
      <c r="F140" s="244"/>
      <c r="G140" s="244"/>
      <c r="H140" s="244"/>
      <c r="I140" s="244"/>
      <c r="J140" s="244"/>
      <c r="K140" s="244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</row>
    <row r="141" ht="14.25" customHeight="1">
      <c r="A141" s="244"/>
      <c r="B141" s="244"/>
      <c r="C141" s="244"/>
      <c r="D141" s="244"/>
      <c r="E141" s="244"/>
      <c r="F141" s="244"/>
      <c r="G141" s="244"/>
      <c r="H141" s="244"/>
      <c r="I141" s="244"/>
      <c r="J141" s="244"/>
      <c r="K141" s="244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</row>
    <row r="142" ht="14.25" customHeight="1">
      <c r="A142" s="244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</row>
    <row r="143" ht="14.25" customHeight="1">
      <c r="A143" s="244"/>
      <c r="B143" s="244"/>
      <c r="C143" s="244"/>
      <c r="D143" s="244"/>
      <c r="E143" s="244"/>
      <c r="F143" s="244"/>
      <c r="G143" s="244"/>
      <c r="H143" s="244"/>
      <c r="I143" s="244"/>
      <c r="J143" s="244"/>
      <c r="K143" s="244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</row>
    <row r="144" ht="14.25" customHeight="1">
      <c r="A144" s="244"/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</row>
    <row r="145" ht="14.25" customHeight="1">
      <c r="A145" s="244"/>
      <c r="B145" s="244"/>
      <c r="C145" s="244"/>
      <c r="D145" s="244"/>
      <c r="E145" s="244"/>
      <c r="F145" s="244"/>
      <c r="G145" s="244"/>
      <c r="H145" s="244"/>
      <c r="I145" s="244"/>
      <c r="J145" s="244"/>
      <c r="K145" s="244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</row>
    <row r="146" ht="14.25" customHeight="1">
      <c r="A146" s="244"/>
      <c r="B146" s="244"/>
      <c r="C146" s="244"/>
      <c r="D146" s="244"/>
      <c r="E146" s="244"/>
      <c r="F146" s="244"/>
      <c r="G146" s="244"/>
      <c r="H146" s="244"/>
      <c r="I146" s="244"/>
      <c r="J146" s="244"/>
      <c r="K146" s="244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</row>
    <row r="147" ht="14.25" customHeight="1">
      <c r="A147" s="244"/>
      <c r="B147" s="244"/>
      <c r="C147" s="244"/>
      <c r="D147" s="244"/>
      <c r="E147" s="244"/>
      <c r="F147" s="244"/>
      <c r="G147" s="244"/>
      <c r="H147" s="244"/>
      <c r="I147" s="244"/>
      <c r="J147" s="244"/>
      <c r="K147" s="244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</row>
    <row r="148" ht="14.25" customHeight="1">
      <c r="A148" s="244"/>
      <c r="B148" s="244"/>
      <c r="C148" s="244"/>
      <c r="D148" s="244"/>
      <c r="E148" s="244"/>
      <c r="F148" s="244"/>
      <c r="G148" s="244"/>
      <c r="H148" s="244"/>
      <c r="I148" s="244"/>
      <c r="J148" s="244"/>
      <c r="K148" s="244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</row>
    <row r="149" ht="14.25" customHeight="1">
      <c r="A149" s="244"/>
      <c r="B149" s="244"/>
      <c r="C149" s="244"/>
      <c r="D149" s="244"/>
      <c r="E149" s="244"/>
      <c r="F149" s="244"/>
      <c r="G149" s="244"/>
      <c r="H149" s="244"/>
      <c r="I149" s="244"/>
      <c r="J149" s="244"/>
      <c r="K149" s="244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</row>
    <row r="150" ht="14.25" customHeight="1">
      <c r="A150" s="244"/>
      <c r="B150" s="244"/>
      <c r="C150" s="244"/>
      <c r="D150" s="244"/>
      <c r="E150" s="244"/>
      <c r="F150" s="244"/>
      <c r="G150" s="244"/>
      <c r="H150" s="244"/>
      <c r="I150" s="244"/>
      <c r="J150" s="244"/>
      <c r="K150" s="244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</row>
    <row r="151" ht="14.25" customHeight="1">
      <c r="A151" s="244"/>
      <c r="B151" s="244"/>
      <c r="C151" s="244"/>
      <c r="D151" s="244"/>
      <c r="E151" s="244"/>
      <c r="F151" s="244"/>
      <c r="G151" s="244"/>
      <c r="H151" s="244"/>
      <c r="I151" s="244"/>
      <c r="J151" s="244"/>
      <c r="K151" s="244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</row>
    <row r="152" ht="14.25" customHeight="1">
      <c r="A152" s="244"/>
      <c r="B152" s="244"/>
      <c r="C152" s="244"/>
      <c r="D152" s="244"/>
      <c r="E152" s="244"/>
      <c r="F152" s="244"/>
      <c r="G152" s="244"/>
      <c r="H152" s="244"/>
      <c r="I152" s="244"/>
      <c r="J152" s="244"/>
      <c r="K152" s="244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</row>
    <row r="153" ht="14.25" customHeight="1">
      <c r="A153" s="244"/>
      <c r="B153" s="244"/>
      <c r="C153" s="244"/>
      <c r="D153" s="244"/>
      <c r="E153" s="244"/>
      <c r="F153" s="244"/>
      <c r="G153" s="244"/>
      <c r="H153" s="244"/>
      <c r="I153" s="244"/>
      <c r="J153" s="244"/>
      <c r="K153" s="244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</row>
    <row r="154" ht="14.25" customHeight="1">
      <c r="A154" s="244"/>
      <c r="B154" s="244"/>
      <c r="C154" s="244"/>
      <c r="D154" s="244"/>
      <c r="E154" s="244"/>
      <c r="F154" s="244"/>
      <c r="G154" s="244"/>
      <c r="H154" s="244"/>
      <c r="I154" s="244"/>
      <c r="J154" s="244"/>
      <c r="K154" s="244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</row>
    <row r="155" ht="14.25" customHeight="1">
      <c r="A155" s="244"/>
      <c r="B155" s="244"/>
      <c r="C155" s="244"/>
      <c r="D155" s="244"/>
      <c r="E155" s="244"/>
      <c r="F155" s="244"/>
      <c r="G155" s="244"/>
      <c r="H155" s="244"/>
      <c r="I155" s="244"/>
      <c r="J155" s="244"/>
      <c r="K155" s="244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</row>
    <row r="156" ht="14.25" customHeight="1">
      <c r="A156" s="244"/>
      <c r="B156" s="244"/>
      <c r="C156" s="244"/>
      <c r="D156" s="244"/>
      <c r="E156" s="244"/>
      <c r="F156" s="244"/>
      <c r="G156" s="244"/>
      <c r="H156" s="244"/>
      <c r="I156" s="244"/>
      <c r="J156" s="244"/>
      <c r="K156" s="244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</row>
    <row r="157" ht="14.25" customHeight="1">
      <c r="A157" s="244"/>
      <c r="B157" s="244"/>
      <c r="C157" s="244"/>
      <c r="D157" s="244"/>
      <c r="E157" s="244"/>
      <c r="F157" s="244"/>
      <c r="G157" s="244"/>
      <c r="H157" s="244"/>
      <c r="I157" s="244"/>
      <c r="J157" s="244"/>
      <c r="K157" s="244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</row>
    <row r="158" ht="14.25" customHeight="1">
      <c r="A158" s="244"/>
      <c r="B158" s="244"/>
      <c r="C158" s="244"/>
      <c r="D158" s="244"/>
      <c r="E158" s="244"/>
      <c r="F158" s="244"/>
      <c r="G158" s="244"/>
      <c r="H158" s="244"/>
      <c r="I158" s="244"/>
      <c r="J158" s="244"/>
      <c r="K158" s="244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</row>
    <row r="159" ht="14.25" customHeight="1">
      <c r="A159" s="244"/>
      <c r="B159" s="244"/>
      <c r="C159" s="244"/>
      <c r="D159" s="244"/>
      <c r="E159" s="244"/>
      <c r="F159" s="244"/>
      <c r="G159" s="244"/>
      <c r="H159" s="244"/>
      <c r="I159" s="244"/>
      <c r="J159" s="244"/>
      <c r="K159" s="244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</row>
    <row r="160" ht="14.25" customHeight="1">
      <c r="A160" s="244"/>
      <c r="B160" s="244"/>
      <c r="C160" s="244"/>
      <c r="D160" s="244"/>
      <c r="E160" s="244"/>
      <c r="F160" s="244"/>
      <c r="G160" s="244"/>
      <c r="H160" s="244"/>
      <c r="I160" s="244"/>
      <c r="J160" s="244"/>
      <c r="K160" s="244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</row>
    <row r="161" ht="14.25" customHeight="1">
      <c r="A161" s="244"/>
      <c r="B161" s="244"/>
      <c r="C161" s="244"/>
      <c r="D161" s="244"/>
      <c r="E161" s="244"/>
      <c r="F161" s="244"/>
      <c r="G161" s="244"/>
      <c r="H161" s="244"/>
      <c r="I161" s="244"/>
      <c r="J161" s="244"/>
      <c r="K161" s="244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</row>
    <row r="162" ht="14.25" customHeight="1">
      <c r="A162" s="244"/>
      <c r="B162" s="244"/>
      <c r="C162" s="244"/>
      <c r="D162" s="244"/>
      <c r="E162" s="244"/>
      <c r="F162" s="244"/>
      <c r="G162" s="244"/>
      <c r="H162" s="244"/>
      <c r="I162" s="244"/>
      <c r="J162" s="244"/>
      <c r="K162" s="244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</row>
    <row r="163" ht="14.25" customHeight="1">
      <c r="A163" s="244"/>
      <c r="B163" s="244"/>
      <c r="C163" s="244"/>
      <c r="D163" s="244"/>
      <c r="E163" s="244"/>
      <c r="F163" s="244"/>
      <c r="G163" s="244"/>
      <c r="H163" s="244"/>
      <c r="I163" s="244"/>
      <c r="J163" s="244"/>
      <c r="K163" s="244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</row>
    <row r="164" ht="14.25" customHeight="1">
      <c r="A164" s="244"/>
      <c r="B164" s="244"/>
      <c r="C164" s="244"/>
      <c r="D164" s="244"/>
      <c r="E164" s="244"/>
      <c r="F164" s="244"/>
      <c r="G164" s="244"/>
      <c r="H164" s="244"/>
      <c r="I164" s="244"/>
      <c r="J164" s="244"/>
      <c r="K164" s="244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</row>
    <row r="165" ht="14.25" customHeight="1">
      <c r="A165" s="244"/>
      <c r="B165" s="244"/>
      <c r="C165" s="244"/>
      <c r="D165" s="244"/>
      <c r="E165" s="244"/>
      <c r="F165" s="244"/>
      <c r="G165" s="244"/>
      <c r="H165" s="244"/>
      <c r="I165" s="244"/>
      <c r="J165" s="244"/>
      <c r="K165" s="244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</row>
    <row r="166" ht="14.25" customHeight="1">
      <c r="A166" s="244"/>
      <c r="B166" s="244"/>
      <c r="C166" s="244"/>
      <c r="D166" s="244"/>
      <c r="E166" s="244"/>
      <c r="F166" s="244"/>
      <c r="G166" s="244"/>
      <c r="H166" s="244"/>
      <c r="I166" s="244"/>
      <c r="J166" s="244"/>
      <c r="K166" s="244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</row>
    <row r="167" ht="14.25" customHeight="1">
      <c r="A167" s="244"/>
      <c r="B167" s="244"/>
      <c r="C167" s="244"/>
      <c r="D167" s="244"/>
      <c r="E167" s="244"/>
      <c r="F167" s="244"/>
      <c r="G167" s="244"/>
      <c r="H167" s="244"/>
      <c r="I167" s="244"/>
      <c r="J167" s="244"/>
      <c r="K167" s="244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</row>
    <row r="168" ht="14.25" customHeight="1">
      <c r="A168" s="244"/>
      <c r="B168" s="244"/>
      <c r="C168" s="244"/>
      <c r="D168" s="244"/>
      <c r="E168" s="244"/>
      <c r="F168" s="244"/>
      <c r="G168" s="244"/>
      <c r="H168" s="244"/>
      <c r="I168" s="244"/>
      <c r="J168" s="244"/>
      <c r="K168" s="244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</row>
    <row r="169" ht="14.25" customHeight="1">
      <c r="A169" s="244"/>
      <c r="B169" s="244"/>
      <c r="C169" s="244"/>
      <c r="D169" s="244"/>
      <c r="E169" s="244"/>
      <c r="F169" s="244"/>
      <c r="G169" s="244"/>
      <c r="H169" s="244"/>
      <c r="I169" s="244"/>
      <c r="J169" s="244"/>
      <c r="K169" s="244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</row>
    <row r="170" ht="14.25" customHeight="1">
      <c r="A170" s="244"/>
      <c r="B170" s="244"/>
      <c r="C170" s="244"/>
      <c r="D170" s="244"/>
      <c r="E170" s="244"/>
      <c r="F170" s="244"/>
      <c r="G170" s="244"/>
      <c r="H170" s="244"/>
      <c r="I170" s="244"/>
      <c r="J170" s="244"/>
      <c r="K170" s="244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</row>
    <row r="171" ht="14.25" customHeight="1">
      <c r="A171" s="244"/>
      <c r="B171" s="244"/>
      <c r="C171" s="244"/>
      <c r="D171" s="244"/>
      <c r="E171" s="244"/>
      <c r="F171" s="244"/>
      <c r="G171" s="244"/>
      <c r="H171" s="244"/>
      <c r="I171" s="244"/>
      <c r="J171" s="244"/>
      <c r="K171" s="244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</row>
    <row r="172" ht="14.25" customHeight="1">
      <c r="A172" s="244"/>
      <c r="B172" s="244"/>
      <c r="C172" s="244"/>
      <c r="D172" s="244"/>
      <c r="E172" s="244"/>
      <c r="F172" s="244"/>
      <c r="G172" s="244"/>
      <c r="H172" s="244"/>
      <c r="I172" s="244"/>
      <c r="J172" s="244"/>
      <c r="K172" s="244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</row>
    <row r="173" ht="14.25" customHeight="1">
      <c r="A173" s="244"/>
      <c r="B173" s="244"/>
      <c r="C173" s="244"/>
      <c r="D173" s="244"/>
      <c r="E173" s="244"/>
      <c r="F173" s="244"/>
      <c r="G173" s="244"/>
      <c r="H173" s="244"/>
      <c r="I173" s="244"/>
      <c r="J173" s="244"/>
      <c r="K173" s="244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</row>
    <row r="174" ht="14.25" customHeight="1">
      <c r="A174" s="244"/>
      <c r="B174" s="244"/>
      <c r="C174" s="244"/>
      <c r="D174" s="244"/>
      <c r="E174" s="244"/>
      <c r="F174" s="244"/>
      <c r="G174" s="244"/>
      <c r="H174" s="244"/>
      <c r="I174" s="244"/>
      <c r="J174" s="244"/>
      <c r="K174" s="244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</row>
    <row r="175" ht="14.25" customHeight="1">
      <c r="A175" s="244"/>
      <c r="B175" s="244"/>
      <c r="C175" s="244"/>
      <c r="D175" s="244"/>
      <c r="E175" s="244"/>
      <c r="F175" s="244"/>
      <c r="G175" s="244"/>
      <c r="H175" s="244"/>
      <c r="I175" s="244"/>
      <c r="J175" s="244"/>
      <c r="K175" s="244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</row>
    <row r="176" ht="14.25" customHeight="1">
      <c r="A176" s="244"/>
      <c r="B176" s="244"/>
      <c r="C176" s="244"/>
      <c r="D176" s="244"/>
      <c r="E176" s="244"/>
      <c r="F176" s="244"/>
      <c r="G176" s="244"/>
      <c r="H176" s="244"/>
      <c r="I176" s="244"/>
      <c r="J176" s="244"/>
      <c r="K176" s="244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</row>
    <row r="177" ht="14.25" customHeight="1">
      <c r="A177" s="244"/>
      <c r="B177" s="244"/>
      <c r="C177" s="244"/>
      <c r="D177" s="244"/>
      <c r="E177" s="244"/>
      <c r="F177" s="244"/>
      <c r="G177" s="244"/>
      <c r="H177" s="244"/>
      <c r="I177" s="244"/>
      <c r="J177" s="244"/>
      <c r="K177" s="244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</row>
    <row r="178" ht="14.25" customHeight="1">
      <c r="A178" s="244"/>
      <c r="B178" s="244"/>
      <c r="C178" s="244"/>
      <c r="D178" s="244"/>
      <c r="E178" s="244"/>
      <c r="F178" s="244"/>
      <c r="G178" s="244"/>
      <c r="H178" s="244"/>
      <c r="I178" s="244"/>
      <c r="J178" s="244"/>
      <c r="K178" s="244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</row>
    <row r="179" ht="14.25" customHeight="1">
      <c r="A179" s="244"/>
      <c r="B179" s="244"/>
      <c r="C179" s="244"/>
      <c r="D179" s="244"/>
      <c r="E179" s="244"/>
      <c r="F179" s="244"/>
      <c r="G179" s="244"/>
      <c r="H179" s="244"/>
      <c r="I179" s="244"/>
      <c r="J179" s="244"/>
      <c r="K179" s="244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</row>
    <row r="180" ht="14.25" customHeight="1">
      <c r="A180" s="244"/>
      <c r="B180" s="244"/>
      <c r="C180" s="244"/>
      <c r="D180" s="244"/>
      <c r="E180" s="244"/>
      <c r="F180" s="244"/>
      <c r="G180" s="244"/>
      <c r="H180" s="244"/>
      <c r="I180" s="244"/>
      <c r="J180" s="244"/>
      <c r="K180" s="244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</row>
    <row r="181" ht="14.25" customHeight="1">
      <c r="A181" s="244"/>
      <c r="B181" s="244"/>
      <c r="C181" s="244"/>
      <c r="D181" s="244"/>
      <c r="E181" s="244"/>
      <c r="F181" s="244"/>
      <c r="G181" s="244"/>
      <c r="H181" s="244"/>
      <c r="I181" s="244"/>
      <c r="J181" s="244"/>
      <c r="K181" s="244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</row>
    <row r="182" ht="14.25" customHeight="1">
      <c r="A182" s="244"/>
      <c r="B182" s="244"/>
      <c r="C182" s="244"/>
      <c r="D182" s="244"/>
      <c r="E182" s="244"/>
      <c r="F182" s="244"/>
      <c r="G182" s="244"/>
      <c r="H182" s="244"/>
      <c r="I182" s="244"/>
      <c r="J182" s="244"/>
      <c r="K182" s="244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</row>
    <row r="183" ht="14.25" customHeight="1">
      <c r="A183" s="244"/>
      <c r="B183" s="244"/>
      <c r="C183" s="244"/>
      <c r="D183" s="244"/>
      <c r="E183" s="244"/>
      <c r="F183" s="244"/>
      <c r="G183" s="244"/>
      <c r="H183" s="244"/>
      <c r="I183" s="244"/>
      <c r="J183" s="244"/>
      <c r="K183" s="244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</row>
    <row r="184" ht="14.25" customHeight="1">
      <c r="A184" s="244"/>
      <c r="B184" s="244"/>
      <c r="C184" s="244"/>
      <c r="D184" s="244"/>
      <c r="E184" s="244"/>
      <c r="F184" s="244"/>
      <c r="G184" s="244"/>
      <c r="H184" s="244"/>
      <c r="I184" s="244"/>
      <c r="J184" s="244"/>
      <c r="K184" s="244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</row>
    <row r="185" ht="14.25" customHeight="1">
      <c r="A185" s="244"/>
      <c r="B185" s="244"/>
      <c r="C185" s="244"/>
      <c r="D185" s="244"/>
      <c r="E185" s="244"/>
      <c r="F185" s="244"/>
      <c r="G185" s="244"/>
      <c r="H185" s="244"/>
      <c r="I185" s="244"/>
      <c r="J185" s="244"/>
      <c r="K185" s="244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</row>
    <row r="186" ht="14.25" customHeight="1">
      <c r="A186" s="244"/>
      <c r="B186" s="244"/>
      <c r="C186" s="244"/>
      <c r="D186" s="244"/>
      <c r="E186" s="244"/>
      <c r="F186" s="244"/>
      <c r="G186" s="244"/>
      <c r="H186" s="244"/>
      <c r="I186" s="244"/>
      <c r="J186" s="244"/>
      <c r="K186" s="244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</row>
    <row r="187" ht="14.25" customHeight="1">
      <c r="A187" s="244"/>
      <c r="B187" s="244"/>
      <c r="C187" s="244"/>
      <c r="D187" s="244"/>
      <c r="E187" s="244"/>
      <c r="F187" s="244"/>
      <c r="G187" s="244"/>
      <c r="H187" s="244"/>
      <c r="I187" s="244"/>
      <c r="J187" s="244"/>
      <c r="K187" s="244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</row>
    <row r="188" ht="14.25" customHeight="1">
      <c r="A188" s="244"/>
      <c r="B188" s="244"/>
      <c r="C188" s="244"/>
      <c r="D188" s="244"/>
      <c r="E188" s="244"/>
      <c r="F188" s="244"/>
      <c r="G188" s="244"/>
      <c r="H188" s="244"/>
      <c r="I188" s="244"/>
      <c r="J188" s="244"/>
      <c r="K188" s="244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</row>
    <row r="189" ht="14.25" customHeight="1">
      <c r="A189" s="244"/>
      <c r="B189" s="244"/>
      <c r="C189" s="244"/>
      <c r="D189" s="244"/>
      <c r="E189" s="244"/>
      <c r="F189" s="244"/>
      <c r="G189" s="244"/>
      <c r="H189" s="244"/>
      <c r="I189" s="244"/>
      <c r="J189" s="244"/>
      <c r="K189" s="244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</row>
    <row r="190" ht="14.25" customHeight="1">
      <c r="A190" s="244"/>
      <c r="B190" s="244"/>
      <c r="C190" s="244"/>
      <c r="D190" s="244"/>
      <c r="E190" s="244"/>
      <c r="F190" s="244"/>
      <c r="G190" s="244"/>
      <c r="H190" s="244"/>
      <c r="I190" s="244"/>
      <c r="J190" s="244"/>
      <c r="K190" s="244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</row>
    <row r="191" ht="14.25" customHeight="1">
      <c r="A191" s="244"/>
      <c r="B191" s="244"/>
      <c r="C191" s="244"/>
      <c r="D191" s="244"/>
      <c r="E191" s="244"/>
      <c r="F191" s="244"/>
      <c r="G191" s="244"/>
      <c r="H191" s="244"/>
      <c r="I191" s="244"/>
      <c r="J191" s="244"/>
      <c r="K191" s="244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</row>
    <row r="192" ht="14.25" customHeight="1">
      <c r="A192" s="244"/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</row>
    <row r="193" ht="14.25" customHeight="1">
      <c r="A193" s="244"/>
      <c r="B193" s="244"/>
      <c r="C193" s="244"/>
      <c r="D193" s="244"/>
      <c r="E193" s="244"/>
      <c r="F193" s="244"/>
      <c r="G193" s="244"/>
      <c r="H193" s="244"/>
      <c r="I193" s="244"/>
      <c r="J193" s="244"/>
      <c r="K193" s="244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</row>
    <row r="194" ht="14.25" customHeight="1">
      <c r="A194" s="244"/>
      <c r="B194" s="244"/>
      <c r="C194" s="244"/>
      <c r="D194" s="244"/>
      <c r="E194" s="244"/>
      <c r="F194" s="244"/>
      <c r="G194" s="244"/>
      <c r="H194" s="244"/>
      <c r="I194" s="244"/>
      <c r="J194" s="244"/>
      <c r="K194" s="244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</row>
    <row r="195" ht="14.25" customHeight="1">
      <c r="A195" s="244"/>
      <c r="B195" s="244"/>
      <c r="C195" s="244"/>
      <c r="D195" s="244"/>
      <c r="E195" s="244"/>
      <c r="F195" s="244"/>
      <c r="G195" s="244"/>
      <c r="H195" s="244"/>
      <c r="I195" s="244"/>
      <c r="J195" s="244"/>
      <c r="K195" s="244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</row>
    <row r="196" ht="14.25" customHeight="1">
      <c r="A196" s="244"/>
      <c r="B196" s="244"/>
      <c r="C196" s="244"/>
      <c r="D196" s="244"/>
      <c r="E196" s="244"/>
      <c r="F196" s="244"/>
      <c r="G196" s="244"/>
      <c r="H196" s="244"/>
      <c r="I196" s="244"/>
      <c r="J196" s="244"/>
      <c r="K196" s="244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</row>
    <row r="197" ht="14.25" customHeight="1">
      <c r="A197" s="244"/>
      <c r="B197" s="244"/>
      <c r="C197" s="244"/>
      <c r="D197" s="244"/>
      <c r="E197" s="244"/>
      <c r="F197" s="244"/>
      <c r="G197" s="244"/>
      <c r="H197" s="244"/>
      <c r="I197" s="244"/>
      <c r="J197" s="244"/>
      <c r="K197" s="244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</row>
    <row r="198" ht="14.25" customHeight="1">
      <c r="A198" s="244"/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</row>
    <row r="199" ht="14.25" customHeight="1">
      <c r="A199" s="244"/>
      <c r="B199" s="244"/>
      <c r="C199" s="244"/>
      <c r="D199" s="244"/>
      <c r="E199" s="244"/>
      <c r="F199" s="244"/>
      <c r="G199" s="244"/>
      <c r="H199" s="244"/>
      <c r="I199" s="244"/>
      <c r="J199" s="244"/>
      <c r="K199" s="244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</row>
    <row r="200" ht="14.25" customHeight="1">
      <c r="A200" s="244"/>
      <c r="B200" s="244"/>
      <c r="C200" s="244"/>
      <c r="D200" s="244"/>
      <c r="E200" s="244"/>
      <c r="F200" s="244"/>
      <c r="G200" s="244"/>
      <c r="H200" s="244"/>
      <c r="I200" s="244"/>
      <c r="J200" s="244"/>
      <c r="K200" s="244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</row>
    <row r="201" ht="14.25" customHeight="1">
      <c r="A201" s="244"/>
      <c r="B201" s="244"/>
      <c r="C201" s="244"/>
      <c r="D201" s="244"/>
      <c r="E201" s="244"/>
      <c r="F201" s="244"/>
      <c r="G201" s="244"/>
      <c r="H201" s="244"/>
      <c r="I201" s="244"/>
      <c r="J201" s="244"/>
      <c r="K201" s="244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</row>
    <row r="202" ht="14.25" customHeight="1">
      <c r="A202" s="244"/>
      <c r="B202" s="244"/>
      <c r="C202" s="244"/>
      <c r="D202" s="244"/>
      <c r="E202" s="244"/>
      <c r="F202" s="244"/>
      <c r="G202" s="244"/>
      <c r="H202" s="244"/>
      <c r="I202" s="244"/>
      <c r="J202" s="244"/>
      <c r="K202" s="244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</row>
    <row r="203" ht="14.25" customHeight="1">
      <c r="A203" s="244"/>
      <c r="B203" s="244"/>
      <c r="C203" s="244"/>
      <c r="D203" s="244"/>
      <c r="E203" s="244"/>
      <c r="F203" s="244"/>
      <c r="G203" s="244"/>
      <c r="H203" s="244"/>
      <c r="I203" s="244"/>
      <c r="J203" s="244"/>
      <c r="K203" s="244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</row>
    <row r="204" ht="14.25" customHeight="1">
      <c r="A204" s="244"/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</row>
    <row r="205" ht="14.25" customHeight="1">
      <c r="A205" s="244"/>
      <c r="B205" s="244"/>
      <c r="C205" s="244"/>
      <c r="D205" s="244"/>
      <c r="E205" s="244"/>
      <c r="F205" s="244"/>
      <c r="G205" s="244"/>
      <c r="H205" s="244"/>
      <c r="I205" s="244"/>
      <c r="J205" s="244"/>
      <c r="K205" s="244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</row>
    <row r="206" ht="14.25" customHeight="1">
      <c r="A206" s="244"/>
      <c r="B206" s="244"/>
      <c r="C206" s="244"/>
      <c r="D206" s="244"/>
      <c r="E206" s="244"/>
      <c r="F206" s="244"/>
      <c r="G206" s="244"/>
      <c r="H206" s="244"/>
      <c r="I206" s="244"/>
      <c r="J206" s="244"/>
      <c r="K206" s="244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</row>
    <row r="207" ht="14.25" customHeight="1">
      <c r="A207" s="244"/>
      <c r="B207" s="244"/>
      <c r="C207" s="244"/>
      <c r="D207" s="244"/>
      <c r="E207" s="244"/>
      <c r="F207" s="244"/>
      <c r="G207" s="244"/>
      <c r="H207" s="244"/>
      <c r="I207" s="244"/>
      <c r="J207" s="244"/>
      <c r="K207" s="244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</row>
    <row r="208" ht="14.25" customHeight="1">
      <c r="A208" s="244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</row>
    <row r="209" ht="14.25" customHeight="1">
      <c r="A209" s="244"/>
      <c r="B209" s="244"/>
      <c r="C209" s="244"/>
      <c r="D209" s="244"/>
      <c r="E209" s="244"/>
      <c r="F209" s="244"/>
      <c r="G209" s="244"/>
      <c r="H209" s="244"/>
      <c r="I209" s="244"/>
      <c r="J209" s="244"/>
      <c r="K209" s="244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</row>
    <row r="210" ht="14.25" customHeight="1">
      <c r="A210" s="244"/>
      <c r="B210" s="244"/>
      <c r="C210" s="244"/>
      <c r="D210" s="244"/>
      <c r="E210" s="244"/>
      <c r="F210" s="244"/>
      <c r="G210" s="244"/>
      <c r="H210" s="244"/>
      <c r="I210" s="244"/>
      <c r="J210" s="244"/>
      <c r="K210" s="244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</row>
    <row r="211" ht="14.25" customHeight="1">
      <c r="A211" s="244"/>
      <c r="B211" s="244"/>
      <c r="C211" s="244"/>
      <c r="D211" s="244"/>
      <c r="E211" s="244"/>
      <c r="F211" s="244"/>
      <c r="G211" s="244"/>
      <c r="H211" s="244"/>
      <c r="I211" s="244"/>
      <c r="J211" s="244"/>
      <c r="K211" s="244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</row>
    <row r="212" ht="14.25" customHeight="1">
      <c r="A212" s="244"/>
      <c r="B212" s="244"/>
      <c r="C212" s="244"/>
      <c r="D212" s="244"/>
      <c r="E212" s="244"/>
      <c r="F212" s="244"/>
      <c r="G212" s="244"/>
      <c r="H212" s="244"/>
      <c r="I212" s="244"/>
      <c r="J212" s="244"/>
      <c r="K212" s="244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</row>
    <row r="213" ht="14.25" customHeight="1">
      <c r="A213" s="244"/>
      <c r="B213" s="244"/>
      <c r="C213" s="244"/>
      <c r="D213" s="244"/>
      <c r="E213" s="244"/>
      <c r="F213" s="244"/>
      <c r="G213" s="244"/>
      <c r="H213" s="244"/>
      <c r="I213" s="244"/>
      <c r="J213" s="244"/>
      <c r="K213" s="244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</row>
    <row r="214" ht="14.25" customHeight="1">
      <c r="A214" s="244"/>
      <c r="B214" s="244"/>
      <c r="C214" s="244"/>
      <c r="D214" s="244"/>
      <c r="E214" s="244"/>
      <c r="F214" s="244"/>
      <c r="G214" s="244"/>
      <c r="H214" s="244"/>
      <c r="I214" s="244"/>
      <c r="J214" s="244"/>
      <c r="K214" s="244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</row>
    <row r="215" ht="14.25" customHeight="1">
      <c r="A215" s="244"/>
      <c r="B215" s="244"/>
      <c r="C215" s="244"/>
      <c r="D215" s="244"/>
      <c r="E215" s="244"/>
      <c r="F215" s="244"/>
      <c r="G215" s="244"/>
      <c r="H215" s="244"/>
      <c r="I215" s="244"/>
      <c r="J215" s="244"/>
      <c r="K215" s="244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</row>
    <row r="216" ht="14.25" customHeight="1">
      <c r="A216" s="244"/>
      <c r="B216" s="244"/>
      <c r="C216" s="244"/>
      <c r="D216" s="244"/>
      <c r="E216" s="244"/>
      <c r="F216" s="244"/>
      <c r="G216" s="244"/>
      <c r="H216" s="244"/>
      <c r="I216" s="244"/>
      <c r="J216" s="244"/>
      <c r="K216" s="244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</row>
    <row r="217" ht="14.25" customHeight="1">
      <c r="A217" s="244"/>
      <c r="B217" s="244"/>
      <c r="C217" s="244"/>
      <c r="D217" s="244"/>
      <c r="E217" s="244"/>
      <c r="F217" s="244"/>
      <c r="G217" s="244"/>
      <c r="H217" s="244"/>
      <c r="I217" s="244"/>
      <c r="J217" s="244"/>
      <c r="K217" s="244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</row>
    <row r="218" ht="14.25" customHeight="1">
      <c r="A218" s="244"/>
      <c r="B218" s="244"/>
      <c r="C218" s="244"/>
      <c r="D218" s="244"/>
      <c r="E218" s="244"/>
      <c r="F218" s="244"/>
      <c r="G218" s="244"/>
      <c r="H218" s="244"/>
      <c r="I218" s="244"/>
      <c r="J218" s="244"/>
      <c r="K218" s="244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</row>
    <row r="219" ht="14.25" customHeight="1">
      <c r="A219" s="244"/>
      <c r="B219" s="244"/>
      <c r="C219" s="244"/>
      <c r="D219" s="244"/>
      <c r="E219" s="244"/>
      <c r="F219" s="244"/>
      <c r="G219" s="244"/>
      <c r="H219" s="244"/>
      <c r="I219" s="244"/>
      <c r="J219" s="244"/>
      <c r="K219" s="244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</row>
    <row r="220" ht="14.25" customHeight="1">
      <c r="A220" s="244"/>
      <c r="B220" s="244"/>
      <c r="C220" s="244"/>
      <c r="D220" s="244"/>
      <c r="E220" s="244"/>
      <c r="F220" s="244"/>
      <c r="G220" s="244"/>
      <c r="H220" s="244"/>
      <c r="I220" s="244"/>
      <c r="J220" s="244"/>
      <c r="K220" s="244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</row>
    <row r="221" ht="14.25" customHeight="1">
      <c r="A221" s="244"/>
      <c r="B221" s="244"/>
      <c r="C221" s="244"/>
      <c r="D221" s="244"/>
      <c r="E221" s="244"/>
      <c r="F221" s="244"/>
      <c r="G221" s="244"/>
      <c r="H221" s="244"/>
      <c r="I221" s="244"/>
      <c r="J221" s="244"/>
      <c r="K221" s="244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</row>
    <row r="222" ht="14.25" customHeight="1">
      <c r="A222" s="244"/>
      <c r="B222" s="244"/>
      <c r="C222" s="244"/>
      <c r="D222" s="244"/>
      <c r="E222" s="244"/>
      <c r="F222" s="244"/>
      <c r="G222" s="244"/>
      <c r="H222" s="244"/>
      <c r="I222" s="244"/>
      <c r="J222" s="244"/>
      <c r="K222" s="244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</row>
    <row r="223" ht="14.25" customHeight="1">
      <c r="A223" s="244"/>
      <c r="B223" s="244"/>
      <c r="C223" s="244"/>
      <c r="D223" s="244"/>
      <c r="E223" s="244"/>
      <c r="F223" s="244"/>
      <c r="G223" s="244"/>
      <c r="H223" s="244"/>
      <c r="I223" s="244"/>
      <c r="J223" s="244"/>
      <c r="K223" s="244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</row>
    <row r="224" ht="14.25" customHeight="1">
      <c r="A224" s="244"/>
      <c r="B224" s="244"/>
      <c r="C224" s="244"/>
      <c r="D224" s="244"/>
      <c r="E224" s="244"/>
      <c r="F224" s="244"/>
      <c r="G224" s="244"/>
      <c r="H224" s="244"/>
      <c r="I224" s="244"/>
      <c r="J224" s="244"/>
      <c r="K224" s="244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</row>
    <row r="225" ht="14.25" customHeight="1">
      <c r="A225" s="244"/>
      <c r="B225" s="244"/>
      <c r="C225" s="244"/>
      <c r="D225" s="244"/>
      <c r="E225" s="244"/>
      <c r="F225" s="244"/>
      <c r="G225" s="244"/>
      <c r="H225" s="244"/>
      <c r="I225" s="244"/>
      <c r="J225" s="244"/>
      <c r="K225" s="244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</row>
    <row r="226" ht="14.25" customHeight="1">
      <c r="A226" s="244"/>
      <c r="B226" s="244"/>
      <c r="C226" s="244"/>
      <c r="D226" s="244"/>
      <c r="E226" s="244"/>
      <c r="F226" s="244"/>
      <c r="G226" s="244"/>
      <c r="H226" s="244"/>
      <c r="I226" s="244"/>
      <c r="J226" s="244"/>
      <c r="K226" s="244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</row>
    <row r="227" ht="14.25" customHeight="1">
      <c r="A227" s="244"/>
      <c r="B227" s="244"/>
      <c r="C227" s="244"/>
      <c r="D227" s="244"/>
      <c r="E227" s="244"/>
      <c r="F227" s="244"/>
      <c r="G227" s="244"/>
      <c r="H227" s="244"/>
      <c r="I227" s="244"/>
      <c r="J227" s="244"/>
      <c r="K227" s="244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</row>
    <row r="228" ht="14.25" customHeight="1">
      <c r="A228" s="244"/>
      <c r="B228" s="244"/>
      <c r="C228" s="244"/>
      <c r="D228" s="244"/>
      <c r="E228" s="244"/>
      <c r="F228" s="244"/>
      <c r="G228" s="244"/>
      <c r="H228" s="244"/>
      <c r="I228" s="244"/>
      <c r="J228" s="244"/>
      <c r="K228" s="244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</row>
    <row r="229" ht="14.25" customHeight="1">
      <c r="A229" s="244"/>
      <c r="B229" s="244"/>
      <c r="C229" s="244"/>
      <c r="D229" s="244"/>
      <c r="E229" s="244"/>
      <c r="F229" s="244"/>
      <c r="G229" s="244"/>
      <c r="H229" s="244"/>
      <c r="I229" s="244"/>
      <c r="J229" s="244"/>
      <c r="K229" s="244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</row>
    <row r="230" ht="14.25" customHeight="1">
      <c r="A230" s="244"/>
      <c r="B230" s="244"/>
      <c r="C230" s="244"/>
      <c r="D230" s="244"/>
      <c r="E230" s="244"/>
      <c r="F230" s="244"/>
      <c r="G230" s="244"/>
      <c r="H230" s="244"/>
      <c r="I230" s="244"/>
      <c r="J230" s="244"/>
      <c r="K230" s="244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</row>
    <row r="231" ht="14.25" customHeight="1">
      <c r="A231" s="244"/>
      <c r="B231" s="244"/>
      <c r="C231" s="244"/>
      <c r="D231" s="244"/>
      <c r="E231" s="244"/>
      <c r="F231" s="244"/>
      <c r="G231" s="244"/>
      <c r="H231" s="244"/>
      <c r="I231" s="244"/>
      <c r="J231" s="244"/>
      <c r="K231" s="244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</row>
    <row r="232" ht="14.25" customHeight="1">
      <c r="A232" s="244"/>
      <c r="B232" s="244"/>
      <c r="C232" s="244"/>
      <c r="D232" s="244"/>
      <c r="E232" s="244"/>
      <c r="F232" s="244"/>
      <c r="G232" s="244"/>
      <c r="H232" s="244"/>
      <c r="I232" s="244"/>
      <c r="J232" s="244"/>
      <c r="K232" s="244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</row>
    <row r="233" ht="14.25" customHeight="1">
      <c r="A233" s="244"/>
      <c r="B233" s="244"/>
      <c r="C233" s="244"/>
      <c r="D233" s="244"/>
      <c r="E233" s="244"/>
      <c r="F233" s="244"/>
      <c r="G233" s="244"/>
      <c r="H233" s="244"/>
      <c r="I233" s="244"/>
      <c r="J233" s="244"/>
      <c r="K233" s="244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</row>
    <row r="234" ht="14.25" customHeight="1">
      <c r="A234" s="244"/>
      <c r="B234" s="244"/>
      <c r="C234" s="244"/>
      <c r="D234" s="244"/>
      <c r="E234" s="244"/>
      <c r="F234" s="244"/>
      <c r="G234" s="244"/>
      <c r="H234" s="244"/>
      <c r="I234" s="244"/>
      <c r="J234" s="244"/>
      <c r="K234" s="244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</row>
    <row r="235" ht="14.25" customHeight="1">
      <c r="A235" s="244"/>
      <c r="B235" s="244"/>
      <c r="C235" s="244"/>
      <c r="D235" s="244"/>
      <c r="E235" s="244"/>
      <c r="F235" s="244"/>
      <c r="G235" s="244"/>
      <c r="H235" s="244"/>
      <c r="I235" s="244"/>
      <c r="J235" s="244"/>
      <c r="K235" s="244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</row>
    <row r="236" ht="14.25" customHeight="1">
      <c r="A236" s="244"/>
      <c r="B236" s="244"/>
      <c r="C236" s="244"/>
      <c r="D236" s="244"/>
      <c r="E236" s="244"/>
      <c r="F236" s="244"/>
      <c r="G236" s="244"/>
      <c r="H236" s="244"/>
      <c r="I236" s="244"/>
      <c r="J236" s="244"/>
      <c r="K236" s="244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</row>
    <row r="237" ht="14.25" customHeight="1">
      <c r="A237" s="244"/>
      <c r="B237" s="244"/>
      <c r="C237" s="244"/>
      <c r="D237" s="244"/>
      <c r="E237" s="244"/>
      <c r="F237" s="244"/>
      <c r="G237" s="244"/>
      <c r="H237" s="244"/>
      <c r="I237" s="244"/>
      <c r="J237" s="244"/>
      <c r="K237" s="244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</row>
    <row r="238" ht="14.25" customHeight="1">
      <c r="A238" s="244"/>
      <c r="B238" s="244"/>
      <c r="C238" s="244"/>
      <c r="D238" s="244"/>
      <c r="E238" s="244"/>
      <c r="F238" s="244"/>
      <c r="G238" s="244"/>
      <c r="H238" s="244"/>
      <c r="I238" s="244"/>
      <c r="J238" s="244"/>
      <c r="K238" s="244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</row>
    <row r="239" ht="14.25" customHeight="1">
      <c r="A239" s="244"/>
      <c r="B239" s="244"/>
      <c r="C239" s="244"/>
      <c r="D239" s="244"/>
      <c r="E239" s="244"/>
      <c r="F239" s="244"/>
      <c r="G239" s="244"/>
      <c r="H239" s="244"/>
      <c r="I239" s="244"/>
      <c r="J239" s="244"/>
      <c r="K239" s="244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</row>
    <row r="240" ht="14.25" customHeight="1">
      <c r="A240" s="244"/>
      <c r="B240" s="244"/>
      <c r="C240" s="244"/>
      <c r="D240" s="244"/>
      <c r="E240" s="244"/>
      <c r="F240" s="244"/>
      <c r="G240" s="244"/>
      <c r="H240" s="244"/>
      <c r="I240" s="244"/>
      <c r="J240" s="244"/>
      <c r="K240" s="244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</row>
    <row r="241" ht="14.25" customHeight="1">
      <c r="A241" s="244"/>
      <c r="B241" s="244"/>
      <c r="C241" s="244"/>
      <c r="D241" s="244"/>
      <c r="E241" s="244"/>
      <c r="F241" s="244"/>
      <c r="G241" s="244"/>
      <c r="H241" s="244"/>
      <c r="I241" s="244"/>
      <c r="J241" s="244"/>
      <c r="K241" s="244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</row>
    <row r="242" ht="14.25" customHeight="1">
      <c r="A242" s="244"/>
      <c r="B242" s="244"/>
      <c r="C242" s="244"/>
      <c r="D242" s="244"/>
      <c r="E242" s="244"/>
      <c r="F242" s="244"/>
      <c r="G242" s="244"/>
      <c r="H242" s="244"/>
      <c r="I242" s="244"/>
      <c r="J242" s="244"/>
      <c r="K242" s="244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</row>
    <row r="243" ht="14.25" customHeight="1">
      <c r="A243" s="244"/>
      <c r="B243" s="244"/>
      <c r="C243" s="244"/>
      <c r="D243" s="244"/>
      <c r="E243" s="244"/>
      <c r="F243" s="244"/>
      <c r="G243" s="244"/>
      <c r="H243" s="244"/>
      <c r="I243" s="244"/>
      <c r="J243" s="244"/>
      <c r="K243" s="244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</row>
    <row r="244" ht="14.25" customHeight="1">
      <c r="A244" s="244"/>
      <c r="B244" s="244"/>
      <c r="C244" s="244"/>
      <c r="D244" s="244"/>
      <c r="E244" s="244"/>
      <c r="F244" s="244"/>
      <c r="G244" s="244"/>
      <c r="H244" s="244"/>
      <c r="I244" s="244"/>
      <c r="J244" s="244"/>
      <c r="K244" s="244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</row>
    <row r="245" ht="14.25" customHeight="1">
      <c r="A245" s="244"/>
      <c r="B245" s="244"/>
      <c r="C245" s="244"/>
      <c r="D245" s="244"/>
      <c r="E245" s="244"/>
      <c r="F245" s="244"/>
      <c r="G245" s="244"/>
      <c r="H245" s="244"/>
      <c r="I245" s="244"/>
      <c r="J245" s="244"/>
      <c r="K245" s="244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</row>
    <row r="246" ht="14.25" customHeight="1">
      <c r="A246" s="244"/>
      <c r="B246" s="244"/>
      <c r="C246" s="244"/>
      <c r="D246" s="244"/>
      <c r="E246" s="244"/>
      <c r="F246" s="244"/>
      <c r="G246" s="244"/>
      <c r="H246" s="244"/>
      <c r="I246" s="244"/>
      <c r="J246" s="244"/>
      <c r="K246" s="244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</row>
    <row r="247" ht="14.25" customHeight="1">
      <c r="A247" s="244"/>
      <c r="B247" s="244"/>
      <c r="C247" s="244"/>
      <c r="D247" s="244"/>
      <c r="E247" s="244"/>
      <c r="F247" s="244"/>
      <c r="G247" s="244"/>
      <c r="H247" s="244"/>
      <c r="I247" s="244"/>
      <c r="J247" s="244"/>
      <c r="K247" s="244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</row>
    <row r="248" ht="14.25" customHeight="1">
      <c r="A248" s="244"/>
      <c r="B248" s="244"/>
      <c r="C248" s="244"/>
      <c r="D248" s="244"/>
      <c r="E248" s="244"/>
      <c r="F248" s="244"/>
      <c r="G248" s="244"/>
      <c r="H248" s="244"/>
      <c r="I248" s="244"/>
      <c r="J248" s="244"/>
      <c r="K248" s="244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</row>
    <row r="249" ht="14.25" customHeight="1">
      <c r="A249" s="244"/>
      <c r="B249" s="244"/>
      <c r="C249" s="244"/>
      <c r="D249" s="244"/>
      <c r="E249" s="244"/>
      <c r="F249" s="244"/>
      <c r="G249" s="244"/>
      <c r="H249" s="244"/>
      <c r="I249" s="244"/>
      <c r="J249" s="244"/>
      <c r="K249" s="244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</row>
    <row r="250" ht="14.25" customHeight="1">
      <c r="A250" s="244"/>
      <c r="B250" s="244"/>
      <c r="C250" s="244"/>
      <c r="D250" s="244"/>
      <c r="E250" s="244"/>
      <c r="F250" s="244"/>
      <c r="G250" s="244"/>
      <c r="H250" s="244"/>
      <c r="I250" s="244"/>
      <c r="J250" s="244"/>
      <c r="K250" s="244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</row>
    <row r="251" ht="14.25" customHeight="1">
      <c r="A251" s="244"/>
      <c r="B251" s="244"/>
      <c r="C251" s="244"/>
      <c r="D251" s="244"/>
      <c r="E251" s="244"/>
      <c r="F251" s="244"/>
      <c r="G251" s="244"/>
      <c r="H251" s="244"/>
      <c r="I251" s="244"/>
      <c r="J251" s="244"/>
      <c r="K251" s="244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</row>
    <row r="252" ht="14.25" customHeight="1">
      <c r="A252" s="244"/>
      <c r="B252" s="244"/>
      <c r="C252" s="244"/>
      <c r="D252" s="244"/>
      <c r="E252" s="244"/>
      <c r="F252" s="244"/>
      <c r="G252" s="244"/>
      <c r="H252" s="244"/>
      <c r="I252" s="244"/>
      <c r="J252" s="244"/>
      <c r="K252" s="244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</row>
    <row r="253" ht="14.25" customHeight="1">
      <c r="A253" s="244"/>
      <c r="B253" s="244"/>
      <c r="C253" s="244"/>
      <c r="D253" s="244"/>
      <c r="E253" s="244"/>
      <c r="F253" s="244"/>
      <c r="G253" s="244"/>
      <c r="H253" s="244"/>
      <c r="I253" s="244"/>
      <c r="J253" s="244"/>
      <c r="K253" s="244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</row>
    <row r="254" ht="14.25" customHeight="1">
      <c r="A254" s="244"/>
      <c r="B254" s="244"/>
      <c r="C254" s="244"/>
      <c r="D254" s="244"/>
      <c r="E254" s="244"/>
      <c r="F254" s="244"/>
      <c r="G254" s="244"/>
      <c r="H254" s="244"/>
      <c r="I254" s="244"/>
      <c r="J254" s="244"/>
      <c r="K254" s="244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</row>
    <row r="255" ht="14.25" customHeight="1">
      <c r="A255" s="244"/>
      <c r="B255" s="244"/>
      <c r="C255" s="244"/>
      <c r="D255" s="244"/>
      <c r="E255" s="244"/>
      <c r="F255" s="244"/>
      <c r="G255" s="244"/>
      <c r="H255" s="244"/>
      <c r="I255" s="244"/>
      <c r="J255" s="244"/>
      <c r="K255" s="244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</row>
    <row r="256" ht="14.25" customHeight="1">
      <c r="A256" s="244"/>
      <c r="B256" s="244"/>
      <c r="C256" s="244"/>
      <c r="D256" s="244"/>
      <c r="E256" s="244"/>
      <c r="F256" s="244"/>
      <c r="G256" s="244"/>
      <c r="H256" s="244"/>
      <c r="I256" s="244"/>
      <c r="J256" s="244"/>
      <c r="K256" s="244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</row>
    <row r="257" ht="14.25" customHeight="1">
      <c r="A257" s="244"/>
      <c r="B257" s="244"/>
      <c r="C257" s="244"/>
      <c r="D257" s="244"/>
      <c r="E257" s="244"/>
      <c r="F257" s="244"/>
      <c r="G257" s="244"/>
      <c r="H257" s="244"/>
      <c r="I257" s="244"/>
      <c r="J257" s="244"/>
      <c r="K257" s="244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</row>
    <row r="258" ht="14.25" customHeight="1">
      <c r="A258" s="244"/>
      <c r="B258" s="244"/>
      <c r="C258" s="244"/>
      <c r="D258" s="244"/>
      <c r="E258" s="244"/>
      <c r="F258" s="244"/>
      <c r="G258" s="244"/>
      <c r="H258" s="244"/>
      <c r="I258" s="244"/>
      <c r="J258" s="244"/>
      <c r="K258" s="244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</row>
    <row r="259" ht="14.25" customHeight="1">
      <c r="A259" s="244"/>
      <c r="B259" s="244"/>
      <c r="C259" s="244"/>
      <c r="D259" s="244"/>
      <c r="E259" s="244"/>
      <c r="F259" s="244"/>
      <c r="G259" s="244"/>
      <c r="H259" s="244"/>
      <c r="I259" s="244"/>
      <c r="J259" s="244"/>
      <c r="K259" s="244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</row>
    <row r="260" ht="14.25" customHeight="1">
      <c r="A260" s="244"/>
      <c r="B260" s="244"/>
      <c r="C260" s="244"/>
      <c r="D260" s="244"/>
      <c r="E260" s="244"/>
      <c r="F260" s="244"/>
      <c r="G260" s="244"/>
      <c r="H260" s="244"/>
      <c r="I260" s="244"/>
      <c r="J260" s="244"/>
      <c r="K260" s="244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</row>
    <row r="261" ht="14.25" customHeight="1">
      <c r="A261" s="244"/>
      <c r="B261" s="244"/>
      <c r="C261" s="244"/>
      <c r="D261" s="244"/>
      <c r="E261" s="244"/>
      <c r="F261" s="244"/>
      <c r="G261" s="244"/>
      <c r="H261" s="244"/>
      <c r="I261" s="244"/>
      <c r="J261" s="244"/>
      <c r="K261" s="244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</row>
    <row r="262" ht="14.25" customHeight="1">
      <c r="A262" s="244"/>
      <c r="B262" s="244"/>
      <c r="C262" s="244"/>
      <c r="D262" s="244"/>
      <c r="E262" s="244"/>
      <c r="F262" s="244"/>
      <c r="G262" s="244"/>
      <c r="H262" s="244"/>
      <c r="I262" s="244"/>
      <c r="J262" s="244"/>
      <c r="K262" s="244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</row>
    <row r="263" ht="14.25" customHeight="1">
      <c r="A263" s="244"/>
      <c r="B263" s="244"/>
      <c r="C263" s="244"/>
      <c r="D263" s="244"/>
      <c r="E263" s="244"/>
      <c r="F263" s="244"/>
      <c r="G263" s="244"/>
      <c r="H263" s="244"/>
      <c r="I263" s="244"/>
      <c r="J263" s="244"/>
      <c r="K263" s="244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</row>
    <row r="264" ht="14.25" customHeight="1">
      <c r="A264" s="244"/>
      <c r="B264" s="244"/>
      <c r="C264" s="244"/>
      <c r="D264" s="244"/>
      <c r="E264" s="244"/>
      <c r="F264" s="244"/>
      <c r="G264" s="244"/>
      <c r="H264" s="244"/>
      <c r="I264" s="244"/>
      <c r="J264" s="244"/>
      <c r="K264" s="244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</row>
    <row r="265" ht="14.25" customHeight="1">
      <c r="A265" s="244"/>
      <c r="B265" s="244"/>
      <c r="C265" s="244"/>
      <c r="D265" s="244"/>
      <c r="E265" s="244"/>
      <c r="F265" s="244"/>
      <c r="G265" s="244"/>
      <c r="H265" s="244"/>
      <c r="I265" s="244"/>
      <c r="J265" s="244"/>
      <c r="K265" s="244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</row>
    <row r="266" ht="14.25" customHeight="1">
      <c r="A266" s="244"/>
      <c r="B266" s="244"/>
      <c r="C266" s="244"/>
      <c r="D266" s="244"/>
      <c r="E266" s="244"/>
      <c r="F266" s="244"/>
      <c r="G266" s="244"/>
      <c r="H266" s="244"/>
      <c r="I266" s="244"/>
      <c r="J266" s="244"/>
      <c r="K266" s="244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</row>
    <row r="267" ht="14.25" customHeight="1">
      <c r="A267" s="244"/>
      <c r="B267" s="244"/>
      <c r="C267" s="244"/>
      <c r="D267" s="244"/>
      <c r="E267" s="244"/>
      <c r="F267" s="244"/>
      <c r="G267" s="244"/>
      <c r="H267" s="244"/>
      <c r="I267" s="244"/>
      <c r="J267" s="244"/>
      <c r="K267" s="244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</row>
    <row r="268" ht="14.25" customHeight="1">
      <c r="A268" s="244"/>
      <c r="B268" s="244"/>
      <c r="C268" s="244"/>
      <c r="D268" s="244"/>
      <c r="E268" s="244"/>
      <c r="F268" s="244"/>
      <c r="G268" s="244"/>
      <c r="H268" s="244"/>
      <c r="I268" s="244"/>
      <c r="J268" s="244"/>
      <c r="K268" s="244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</row>
    <row r="269" ht="14.25" customHeight="1">
      <c r="A269" s="244"/>
      <c r="B269" s="244"/>
      <c r="C269" s="244"/>
      <c r="D269" s="244"/>
      <c r="E269" s="244"/>
      <c r="F269" s="244"/>
      <c r="G269" s="244"/>
      <c r="H269" s="244"/>
      <c r="I269" s="244"/>
      <c r="J269" s="244"/>
      <c r="K269" s="244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</row>
    <row r="270" ht="14.25" customHeight="1">
      <c r="A270" s="244"/>
      <c r="B270" s="244"/>
      <c r="C270" s="244"/>
      <c r="D270" s="244"/>
      <c r="E270" s="244"/>
      <c r="F270" s="244"/>
      <c r="G270" s="244"/>
      <c r="H270" s="244"/>
      <c r="I270" s="244"/>
      <c r="J270" s="244"/>
      <c r="K270" s="244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</row>
    <row r="271" ht="14.25" customHeight="1">
      <c r="A271" s="244"/>
      <c r="B271" s="244"/>
      <c r="C271" s="244"/>
      <c r="D271" s="244"/>
      <c r="E271" s="244"/>
      <c r="F271" s="244"/>
      <c r="G271" s="244"/>
      <c r="H271" s="244"/>
      <c r="I271" s="244"/>
      <c r="J271" s="244"/>
      <c r="K271" s="244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</row>
    <row r="272" ht="14.25" customHeight="1">
      <c r="A272" s="244"/>
      <c r="B272" s="244"/>
      <c r="C272" s="244"/>
      <c r="D272" s="244"/>
      <c r="E272" s="244"/>
      <c r="F272" s="244"/>
      <c r="G272" s="244"/>
      <c r="H272" s="244"/>
      <c r="I272" s="244"/>
      <c r="J272" s="244"/>
      <c r="K272" s="244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</row>
    <row r="273" ht="14.25" customHeight="1">
      <c r="A273" s="244"/>
      <c r="B273" s="244"/>
      <c r="C273" s="244"/>
      <c r="D273" s="244"/>
      <c r="E273" s="244"/>
      <c r="F273" s="244"/>
      <c r="G273" s="244"/>
      <c r="H273" s="244"/>
      <c r="I273" s="244"/>
      <c r="J273" s="244"/>
      <c r="K273" s="244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</row>
    <row r="274" ht="14.25" customHeight="1">
      <c r="A274" s="244"/>
      <c r="B274" s="244"/>
      <c r="C274" s="244"/>
      <c r="D274" s="244"/>
      <c r="E274" s="244"/>
      <c r="F274" s="244"/>
      <c r="G274" s="244"/>
      <c r="H274" s="244"/>
      <c r="I274" s="244"/>
      <c r="J274" s="244"/>
      <c r="K274" s="244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</row>
    <row r="275" ht="14.25" customHeight="1">
      <c r="A275" s="244"/>
      <c r="B275" s="244"/>
      <c r="C275" s="244"/>
      <c r="D275" s="244"/>
      <c r="E275" s="244"/>
      <c r="F275" s="244"/>
      <c r="G275" s="244"/>
      <c r="H275" s="244"/>
      <c r="I275" s="244"/>
      <c r="J275" s="244"/>
      <c r="K275" s="244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</row>
    <row r="276" ht="14.25" customHeight="1">
      <c r="A276" s="244"/>
      <c r="B276" s="244"/>
      <c r="C276" s="244"/>
      <c r="D276" s="244"/>
      <c r="E276" s="244"/>
      <c r="F276" s="244"/>
      <c r="G276" s="244"/>
      <c r="H276" s="244"/>
      <c r="I276" s="244"/>
      <c r="J276" s="244"/>
      <c r="K276" s="244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</row>
    <row r="277" ht="14.25" customHeight="1">
      <c r="A277" s="244"/>
      <c r="B277" s="244"/>
      <c r="C277" s="244"/>
      <c r="D277" s="244"/>
      <c r="E277" s="244"/>
      <c r="F277" s="244"/>
      <c r="G277" s="244"/>
      <c r="H277" s="244"/>
      <c r="I277" s="244"/>
      <c r="J277" s="244"/>
      <c r="K277" s="244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</row>
    <row r="278" ht="14.25" customHeight="1">
      <c r="A278" s="244"/>
      <c r="B278" s="244"/>
      <c r="C278" s="244"/>
      <c r="D278" s="244"/>
      <c r="E278" s="244"/>
      <c r="F278" s="244"/>
      <c r="G278" s="244"/>
      <c r="H278" s="244"/>
      <c r="I278" s="244"/>
      <c r="J278" s="244"/>
      <c r="K278" s="244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</row>
    <row r="279" ht="14.25" customHeight="1">
      <c r="A279" s="244"/>
      <c r="B279" s="244"/>
      <c r="C279" s="244"/>
      <c r="D279" s="244"/>
      <c r="E279" s="244"/>
      <c r="F279" s="244"/>
      <c r="G279" s="244"/>
      <c r="H279" s="244"/>
      <c r="I279" s="244"/>
      <c r="J279" s="244"/>
      <c r="K279" s="244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</row>
    <row r="280" ht="14.25" customHeight="1">
      <c r="A280" s="244"/>
      <c r="B280" s="244"/>
      <c r="C280" s="244"/>
      <c r="D280" s="244"/>
      <c r="E280" s="244"/>
      <c r="F280" s="244"/>
      <c r="G280" s="244"/>
      <c r="H280" s="244"/>
      <c r="I280" s="244"/>
      <c r="J280" s="244"/>
      <c r="K280" s="244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</row>
    <row r="281" ht="14.25" customHeight="1">
      <c r="A281" s="244"/>
      <c r="B281" s="244"/>
      <c r="C281" s="244"/>
      <c r="D281" s="244"/>
      <c r="E281" s="244"/>
      <c r="F281" s="244"/>
      <c r="G281" s="244"/>
      <c r="H281" s="244"/>
      <c r="I281" s="244"/>
      <c r="J281" s="244"/>
      <c r="K281" s="244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</row>
    <row r="282" ht="14.25" customHeight="1">
      <c r="A282" s="244"/>
      <c r="B282" s="244"/>
      <c r="C282" s="244"/>
      <c r="D282" s="244"/>
      <c r="E282" s="244"/>
      <c r="F282" s="244"/>
      <c r="G282" s="244"/>
      <c r="H282" s="244"/>
      <c r="I282" s="244"/>
      <c r="J282" s="244"/>
      <c r="K282" s="244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</row>
    <row r="283" ht="14.25" customHeight="1">
      <c r="A283" s="244"/>
      <c r="B283" s="244"/>
      <c r="C283" s="244"/>
      <c r="D283" s="244"/>
      <c r="E283" s="244"/>
      <c r="F283" s="244"/>
      <c r="G283" s="244"/>
      <c r="H283" s="244"/>
      <c r="I283" s="244"/>
      <c r="J283" s="244"/>
      <c r="K283" s="244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</row>
    <row r="284" ht="14.25" customHeight="1">
      <c r="A284" s="244"/>
      <c r="B284" s="244"/>
      <c r="C284" s="244"/>
      <c r="D284" s="244"/>
      <c r="E284" s="244"/>
      <c r="F284" s="244"/>
      <c r="G284" s="244"/>
      <c r="H284" s="244"/>
      <c r="I284" s="244"/>
      <c r="J284" s="244"/>
      <c r="K284" s="244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</row>
    <row r="285" ht="14.25" customHeight="1">
      <c r="A285" s="244"/>
      <c r="B285" s="244"/>
      <c r="C285" s="244"/>
      <c r="D285" s="244"/>
      <c r="E285" s="244"/>
      <c r="F285" s="244"/>
      <c r="G285" s="244"/>
      <c r="H285" s="244"/>
      <c r="I285" s="244"/>
      <c r="J285" s="244"/>
      <c r="K285" s="244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</row>
    <row r="286" ht="14.25" customHeight="1">
      <c r="A286" s="244"/>
      <c r="B286" s="244"/>
      <c r="C286" s="244"/>
      <c r="D286" s="244"/>
      <c r="E286" s="244"/>
      <c r="F286" s="244"/>
      <c r="G286" s="244"/>
      <c r="H286" s="244"/>
      <c r="I286" s="244"/>
      <c r="J286" s="244"/>
      <c r="K286" s="244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</row>
    <row r="287" ht="14.25" customHeight="1">
      <c r="A287" s="244"/>
      <c r="B287" s="244"/>
      <c r="C287" s="244"/>
      <c r="D287" s="244"/>
      <c r="E287" s="244"/>
      <c r="F287" s="244"/>
      <c r="G287" s="244"/>
      <c r="H287" s="244"/>
      <c r="I287" s="244"/>
      <c r="J287" s="244"/>
      <c r="K287" s="244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</row>
    <row r="288" ht="14.25" customHeight="1">
      <c r="A288" s="244"/>
      <c r="B288" s="244"/>
      <c r="C288" s="244"/>
      <c r="D288" s="244"/>
      <c r="E288" s="244"/>
      <c r="F288" s="244"/>
      <c r="G288" s="244"/>
      <c r="H288" s="244"/>
      <c r="I288" s="244"/>
      <c r="J288" s="244"/>
      <c r="K288" s="244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</row>
    <row r="289" ht="14.25" customHeight="1">
      <c r="A289" s="244"/>
      <c r="B289" s="244"/>
      <c r="C289" s="244"/>
      <c r="D289" s="244"/>
      <c r="E289" s="244"/>
      <c r="F289" s="244"/>
      <c r="G289" s="244"/>
      <c r="H289" s="244"/>
      <c r="I289" s="244"/>
      <c r="J289" s="244"/>
      <c r="K289" s="244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</row>
    <row r="290" ht="14.25" customHeight="1">
      <c r="A290" s="244"/>
      <c r="B290" s="244"/>
      <c r="C290" s="244"/>
      <c r="D290" s="244"/>
      <c r="E290" s="244"/>
      <c r="F290" s="244"/>
      <c r="G290" s="244"/>
      <c r="H290" s="244"/>
      <c r="I290" s="244"/>
      <c r="J290" s="244"/>
      <c r="K290" s="244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</row>
    <row r="291" ht="14.25" customHeight="1">
      <c r="A291" s="244"/>
      <c r="B291" s="244"/>
      <c r="C291" s="244"/>
      <c r="D291" s="244"/>
      <c r="E291" s="244"/>
      <c r="F291" s="244"/>
      <c r="G291" s="244"/>
      <c r="H291" s="244"/>
      <c r="I291" s="244"/>
      <c r="J291" s="244"/>
      <c r="K291" s="244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</row>
    <row r="292" ht="14.25" customHeight="1">
      <c r="A292" s="244"/>
      <c r="B292" s="244"/>
      <c r="C292" s="244"/>
      <c r="D292" s="244"/>
      <c r="E292" s="244"/>
      <c r="F292" s="244"/>
      <c r="G292" s="244"/>
      <c r="H292" s="244"/>
      <c r="I292" s="244"/>
      <c r="J292" s="244"/>
      <c r="K292" s="244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</row>
    <row r="293" ht="14.25" customHeight="1">
      <c r="A293" s="244"/>
      <c r="B293" s="244"/>
      <c r="C293" s="244"/>
      <c r="D293" s="244"/>
      <c r="E293" s="244"/>
      <c r="F293" s="244"/>
      <c r="G293" s="244"/>
      <c r="H293" s="244"/>
      <c r="I293" s="244"/>
      <c r="J293" s="244"/>
      <c r="K293" s="244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</row>
    <row r="294" ht="14.25" customHeight="1">
      <c r="A294" s="244"/>
      <c r="B294" s="244"/>
      <c r="C294" s="244"/>
      <c r="D294" s="244"/>
      <c r="E294" s="244"/>
      <c r="F294" s="244"/>
      <c r="G294" s="244"/>
      <c r="H294" s="244"/>
      <c r="I294" s="244"/>
      <c r="J294" s="244"/>
      <c r="K294" s="244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</row>
    <row r="295" ht="14.25" customHeight="1">
      <c r="A295" s="244"/>
      <c r="B295" s="244"/>
      <c r="C295" s="244"/>
      <c r="D295" s="244"/>
      <c r="E295" s="244"/>
      <c r="F295" s="244"/>
      <c r="G295" s="244"/>
      <c r="H295" s="244"/>
      <c r="I295" s="244"/>
      <c r="J295" s="244"/>
      <c r="K295" s="244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</row>
    <row r="296" ht="14.25" customHeight="1">
      <c r="A296" s="244"/>
      <c r="B296" s="244"/>
      <c r="C296" s="244"/>
      <c r="D296" s="244"/>
      <c r="E296" s="244"/>
      <c r="F296" s="244"/>
      <c r="G296" s="244"/>
      <c r="H296" s="244"/>
      <c r="I296" s="244"/>
      <c r="J296" s="244"/>
      <c r="K296" s="244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</row>
    <row r="297" ht="14.25" customHeight="1">
      <c r="A297" s="244"/>
      <c r="B297" s="244"/>
      <c r="C297" s="244"/>
      <c r="D297" s="244"/>
      <c r="E297" s="244"/>
      <c r="F297" s="244"/>
      <c r="G297" s="244"/>
      <c r="H297" s="244"/>
      <c r="I297" s="244"/>
      <c r="J297" s="244"/>
      <c r="K297" s="244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</row>
    <row r="298" ht="14.25" customHeight="1">
      <c r="A298" s="244"/>
      <c r="B298" s="244"/>
      <c r="C298" s="244"/>
      <c r="D298" s="244"/>
      <c r="E298" s="244"/>
      <c r="F298" s="244"/>
      <c r="G298" s="244"/>
      <c r="H298" s="244"/>
      <c r="I298" s="244"/>
      <c r="J298" s="244"/>
      <c r="K298" s="244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</row>
    <row r="299" ht="14.25" customHeight="1">
      <c r="A299" s="244"/>
      <c r="B299" s="244"/>
      <c r="C299" s="244"/>
      <c r="D299" s="244"/>
      <c r="E299" s="244"/>
      <c r="F299" s="244"/>
      <c r="G299" s="244"/>
      <c r="H299" s="244"/>
      <c r="I299" s="244"/>
      <c r="J299" s="244"/>
      <c r="K299" s="244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</row>
    <row r="300" ht="14.25" customHeight="1">
      <c r="A300" s="244"/>
      <c r="B300" s="244"/>
      <c r="C300" s="244"/>
      <c r="D300" s="244"/>
      <c r="E300" s="244"/>
      <c r="F300" s="244"/>
      <c r="G300" s="244"/>
      <c r="H300" s="244"/>
      <c r="I300" s="244"/>
      <c r="J300" s="244"/>
      <c r="K300" s="244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</row>
    <row r="301" ht="14.25" customHeight="1">
      <c r="A301" s="244"/>
      <c r="B301" s="244"/>
      <c r="C301" s="244"/>
      <c r="D301" s="244"/>
      <c r="E301" s="244"/>
      <c r="F301" s="244"/>
      <c r="G301" s="244"/>
      <c r="H301" s="244"/>
      <c r="I301" s="244"/>
      <c r="J301" s="244"/>
      <c r="K301" s="244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</row>
    <row r="302" ht="14.25" customHeight="1">
      <c r="A302" s="244"/>
      <c r="B302" s="244"/>
      <c r="C302" s="244"/>
      <c r="D302" s="244"/>
      <c r="E302" s="244"/>
      <c r="F302" s="244"/>
      <c r="G302" s="244"/>
      <c r="H302" s="244"/>
      <c r="I302" s="244"/>
      <c r="J302" s="244"/>
      <c r="K302" s="244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</row>
    <row r="303" ht="14.25" customHeight="1">
      <c r="A303" s="244"/>
      <c r="B303" s="244"/>
      <c r="C303" s="244"/>
      <c r="D303" s="244"/>
      <c r="E303" s="244"/>
      <c r="F303" s="244"/>
      <c r="G303" s="244"/>
      <c r="H303" s="244"/>
      <c r="I303" s="244"/>
      <c r="J303" s="244"/>
      <c r="K303" s="244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</row>
    <row r="304" ht="14.25" customHeight="1">
      <c r="A304" s="244"/>
      <c r="B304" s="244"/>
      <c r="C304" s="244"/>
      <c r="D304" s="244"/>
      <c r="E304" s="244"/>
      <c r="F304" s="244"/>
      <c r="G304" s="244"/>
      <c r="H304" s="244"/>
      <c r="I304" s="244"/>
      <c r="J304" s="244"/>
      <c r="K304" s="244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</row>
    <row r="305" ht="14.25" customHeight="1">
      <c r="A305" s="244"/>
      <c r="B305" s="244"/>
      <c r="C305" s="244"/>
      <c r="D305" s="244"/>
      <c r="E305" s="244"/>
      <c r="F305" s="244"/>
      <c r="G305" s="244"/>
      <c r="H305" s="244"/>
      <c r="I305" s="244"/>
      <c r="J305" s="244"/>
      <c r="K305" s="244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</row>
    <row r="306" ht="14.25" customHeight="1">
      <c r="A306" s="244"/>
      <c r="B306" s="244"/>
      <c r="C306" s="244"/>
      <c r="D306" s="244"/>
      <c r="E306" s="244"/>
      <c r="F306" s="244"/>
      <c r="G306" s="244"/>
      <c r="H306" s="244"/>
      <c r="I306" s="244"/>
      <c r="J306" s="244"/>
      <c r="K306" s="244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</row>
    <row r="307" ht="14.25" customHeight="1">
      <c r="A307" s="244"/>
      <c r="B307" s="244"/>
      <c r="C307" s="244"/>
      <c r="D307" s="244"/>
      <c r="E307" s="244"/>
      <c r="F307" s="244"/>
      <c r="G307" s="244"/>
      <c r="H307" s="244"/>
      <c r="I307" s="244"/>
      <c r="J307" s="244"/>
      <c r="K307" s="244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</row>
    <row r="308" ht="14.25" customHeight="1">
      <c r="A308" s="244"/>
      <c r="B308" s="244"/>
      <c r="C308" s="244"/>
      <c r="D308" s="244"/>
      <c r="E308" s="244"/>
      <c r="F308" s="244"/>
      <c r="G308" s="244"/>
      <c r="H308" s="244"/>
      <c r="I308" s="244"/>
      <c r="J308" s="244"/>
      <c r="K308" s="244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</row>
    <row r="309" ht="14.25" customHeight="1">
      <c r="A309" s="244"/>
      <c r="B309" s="244"/>
      <c r="C309" s="244"/>
      <c r="D309" s="244"/>
      <c r="E309" s="244"/>
      <c r="F309" s="244"/>
      <c r="G309" s="244"/>
      <c r="H309" s="244"/>
      <c r="I309" s="244"/>
      <c r="J309" s="244"/>
      <c r="K309" s="244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</row>
    <row r="310" ht="14.25" customHeight="1">
      <c r="A310" s="244"/>
      <c r="B310" s="244"/>
      <c r="C310" s="244"/>
      <c r="D310" s="244"/>
      <c r="E310" s="244"/>
      <c r="F310" s="244"/>
      <c r="G310" s="244"/>
      <c r="H310" s="244"/>
      <c r="I310" s="244"/>
      <c r="J310" s="244"/>
      <c r="K310" s="244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</row>
    <row r="311" ht="14.25" customHeight="1">
      <c r="A311" s="244"/>
      <c r="B311" s="244"/>
      <c r="C311" s="244"/>
      <c r="D311" s="244"/>
      <c r="E311" s="244"/>
      <c r="F311" s="244"/>
      <c r="G311" s="244"/>
      <c r="H311" s="244"/>
      <c r="I311" s="244"/>
      <c r="J311" s="244"/>
      <c r="K311" s="244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</row>
    <row r="312" ht="14.25" customHeight="1">
      <c r="A312" s="244"/>
      <c r="B312" s="244"/>
      <c r="C312" s="244"/>
      <c r="D312" s="244"/>
      <c r="E312" s="244"/>
      <c r="F312" s="244"/>
      <c r="G312" s="244"/>
      <c r="H312" s="244"/>
      <c r="I312" s="244"/>
      <c r="J312" s="244"/>
      <c r="K312" s="244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</row>
    <row r="313" ht="14.25" customHeight="1">
      <c r="A313" s="244"/>
      <c r="B313" s="244"/>
      <c r="C313" s="244"/>
      <c r="D313" s="244"/>
      <c r="E313" s="244"/>
      <c r="F313" s="244"/>
      <c r="G313" s="244"/>
      <c r="H313" s="244"/>
      <c r="I313" s="244"/>
      <c r="J313" s="244"/>
      <c r="K313" s="244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</row>
    <row r="314" ht="14.25" customHeight="1">
      <c r="A314" s="244"/>
      <c r="B314" s="244"/>
      <c r="C314" s="244"/>
      <c r="D314" s="244"/>
      <c r="E314" s="244"/>
      <c r="F314" s="244"/>
      <c r="G314" s="244"/>
      <c r="H314" s="244"/>
      <c r="I314" s="244"/>
      <c r="J314" s="244"/>
      <c r="K314" s="244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</row>
    <row r="315" ht="14.25" customHeight="1">
      <c r="A315" s="244"/>
      <c r="B315" s="244"/>
      <c r="C315" s="244"/>
      <c r="D315" s="244"/>
      <c r="E315" s="244"/>
      <c r="F315" s="244"/>
      <c r="G315" s="244"/>
      <c r="H315" s="244"/>
      <c r="I315" s="244"/>
      <c r="J315" s="244"/>
      <c r="K315" s="244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</row>
    <row r="316" ht="14.25" customHeight="1">
      <c r="A316" s="244"/>
      <c r="B316" s="244"/>
      <c r="C316" s="244"/>
      <c r="D316" s="244"/>
      <c r="E316" s="244"/>
      <c r="F316" s="244"/>
      <c r="G316" s="244"/>
      <c r="H316" s="244"/>
      <c r="I316" s="244"/>
      <c r="J316" s="244"/>
      <c r="K316" s="244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</row>
    <row r="317" ht="14.25" customHeight="1">
      <c r="A317" s="244"/>
      <c r="B317" s="244"/>
      <c r="C317" s="244"/>
      <c r="D317" s="244"/>
      <c r="E317" s="244"/>
      <c r="F317" s="244"/>
      <c r="G317" s="244"/>
      <c r="H317" s="244"/>
      <c r="I317" s="244"/>
      <c r="J317" s="244"/>
      <c r="K317" s="244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</row>
    <row r="318" ht="14.25" customHeight="1">
      <c r="A318" s="244"/>
      <c r="B318" s="244"/>
      <c r="C318" s="244"/>
      <c r="D318" s="244"/>
      <c r="E318" s="244"/>
      <c r="F318" s="244"/>
      <c r="G318" s="244"/>
      <c r="H318" s="244"/>
      <c r="I318" s="244"/>
      <c r="J318" s="244"/>
      <c r="K318" s="244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</row>
    <row r="319" ht="14.25" customHeight="1">
      <c r="A319" s="244"/>
      <c r="B319" s="244"/>
      <c r="C319" s="244"/>
      <c r="D319" s="244"/>
      <c r="E319" s="244"/>
      <c r="F319" s="244"/>
      <c r="G319" s="244"/>
      <c r="H319" s="244"/>
      <c r="I319" s="244"/>
      <c r="J319" s="244"/>
      <c r="K319" s="244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</row>
    <row r="320" ht="14.25" customHeight="1">
      <c r="A320" s="244"/>
      <c r="B320" s="244"/>
      <c r="C320" s="244"/>
      <c r="D320" s="244"/>
      <c r="E320" s="244"/>
      <c r="F320" s="244"/>
      <c r="G320" s="244"/>
      <c r="H320" s="244"/>
      <c r="I320" s="244"/>
      <c r="J320" s="244"/>
      <c r="K320" s="244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</row>
    <row r="321" ht="14.25" customHeight="1">
      <c r="A321" s="244"/>
      <c r="B321" s="244"/>
      <c r="C321" s="244"/>
      <c r="D321" s="244"/>
      <c r="E321" s="244"/>
      <c r="F321" s="244"/>
      <c r="G321" s="244"/>
      <c r="H321" s="244"/>
      <c r="I321" s="244"/>
      <c r="J321" s="244"/>
      <c r="K321" s="244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</row>
    <row r="322" ht="14.25" customHeight="1">
      <c r="A322" s="244"/>
      <c r="B322" s="244"/>
      <c r="C322" s="244"/>
      <c r="D322" s="244"/>
      <c r="E322" s="244"/>
      <c r="F322" s="244"/>
      <c r="G322" s="244"/>
      <c r="H322" s="244"/>
      <c r="I322" s="244"/>
      <c r="J322" s="244"/>
      <c r="K322" s="244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</row>
    <row r="323" ht="14.25" customHeight="1">
      <c r="A323" s="244"/>
      <c r="B323" s="244"/>
      <c r="C323" s="244"/>
      <c r="D323" s="244"/>
      <c r="E323" s="244"/>
      <c r="F323" s="244"/>
      <c r="G323" s="244"/>
      <c r="H323" s="244"/>
      <c r="I323" s="244"/>
      <c r="J323" s="244"/>
      <c r="K323" s="244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</row>
    <row r="324" ht="14.25" customHeight="1">
      <c r="A324" s="244"/>
      <c r="B324" s="244"/>
      <c r="C324" s="244"/>
      <c r="D324" s="244"/>
      <c r="E324" s="244"/>
      <c r="F324" s="244"/>
      <c r="G324" s="244"/>
      <c r="H324" s="244"/>
      <c r="I324" s="244"/>
      <c r="J324" s="244"/>
      <c r="K324" s="244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</row>
    <row r="325" ht="14.25" customHeight="1">
      <c r="A325" s="244"/>
      <c r="B325" s="244"/>
      <c r="C325" s="244"/>
      <c r="D325" s="244"/>
      <c r="E325" s="244"/>
      <c r="F325" s="244"/>
      <c r="G325" s="244"/>
      <c r="H325" s="244"/>
      <c r="I325" s="244"/>
      <c r="J325" s="244"/>
      <c r="K325" s="244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</row>
    <row r="326" ht="14.25" customHeight="1">
      <c r="A326" s="244"/>
      <c r="B326" s="244"/>
      <c r="C326" s="244"/>
      <c r="D326" s="244"/>
      <c r="E326" s="244"/>
      <c r="F326" s="244"/>
      <c r="G326" s="244"/>
      <c r="H326" s="244"/>
      <c r="I326" s="244"/>
      <c r="J326" s="244"/>
      <c r="K326" s="244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</row>
    <row r="327" ht="14.25" customHeight="1">
      <c r="A327" s="244"/>
      <c r="B327" s="244"/>
      <c r="C327" s="244"/>
      <c r="D327" s="244"/>
      <c r="E327" s="244"/>
      <c r="F327" s="244"/>
      <c r="G327" s="244"/>
      <c r="H327" s="244"/>
      <c r="I327" s="244"/>
      <c r="J327" s="244"/>
      <c r="K327" s="244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</row>
    <row r="328" ht="14.25" customHeight="1">
      <c r="A328" s="244"/>
      <c r="B328" s="244"/>
      <c r="C328" s="244"/>
      <c r="D328" s="244"/>
      <c r="E328" s="244"/>
      <c r="F328" s="244"/>
      <c r="G328" s="244"/>
      <c r="H328" s="244"/>
      <c r="I328" s="244"/>
      <c r="J328" s="244"/>
      <c r="K328" s="244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</row>
    <row r="329" ht="14.25" customHeight="1">
      <c r="A329" s="244"/>
      <c r="B329" s="244"/>
      <c r="C329" s="244"/>
      <c r="D329" s="244"/>
      <c r="E329" s="244"/>
      <c r="F329" s="244"/>
      <c r="G329" s="244"/>
      <c r="H329" s="244"/>
      <c r="I329" s="244"/>
      <c r="J329" s="244"/>
      <c r="K329" s="244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</row>
    <row r="330" ht="14.25" customHeight="1">
      <c r="A330" s="244"/>
      <c r="B330" s="244"/>
      <c r="C330" s="244"/>
      <c r="D330" s="244"/>
      <c r="E330" s="244"/>
      <c r="F330" s="244"/>
      <c r="G330" s="244"/>
      <c r="H330" s="244"/>
      <c r="I330" s="244"/>
      <c r="J330" s="244"/>
      <c r="K330" s="244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</row>
    <row r="331" ht="14.25" customHeight="1">
      <c r="A331" s="244"/>
      <c r="B331" s="244"/>
      <c r="C331" s="244"/>
      <c r="D331" s="244"/>
      <c r="E331" s="244"/>
      <c r="F331" s="244"/>
      <c r="G331" s="244"/>
      <c r="H331" s="244"/>
      <c r="I331" s="244"/>
      <c r="J331" s="244"/>
      <c r="K331" s="244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</row>
    <row r="332" ht="14.25" customHeight="1">
      <c r="A332" s="244"/>
      <c r="B332" s="244"/>
      <c r="C332" s="244"/>
      <c r="D332" s="244"/>
      <c r="E332" s="244"/>
      <c r="F332" s="244"/>
      <c r="G332" s="244"/>
      <c r="H332" s="244"/>
      <c r="I332" s="244"/>
      <c r="J332" s="244"/>
      <c r="K332" s="244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</row>
    <row r="333" ht="14.25" customHeight="1">
      <c r="A333" s="244"/>
      <c r="B333" s="244"/>
      <c r="C333" s="244"/>
      <c r="D333" s="244"/>
      <c r="E333" s="244"/>
      <c r="F333" s="244"/>
      <c r="G333" s="244"/>
      <c r="H333" s="244"/>
      <c r="I333" s="244"/>
      <c r="J333" s="244"/>
      <c r="K333" s="244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</row>
    <row r="334" ht="14.25" customHeight="1">
      <c r="A334" s="244"/>
      <c r="B334" s="244"/>
      <c r="C334" s="244"/>
      <c r="D334" s="244"/>
      <c r="E334" s="244"/>
      <c r="F334" s="244"/>
      <c r="G334" s="244"/>
      <c r="H334" s="244"/>
      <c r="I334" s="244"/>
      <c r="J334" s="244"/>
      <c r="K334" s="244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</row>
    <row r="335" ht="14.25" customHeight="1">
      <c r="A335" s="244"/>
      <c r="B335" s="244"/>
      <c r="C335" s="244"/>
      <c r="D335" s="244"/>
      <c r="E335" s="244"/>
      <c r="F335" s="244"/>
      <c r="G335" s="244"/>
      <c r="H335" s="244"/>
      <c r="I335" s="244"/>
      <c r="J335" s="244"/>
      <c r="K335" s="244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</row>
    <row r="336" ht="14.25" customHeight="1">
      <c r="A336" s="244"/>
      <c r="B336" s="244"/>
      <c r="C336" s="244"/>
      <c r="D336" s="244"/>
      <c r="E336" s="244"/>
      <c r="F336" s="244"/>
      <c r="G336" s="244"/>
      <c r="H336" s="244"/>
      <c r="I336" s="244"/>
      <c r="J336" s="244"/>
      <c r="K336" s="244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</row>
    <row r="337" ht="14.25" customHeight="1">
      <c r="A337" s="244"/>
      <c r="B337" s="244"/>
      <c r="C337" s="244"/>
      <c r="D337" s="244"/>
      <c r="E337" s="244"/>
      <c r="F337" s="244"/>
      <c r="G337" s="244"/>
      <c r="H337" s="244"/>
      <c r="I337" s="244"/>
      <c r="J337" s="244"/>
      <c r="K337" s="244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</row>
    <row r="338" ht="14.25" customHeight="1">
      <c r="A338" s="244"/>
      <c r="B338" s="244"/>
      <c r="C338" s="244"/>
      <c r="D338" s="244"/>
      <c r="E338" s="244"/>
      <c r="F338" s="244"/>
      <c r="G338" s="244"/>
      <c r="H338" s="244"/>
      <c r="I338" s="244"/>
      <c r="J338" s="244"/>
      <c r="K338" s="244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</row>
    <row r="339" ht="14.25" customHeight="1">
      <c r="A339" s="244"/>
      <c r="B339" s="244"/>
      <c r="C339" s="244"/>
      <c r="D339" s="244"/>
      <c r="E339" s="244"/>
      <c r="F339" s="244"/>
      <c r="G339" s="244"/>
      <c r="H339" s="244"/>
      <c r="I339" s="244"/>
      <c r="J339" s="244"/>
      <c r="K339" s="244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</row>
    <row r="340" ht="14.25" customHeight="1">
      <c r="A340" s="244"/>
      <c r="B340" s="244"/>
      <c r="C340" s="244"/>
      <c r="D340" s="244"/>
      <c r="E340" s="244"/>
      <c r="F340" s="244"/>
      <c r="G340" s="244"/>
      <c r="H340" s="244"/>
      <c r="I340" s="244"/>
      <c r="J340" s="244"/>
      <c r="K340" s="244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</row>
    <row r="341" ht="14.25" customHeight="1">
      <c r="A341" s="244"/>
      <c r="B341" s="244"/>
      <c r="C341" s="244"/>
      <c r="D341" s="244"/>
      <c r="E341" s="244"/>
      <c r="F341" s="244"/>
      <c r="G341" s="244"/>
      <c r="H341" s="244"/>
      <c r="I341" s="244"/>
      <c r="J341" s="244"/>
      <c r="K341" s="244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</row>
    <row r="342" ht="14.25" customHeight="1">
      <c r="A342" s="244"/>
      <c r="B342" s="244"/>
      <c r="C342" s="244"/>
      <c r="D342" s="244"/>
      <c r="E342" s="244"/>
      <c r="F342" s="244"/>
      <c r="G342" s="244"/>
      <c r="H342" s="244"/>
      <c r="I342" s="244"/>
      <c r="J342" s="244"/>
      <c r="K342" s="244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</row>
    <row r="343" ht="14.25" customHeight="1">
      <c r="A343" s="244"/>
      <c r="B343" s="244"/>
      <c r="C343" s="244"/>
      <c r="D343" s="244"/>
      <c r="E343" s="244"/>
      <c r="F343" s="244"/>
      <c r="G343" s="244"/>
      <c r="H343" s="244"/>
      <c r="I343" s="244"/>
      <c r="J343" s="244"/>
      <c r="K343" s="244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</row>
    <row r="344" ht="14.25" customHeight="1">
      <c r="A344" s="244"/>
      <c r="B344" s="244"/>
      <c r="C344" s="244"/>
      <c r="D344" s="244"/>
      <c r="E344" s="244"/>
      <c r="F344" s="244"/>
      <c r="G344" s="244"/>
      <c r="H344" s="244"/>
      <c r="I344" s="244"/>
      <c r="J344" s="244"/>
      <c r="K344" s="244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</row>
    <row r="345" ht="14.25" customHeight="1">
      <c r="A345" s="244"/>
      <c r="B345" s="244"/>
      <c r="C345" s="244"/>
      <c r="D345" s="244"/>
      <c r="E345" s="244"/>
      <c r="F345" s="244"/>
      <c r="G345" s="244"/>
      <c r="H345" s="244"/>
      <c r="I345" s="244"/>
      <c r="J345" s="244"/>
      <c r="K345" s="244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</row>
    <row r="346" ht="14.25" customHeight="1">
      <c r="A346" s="244"/>
      <c r="B346" s="244"/>
      <c r="C346" s="244"/>
      <c r="D346" s="244"/>
      <c r="E346" s="244"/>
      <c r="F346" s="244"/>
      <c r="G346" s="244"/>
      <c r="H346" s="244"/>
      <c r="I346" s="244"/>
      <c r="J346" s="244"/>
      <c r="K346" s="244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</row>
    <row r="347" ht="14.25" customHeight="1">
      <c r="A347" s="244"/>
      <c r="B347" s="244"/>
      <c r="C347" s="244"/>
      <c r="D347" s="244"/>
      <c r="E347" s="244"/>
      <c r="F347" s="244"/>
      <c r="G347" s="244"/>
      <c r="H347" s="244"/>
      <c r="I347" s="244"/>
      <c r="J347" s="244"/>
      <c r="K347" s="244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</row>
    <row r="348" ht="14.25" customHeight="1">
      <c r="A348" s="244"/>
      <c r="B348" s="244"/>
      <c r="C348" s="244"/>
      <c r="D348" s="244"/>
      <c r="E348" s="244"/>
      <c r="F348" s="244"/>
      <c r="G348" s="244"/>
      <c r="H348" s="244"/>
      <c r="I348" s="244"/>
      <c r="J348" s="244"/>
      <c r="K348" s="244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</row>
    <row r="349" ht="14.25" customHeight="1">
      <c r="A349" s="244"/>
      <c r="B349" s="244"/>
      <c r="C349" s="244"/>
      <c r="D349" s="244"/>
      <c r="E349" s="244"/>
      <c r="F349" s="244"/>
      <c r="G349" s="244"/>
      <c r="H349" s="244"/>
      <c r="I349" s="244"/>
      <c r="J349" s="244"/>
      <c r="K349" s="244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</row>
    <row r="350" ht="14.25" customHeight="1">
      <c r="A350" s="244"/>
      <c r="B350" s="244"/>
      <c r="C350" s="244"/>
      <c r="D350" s="244"/>
      <c r="E350" s="244"/>
      <c r="F350" s="244"/>
      <c r="G350" s="244"/>
      <c r="H350" s="244"/>
      <c r="I350" s="244"/>
      <c r="J350" s="244"/>
      <c r="K350" s="244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</row>
    <row r="351" ht="14.25" customHeight="1">
      <c r="A351" s="244"/>
      <c r="B351" s="244"/>
      <c r="C351" s="244"/>
      <c r="D351" s="244"/>
      <c r="E351" s="244"/>
      <c r="F351" s="244"/>
      <c r="G351" s="244"/>
      <c r="H351" s="244"/>
      <c r="I351" s="244"/>
      <c r="J351" s="244"/>
      <c r="K351" s="244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</row>
    <row r="352" ht="14.25" customHeight="1">
      <c r="A352" s="244"/>
      <c r="B352" s="244"/>
      <c r="C352" s="244"/>
      <c r="D352" s="244"/>
      <c r="E352" s="244"/>
      <c r="F352" s="244"/>
      <c r="G352" s="244"/>
      <c r="H352" s="244"/>
      <c r="I352" s="244"/>
      <c r="J352" s="244"/>
      <c r="K352" s="244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</row>
    <row r="353" ht="14.25" customHeight="1">
      <c r="A353" s="244"/>
      <c r="B353" s="244"/>
      <c r="C353" s="244"/>
      <c r="D353" s="244"/>
      <c r="E353" s="244"/>
      <c r="F353" s="244"/>
      <c r="G353" s="244"/>
      <c r="H353" s="244"/>
      <c r="I353" s="244"/>
      <c r="J353" s="244"/>
      <c r="K353" s="244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</row>
    <row r="354" ht="14.25" customHeight="1">
      <c r="A354" s="244"/>
      <c r="B354" s="244"/>
      <c r="C354" s="244"/>
      <c r="D354" s="244"/>
      <c r="E354" s="244"/>
      <c r="F354" s="244"/>
      <c r="G354" s="244"/>
      <c r="H354" s="244"/>
      <c r="I354" s="244"/>
      <c r="J354" s="244"/>
      <c r="K354" s="244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</row>
    <row r="355" ht="14.25" customHeight="1">
      <c r="A355" s="244"/>
      <c r="B355" s="244"/>
      <c r="C355" s="244"/>
      <c r="D355" s="244"/>
      <c r="E355" s="244"/>
      <c r="F355" s="244"/>
      <c r="G355" s="244"/>
      <c r="H355" s="244"/>
      <c r="I355" s="244"/>
      <c r="J355" s="244"/>
      <c r="K355" s="244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</row>
    <row r="356" ht="14.25" customHeight="1">
      <c r="A356" s="244"/>
      <c r="B356" s="244"/>
      <c r="C356" s="244"/>
      <c r="D356" s="244"/>
      <c r="E356" s="244"/>
      <c r="F356" s="244"/>
      <c r="G356" s="244"/>
      <c r="H356" s="244"/>
      <c r="I356" s="244"/>
      <c r="J356" s="244"/>
      <c r="K356" s="244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</row>
    <row r="357" ht="14.25" customHeight="1">
      <c r="A357" s="244"/>
      <c r="B357" s="244"/>
      <c r="C357" s="244"/>
      <c r="D357" s="244"/>
      <c r="E357" s="244"/>
      <c r="F357" s="244"/>
      <c r="G357" s="244"/>
      <c r="H357" s="244"/>
      <c r="I357" s="244"/>
      <c r="J357" s="244"/>
      <c r="K357" s="244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</row>
    <row r="358" ht="14.25" customHeight="1">
      <c r="A358" s="244"/>
      <c r="B358" s="244"/>
      <c r="C358" s="244"/>
      <c r="D358" s="244"/>
      <c r="E358" s="244"/>
      <c r="F358" s="244"/>
      <c r="G358" s="244"/>
      <c r="H358" s="244"/>
      <c r="I358" s="244"/>
      <c r="J358" s="244"/>
      <c r="K358" s="244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</row>
    <row r="359" ht="14.25" customHeight="1">
      <c r="A359" s="244"/>
      <c r="B359" s="244"/>
      <c r="C359" s="244"/>
      <c r="D359" s="244"/>
      <c r="E359" s="244"/>
      <c r="F359" s="244"/>
      <c r="G359" s="244"/>
      <c r="H359" s="244"/>
      <c r="I359" s="244"/>
      <c r="J359" s="244"/>
      <c r="K359" s="244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</row>
    <row r="360" ht="14.25" customHeight="1">
      <c r="A360" s="244"/>
      <c r="B360" s="244"/>
      <c r="C360" s="244"/>
      <c r="D360" s="244"/>
      <c r="E360" s="244"/>
      <c r="F360" s="244"/>
      <c r="G360" s="244"/>
      <c r="H360" s="244"/>
      <c r="I360" s="244"/>
      <c r="J360" s="244"/>
      <c r="K360" s="244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</row>
    <row r="361" ht="14.25" customHeight="1">
      <c r="A361" s="244"/>
      <c r="B361" s="244"/>
      <c r="C361" s="244"/>
      <c r="D361" s="244"/>
      <c r="E361" s="244"/>
      <c r="F361" s="244"/>
      <c r="G361" s="244"/>
      <c r="H361" s="244"/>
      <c r="I361" s="244"/>
      <c r="J361" s="244"/>
      <c r="K361" s="244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</row>
    <row r="362" ht="14.25" customHeight="1">
      <c r="A362" s="244"/>
      <c r="B362" s="244"/>
      <c r="C362" s="244"/>
      <c r="D362" s="244"/>
      <c r="E362" s="244"/>
      <c r="F362" s="244"/>
      <c r="G362" s="244"/>
      <c r="H362" s="244"/>
      <c r="I362" s="244"/>
      <c r="J362" s="244"/>
      <c r="K362" s="244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</row>
    <row r="363" ht="14.25" customHeight="1">
      <c r="A363" s="244"/>
      <c r="B363" s="244"/>
      <c r="C363" s="244"/>
      <c r="D363" s="244"/>
      <c r="E363" s="244"/>
      <c r="F363" s="244"/>
      <c r="G363" s="244"/>
      <c r="H363" s="244"/>
      <c r="I363" s="244"/>
      <c r="J363" s="244"/>
      <c r="K363" s="244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</row>
    <row r="364" ht="14.25" customHeight="1">
      <c r="A364" s="244"/>
      <c r="B364" s="244"/>
      <c r="C364" s="244"/>
      <c r="D364" s="244"/>
      <c r="E364" s="244"/>
      <c r="F364" s="244"/>
      <c r="G364" s="244"/>
      <c r="H364" s="244"/>
      <c r="I364" s="244"/>
      <c r="J364" s="244"/>
      <c r="K364" s="244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</row>
    <row r="365" ht="14.25" customHeight="1">
      <c r="A365" s="244"/>
      <c r="B365" s="244"/>
      <c r="C365" s="244"/>
      <c r="D365" s="244"/>
      <c r="E365" s="244"/>
      <c r="F365" s="244"/>
      <c r="G365" s="244"/>
      <c r="H365" s="244"/>
      <c r="I365" s="244"/>
      <c r="J365" s="244"/>
      <c r="K365" s="244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</row>
    <row r="366" ht="14.25" customHeight="1">
      <c r="A366" s="244"/>
      <c r="B366" s="244"/>
      <c r="C366" s="244"/>
      <c r="D366" s="244"/>
      <c r="E366" s="244"/>
      <c r="F366" s="244"/>
      <c r="G366" s="244"/>
      <c r="H366" s="244"/>
      <c r="I366" s="244"/>
      <c r="J366" s="244"/>
      <c r="K366" s="244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</row>
    <row r="367" ht="14.25" customHeight="1">
      <c r="A367" s="244"/>
      <c r="B367" s="244"/>
      <c r="C367" s="244"/>
      <c r="D367" s="244"/>
      <c r="E367" s="244"/>
      <c r="F367" s="244"/>
      <c r="G367" s="244"/>
      <c r="H367" s="244"/>
      <c r="I367" s="244"/>
      <c r="J367" s="244"/>
      <c r="K367" s="244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</row>
    <row r="368" ht="14.25" customHeight="1">
      <c r="A368" s="244"/>
      <c r="B368" s="244"/>
      <c r="C368" s="244"/>
      <c r="D368" s="244"/>
      <c r="E368" s="244"/>
      <c r="F368" s="244"/>
      <c r="G368" s="244"/>
      <c r="H368" s="244"/>
      <c r="I368" s="244"/>
      <c r="J368" s="244"/>
      <c r="K368" s="244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</row>
    <row r="369" ht="14.25" customHeight="1">
      <c r="A369" s="244"/>
      <c r="B369" s="244"/>
      <c r="C369" s="244"/>
      <c r="D369" s="244"/>
      <c r="E369" s="244"/>
      <c r="F369" s="244"/>
      <c r="G369" s="244"/>
      <c r="H369" s="244"/>
      <c r="I369" s="244"/>
      <c r="J369" s="244"/>
      <c r="K369" s="244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</row>
    <row r="370" ht="14.25" customHeight="1">
      <c r="A370" s="244"/>
      <c r="B370" s="244"/>
      <c r="C370" s="244"/>
      <c r="D370" s="244"/>
      <c r="E370" s="244"/>
      <c r="F370" s="244"/>
      <c r="G370" s="244"/>
      <c r="H370" s="244"/>
      <c r="I370" s="244"/>
      <c r="J370" s="244"/>
      <c r="K370" s="244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</row>
    <row r="371" ht="14.25" customHeight="1">
      <c r="A371" s="244"/>
      <c r="B371" s="244"/>
      <c r="C371" s="244"/>
      <c r="D371" s="244"/>
      <c r="E371" s="244"/>
      <c r="F371" s="244"/>
      <c r="G371" s="244"/>
      <c r="H371" s="244"/>
      <c r="I371" s="244"/>
      <c r="J371" s="244"/>
      <c r="K371" s="244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</row>
    <row r="372" ht="14.25" customHeight="1">
      <c r="A372" s="244"/>
      <c r="B372" s="244"/>
      <c r="C372" s="244"/>
      <c r="D372" s="244"/>
      <c r="E372" s="244"/>
      <c r="F372" s="244"/>
      <c r="G372" s="244"/>
      <c r="H372" s="244"/>
      <c r="I372" s="244"/>
      <c r="J372" s="244"/>
      <c r="K372" s="244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</row>
    <row r="373" ht="14.25" customHeight="1">
      <c r="A373" s="244"/>
      <c r="B373" s="244"/>
      <c r="C373" s="244"/>
      <c r="D373" s="244"/>
      <c r="E373" s="244"/>
      <c r="F373" s="244"/>
      <c r="G373" s="244"/>
      <c r="H373" s="244"/>
      <c r="I373" s="244"/>
      <c r="J373" s="244"/>
      <c r="K373" s="244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</row>
    <row r="374" ht="14.25" customHeight="1">
      <c r="A374" s="244"/>
      <c r="B374" s="244"/>
      <c r="C374" s="244"/>
      <c r="D374" s="244"/>
      <c r="E374" s="244"/>
      <c r="F374" s="244"/>
      <c r="G374" s="244"/>
      <c r="H374" s="244"/>
      <c r="I374" s="244"/>
      <c r="J374" s="244"/>
      <c r="K374" s="244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</row>
    <row r="375" ht="14.25" customHeight="1">
      <c r="A375" s="244"/>
      <c r="B375" s="244"/>
      <c r="C375" s="244"/>
      <c r="D375" s="244"/>
      <c r="E375" s="244"/>
      <c r="F375" s="244"/>
      <c r="G375" s="244"/>
      <c r="H375" s="244"/>
      <c r="I375" s="244"/>
      <c r="J375" s="244"/>
      <c r="K375" s="244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</row>
    <row r="376" ht="14.25" customHeight="1">
      <c r="A376" s="244"/>
      <c r="B376" s="244"/>
      <c r="C376" s="244"/>
      <c r="D376" s="244"/>
      <c r="E376" s="244"/>
      <c r="F376" s="244"/>
      <c r="G376" s="244"/>
      <c r="H376" s="244"/>
      <c r="I376" s="244"/>
      <c r="J376" s="244"/>
      <c r="K376" s="244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</row>
    <row r="377" ht="14.25" customHeight="1">
      <c r="A377" s="244"/>
      <c r="B377" s="244"/>
      <c r="C377" s="244"/>
      <c r="D377" s="244"/>
      <c r="E377" s="244"/>
      <c r="F377" s="244"/>
      <c r="G377" s="244"/>
      <c r="H377" s="244"/>
      <c r="I377" s="244"/>
      <c r="J377" s="244"/>
      <c r="K377" s="244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</row>
    <row r="378" ht="14.25" customHeight="1">
      <c r="A378" s="244"/>
      <c r="B378" s="244"/>
      <c r="C378" s="244"/>
      <c r="D378" s="244"/>
      <c r="E378" s="244"/>
      <c r="F378" s="244"/>
      <c r="G378" s="244"/>
      <c r="H378" s="244"/>
      <c r="I378" s="244"/>
      <c r="J378" s="244"/>
      <c r="K378" s="244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</row>
    <row r="379" ht="14.25" customHeight="1">
      <c r="A379" s="244"/>
      <c r="B379" s="244"/>
      <c r="C379" s="244"/>
      <c r="D379" s="244"/>
      <c r="E379" s="244"/>
      <c r="F379" s="244"/>
      <c r="G379" s="244"/>
      <c r="H379" s="244"/>
      <c r="I379" s="244"/>
      <c r="J379" s="244"/>
      <c r="K379" s="244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</row>
    <row r="380" ht="14.25" customHeight="1">
      <c r="A380" s="244"/>
      <c r="B380" s="244"/>
      <c r="C380" s="244"/>
      <c r="D380" s="244"/>
      <c r="E380" s="244"/>
      <c r="F380" s="244"/>
      <c r="G380" s="244"/>
      <c r="H380" s="244"/>
      <c r="I380" s="244"/>
      <c r="J380" s="244"/>
      <c r="K380" s="244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</row>
    <row r="381" ht="14.25" customHeight="1">
      <c r="A381" s="244"/>
      <c r="B381" s="244"/>
      <c r="C381" s="244"/>
      <c r="D381" s="244"/>
      <c r="E381" s="244"/>
      <c r="F381" s="244"/>
      <c r="G381" s="244"/>
      <c r="H381" s="244"/>
      <c r="I381" s="244"/>
      <c r="J381" s="244"/>
      <c r="K381" s="244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</row>
    <row r="382" ht="14.25" customHeight="1">
      <c r="A382" s="244"/>
      <c r="B382" s="244"/>
      <c r="C382" s="244"/>
      <c r="D382" s="244"/>
      <c r="E382" s="244"/>
      <c r="F382" s="244"/>
      <c r="G382" s="244"/>
      <c r="H382" s="244"/>
      <c r="I382" s="244"/>
      <c r="J382" s="244"/>
      <c r="K382" s="244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</row>
    <row r="383" ht="14.25" customHeight="1">
      <c r="A383" s="244"/>
      <c r="B383" s="244"/>
      <c r="C383" s="244"/>
      <c r="D383" s="244"/>
      <c r="E383" s="244"/>
      <c r="F383" s="244"/>
      <c r="G383" s="244"/>
      <c r="H383" s="244"/>
      <c r="I383" s="244"/>
      <c r="J383" s="244"/>
      <c r="K383" s="244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</row>
    <row r="384" ht="14.25" customHeight="1">
      <c r="A384" s="244"/>
      <c r="B384" s="244"/>
      <c r="C384" s="244"/>
      <c r="D384" s="244"/>
      <c r="E384" s="244"/>
      <c r="F384" s="244"/>
      <c r="G384" s="244"/>
      <c r="H384" s="244"/>
      <c r="I384" s="244"/>
      <c r="J384" s="244"/>
      <c r="K384" s="244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</row>
    <row r="385" ht="14.25" customHeight="1">
      <c r="A385" s="244"/>
      <c r="B385" s="244"/>
      <c r="C385" s="244"/>
      <c r="D385" s="244"/>
      <c r="E385" s="244"/>
      <c r="F385" s="244"/>
      <c r="G385" s="244"/>
      <c r="H385" s="244"/>
      <c r="I385" s="244"/>
      <c r="J385" s="244"/>
      <c r="K385" s="244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</row>
    <row r="386" ht="14.25" customHeight="1">
      <c r="A386" s="244"/>
      <c r="B386" s="244"/>
      <c r="C386" s="244"/>
      <c r="D386" s="244"/>
      <c r="E386" s="244"/>
      <c r="F386" s="244"/>
      <c r="G386" s="244"/>
      <c r="H386" s="244"/>
      <c r="I386" s="244"/>
      <c r="J386" s="244"/>
      <c r="K386" s="244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</row>
    <row r="387" ht="14.25" customHeight="1">
      <c r="A387" s="244"/>
      <c r="B387" s="244"/>
      <c r="C387" s="244"/>
      <c r="D387" s="244"/>
      <c r="E387" s="244"/>
      <c r="F387" s="244"/>
      <c r="G387" s="244"/>
      <c r="H387" s="244"/>
      <c r="I387" s="244"/>
      <c r="J387" s="244"/>
      <c r="K387" s="244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</row>
    <row r="388" ht="14.25" customHeight="1">
      <c r="A388" s="244"/>
      <c r="B388" s="244"/>
      <c r="C388" s="244"/>
      <c r="D388" s="244"/>
      <c r="E388" s="244"/>
      <c r="F388" s="244"/>
      <c r="G388" s="244"/>
      <c r="H388" s="244"/>
      <c r="I388" s="244"/>
      <c r="J388" s="244"/>
      <c r="K388" s="244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</row>
    <row r="389" ht="14.25" customHeight="1">
      <c r="A389" s="244"/>
      <c r="B389" s="244"/>
      <c r="C389" s="244"/>
      <c r="D389" s="244"/>
      <c r="E389" s="244"/>
      <c r="F389" s="244"/>
      <c r="G389" s="244"/>
      <c r="H389" s="244"/>
      <c r="I389" s="244"/>
      <c r="J389" s="244"/>
      <c r="K389" s="244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</row>
    <row r="390" ht="14.25" customHeight="1">
      <c r="A390" s="244"/>
      <c r="B390" s="244"/>
      <c r="C390" s="244"/>
      <c r="D390" s="244"/>
      <c r="E390" s="244"/>
      <c r="F390" s="244"/>
      <c r="G390" s="244"/>
      <c r="H390" s="244"/>
      <c r="I390" s="244"/>
      <c r="J390" s="244"/>
      <c r="K390" s="244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</row>
    <row r="391" ht="14.25" customHeight="1">
      <c r="A391" s="244"/>
      <c r="B391" s="244"/>
      <c r="C391" s="244"/>
      <c r="D391" s="244"/>
      <c r="E391" s="244"/>
      <c r="F391" s="244"/>
      <c r="G391" s="244"/>
      <c r="H391" s="244"/>
      <c r="I391" s="244"/>
      <c r="J391" s="244"/>
      <c r="K391" s="244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</row>
    <row r="392" ht="14.25" customHeight="1">
      <c r="A392" s="244"/>
      <c r="B392" s="244"/>
      <c r="C392" s="244"/>
      <c r="D392" s="244"/>
      <c r="E392" s="244"/>
      <c r="F392" s="244"/>
      <c r="G392" s="244"/>
      <c r="H392" s="244"/>
      <c r="I392" s="244"/>
      <c r="J392" s="244"/>
      <c r="K392" s="244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</row>
    <row r="393" ht="14.25" customHeight="1">
      <c r="A393" s="244"/>
      <c r="B393" s="244"/>
      <c r="C393" s="244"/>
      <c r="D393" s="244"/>
      <c r="E393" s="244"/>
      <c r="F393" s="244"/>
      <c r="G393" s="244"/>
      <c r="H393" s="244"/>
      <c r="I393" s="244"/>
      <c r="J393" s="244"/>
      <c r="K393" s="244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</row>
    <row r="394" ht="14.25" customHeight="1">
      <c r="A394" s="244"/>
      <c r="B394" s="244"/>
      <c r="C394" s="244"/>
      <c r="D394" s="244"/>
      <c r="E394" s="244"/>
      <c r="F394" s="244"/>
      <c r="G394" s="244"/>
      <c r="H394" s="244"/>
      <c r="I394" s="244"/>
      <c r="J394" s="244"/>
      <c r="K394" s="244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</row>
    <row r="395" ht="14.25" customHeight="1">
      <c r="A395" s="244"/>
      <c r="B395" s="244"/>
      <c r="C395" s="244"/>
      <c r="D395" s="244"/>
      <c r="E395" s="244"/>
      <c r="F395" s="244"/>
      <c r="G395" s="244"/>
      <c r="H395" s="244"/>
      <c r="I395" s="244"/>
      <c r="J395" s="244"/>
      <c r="K395" s="244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</row>
    <row r="396" ht="14.25" customHeight="1">
      <c r="A396" s="244"/>
      <c r="B396" s="244"/>
      <c r="C396" s="244"/>
      <c r="D396" s="244"/>
      <c r="E396" s="244"/>
      <c r="F396" s="244"/>
      <c r="G396" s="244"/>
      <c r="H396" s="244"/>
      <c r="I396" s="244"/>
      <c r="J396" s="244"/>
      <c r="K396" s="244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</row>
    <row r="397" ht="14.25" customHeight="1">
      <c r="A397" s="244"/>
      <c r="B397" s="244"/>
      <c r="C397" s="244"/>
      <c r="D397" s="244"/>
      <c r="E397" s="244"/>
      <c r="F397" s="244"/>
      <c r="G397" s="244"/>
      <c r="H397" s="244"/>
      <c r="I397" s="244"/>
      <c r="J397" s="244"/>
      <c r="K397" s="244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</row>
    <row r="398" ht="14.25" customHeight="1">
      <c r="A398" s="244"/>
      <c r="B398" s="244"/>
      <c r="C398" s="244"/>
      <c r="D398" s="244"/>
      <c r="E398" s="244"/>
      <c r="F398" s="244"/>
      <c r="G398" s="244"/>
      <c r="H398" s="244"/>
      <c r="I398" s="244"/>
      <c r="J398" s="244"/>
      <c r="K398" s="244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</row>
    <row r="399" ht="14.25" customHeight="1">
      <c r="A399" s="244"/>
      <c r="B399" s="244"/>
      <c r="C399" s="244"/>
      <c r="D399" s="244"/>
      <c r="E399" s="244"/>
      <c r="F399" s="244"/>
      <c r="G399" s="244"/>
      <c r="H399" s="244"/>
      <c r="I399" s="244"/>
      <c r="J399" s="244"/>
      <c r="K399" s="244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</row>
    <row r="400" ht="14.25" customHeight="1">
      <c r="A400" s="244"/>
      <c r="B400" s="244"/>
      <c r="C400" s="244"/>
      <c r="D400" s="244"/>
      <c r="E400" s="244"/>
      <c r="F400" s="244"/>
      <c r="G400" s="244"/>
      <c r="H400" s="244"/>
      <c r="I400" s="244"/>
      <c r="J400" s="244"/>
      <c r="K400" s="244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</row>
    <row r="401" ht="14.25" customHeight="1">
      <c r="A401" s="244"/>
      <c r="B401" s="244"/>
      <c r="C401" s="244"/>
      <c r="D401" s="244"/>
      <c r="E401" s="244"/>
      <c r="F401" s="244"/>
      <c r="G401" s="244"/>
      <c r="H401" s="244"/>
      <c r="I401" s="244"/>
      <c r="J401" s="244"/>
      <c r="K401" s="244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</row>
    <row r="402" ht="14.25" customHeight="1">
      <c r="A402" s="244"/>
      <c r="B402" s="244"/>
      <c r="C402" s="244"/>
      <c r="D402" s="244"/>
      <c r="E402" s="244"/>
      <c r="F402" s="244"/>
      <c r="G402" s="244"/>
      <c r="H402" s="244"/>
      <c r="I402" s="244"/>
      <c r="J402" s="244"/>
      <c r="K402" s="244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</row>
    <row r="403" ht="14.25" customHeight="1">
      <c r="A403" s="244"/>
      <c r="B403" s="244"/>
      <c r="C403" s="244"/>
      <c r="D403" s="244"/>
      <c r="E403" s="244"/>
      <c r="F403" s="244"/>
      <c r="G403" s="244"/>
      <c r="H403" s="244"/>
      <c r="I403" s="244"/>
      <c r="J403" s="244"/>
      <c r="K403" s="244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</row>
    <row r="404" ht="14.25" customHeight="1">
      <c r="A404" s="244"/>
      <c r="B404" s="244"/>
      <c r="C404" s="244"/>
      <c r="D404" s="244"/>
      <c r="E404" s="244"/>
      <c r="F404" s="244"/>
      <c r="G404" s="244"/>
      <c r="H404" s="244"/>
      <c r="I404" s="244"/>
      <c r="J404" s="244"/>
      <c r="K404" s="244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</row>
    <row r="405" ht="14.25" customHeight="1">
      <c r="A405" s="244"/>
      <c r="B405" s="244"/>
      <c r="C405" s="244"/>
      <c r="D405" s="244"/>
      <c r="E405" s="244"/>
      <c r="F405" s="244"/>
      <c r="G405" s="244"/>
      <c r="H405" s="244"/>
      <c r="I405" s="244"/>
      <c r="J405" s="244"/>
      <c r="K405" s="244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</row>
    <row r="406" ht="14.25" customHeight="1">
      <c r="A406" s="244"/>
      <c r="B406" s="244"/>
      <c r="C406" s="244"/>
      <c r="D406" s="244"/>
      <c r="E406" s="244"/>
      <c r="F406" s="244"/>
      <c r="G406" s="244"/>
      <c r="H406" s="244"/>
      <c r="I406" s="244"/>
      <c r="J406" s="244"/>
      <c r="K406" s="244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</row>
    <row r="407" ht="14.25" customHeight="1">
      <c r="A407" s="244"/>
      <c r="B407" s="244"/>
      <c r="C407" s="244"/>
      <c r="D407" s="244"/>
      <c r="E407" s="244"/>
      <c r="F407" s="244"/>
      <c r="G407" s="244"/>
      <c r="H407" s="244"/>
      <c r="I407" s="244"/>
      <c r="J407" s="244"/>
      <c r="K407" s="244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</row>
    <row r="408" ht="14.25" customHeight="1">
      <c r="A408" s="244"/>
      <c r="B408" s="244"/>
      <c r="C408" s="244"/>
      <c r="D408" s="244"/>
      <c r="E408" s="244"/>
      <c r="F408" s="244"/>
      <c r="G408" s="244"/>
      <c r="H408" s="244"/>
      <c r="I408" s="244"/>
      <c r="J408" s="244"/>
      <c r="K408" s="244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</row>
    <row r="409" ht="14.25" customHeight="1">
      <c r="A409" s="244"/>
      <c r="B409" s="244"/>
      <c r="C409" s="244"/>
      <c r="D409" s="244"/>
      <c r="E409" s="244"/>
      <c r="F409" s="244"/>
      <c r="G409" s="244"/>
      <c r="H409" s="244"/>
      <c r="I409" s="244"/>
      <c r="J409" s="244"/>
      <c r="K409" s="244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</row>
    <row r="410" ht="14.25" customHeight="1">
      <c r="A410" s="244"/>
      <c r="B410" s="244"/>
      <c r="C410" s="244"/>
      <c r="D410" s="244"/>
      <c r="E410" s="244"/>
      <c r="F410" s="244"/>
      <c r="G410" s="244"/>
      <c r="H410" s="244"/>
      <c r="I410" s="244"/>
      <c r="J410" s="244"/>
      <c r="K410" s="244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</row>
    <row r="411" ht="14.25" customHeight="1">
      <c r="A411" s="244"/>
      <c r="B411" s="244"/>
      <c r="C411" s="244"/>
      <c r="D411" s="244"/>
      <c r="E411" s="244"/>
      <c r="F411" s="244"/>
      <c r="G411" s="244"/>
      <c r="H411" s="244"/>
      <c r="I411" s="244"/>
      <c r="J411" s="244"/>
      <c r="K411" s="244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</row>
    <row r="412" ht="14.25" customHeight="1">
      <c r="A412" s="244"/>
      <c r="B412" s="244"/>
      <c r="C412" s="244"/>
      <c r="D412" s="244"/>
      <c r="E412" s="244"/>
      <c r="F412" s="244"/>
      <c r="G412" s="244"/>
      <c r="H412" s="244"/>
      <c r="I412" s="244"/>
      <c r="J412" s="244"/>
      <c r="K412" s="244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</row>
    <row r="413" ht="14.25" customHeight="1">
      <c r="A413" s="244"/>
      <c r="B413" s="244"/>
      <c r="C413" s="244"/>
      <c r="D413" s="244"/>
      <c r="E413" s="244"/>
      <c r="F413" s="244"/>
      <c r="G413" s="244"/>
      <c r="H413" s="244"/>
      <c r="I413" s="244"/>
      <c r="J413" s="244"/>
      <c r="K413" s="244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</row>
    <row r="414" ht="14.25" customHeight="1">
      <c r="A414" s="244"/>
      <c r="B414" s="244"/>
      <c r="C414" s="244"/>
      <c r="D414" s="244"/>
      <c r="E414" s="244"/>
      <c r="F414" s="244"/>
      <c r="G414" s="244"/>
      <c r="H414" s="244"/>
      <c r="I414" s="244"/>
      <c r="J414" s="244"/>
      <c r="K414" s="244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</row>
    <row r="415" ht="14.25" customHeight="1">
      <c r="A415" s="244"/>
      <c r="B415" s="244"/>
      <c r="C415" s="244"/>
      <c r="D415" s="244"/>
      <c r="E415" s="244"/>
      <c r="F415" s="244"/>
      <c r="G415" s="244"/>
      <c r="H415" s="244"/>
      <c r="I415" s="244"/>
      <c r="J415" s="244"/>
      <c r="K415" s="244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</row>
    <row r="416" ht="14.25" customHeight="1">
      <c r="A416" s="244"/>
      <c r="B416" s="244"/>
      <c r="C416" s="244"/>
      <c r="D416" s="244"/>
      <c r="E416" s="244"/>
      <c r="F416" s="244"/>
      <c r="G416" s="244"/>
      <c r="H416" s="244"/>
      <c r="I416" s="244"/>
      <c r="J416" s="244"/>
      <c r="K416" s="244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</row>
    <row r="417" ht="14.25" customHeight="1">
      <c r="A417" s="244"/>
      <c r="B417" s="244"/>
      <c r="C417" s="244"/>
      <c r="D417" s="244"/>
      <c r="E417" s="244"/>
      <c r="F417" s="244"/>
      <c r="G417" s="244"/>
      <c r="H417" s="244"/>
      <c r="I417" s="244"/>
      <c r="J417" s="244"/>
      <c r="K417" s="244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</row>
    <row r="418" ht="14.25" customHeight="1">
      <c r="A418" s="244"/>
      <c r="B418" s="244"/>
      <c r="C418" s="244"/>
      <c r="D418" s="244"/>
      <c r="E418" s="244"/>
      <c r="F418" s="244"/>
      <c r="G418" s="244"/>
      <c r="H418" s="244"/>
      <c r="I418" s="244"/>
      <c r="J418" s="244"/>
      <c r="K418" s="244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</row>
    <row r="419" ht="14.25" customHeight="1">
      <c r="A419" s="244"/>
      <c r="B419" s="244"/>
      <c r="C419" s="244"/>
      <c r="D419" s="244"/>
      <c r="E419" s="244"/>
      <c r="F419" s="244"/>
      <c r="G419" s="244"/>
      <c r="H419" s="244"/>
      <c r="I419" s="244"/>
      <c r="J419" s="244"/>
      <c r="K419" s="244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</row>
    <row r="420" ht="14.25" customHeight="1">
      <c r="A420" s="244"/>
      <c r="B420" s="244"/>
      <c r="C420" s="244"/>
      <c r="D420" s="244"/>
      <c r="E420" s="244"/>
      <c r="F420" s="244"/>
      <c r="G420" s="244"/>
      <c r="H420" s="244"/>
      <c r="I420" s="244"/>
      <c r="J420" s="244"/>
      <c r="K420" s="244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</row>
    <row r="421" ht="14.25" customHeight="1">
      <c r="A421" s="244"/>
      <c r="B421" s="244"/>
      <c r="C421" s="244"/>
      <c r="D421" s="244"/>
      <c r="E421" s="244"/>
      <c r="F421" s="244"/>
      <c r="G421" s="244"/>
      <c r="H421" s="244"/>
      <c r="I421" s="244"/>
      <c r="J421" s="244"/>
      <c r="K421" s="244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</row>
    <row r="422" ht="14.25" customHeight="1">
      <c r="A422" s="244"/>
      <c r="B422" s="244"/>
      <c r="C422" s="244"/>
      <c r="D422" s="244"/>
      <c r="E422" s="244"/>
      <c r="F422" s="244"/>
      <c r="G422" s="244"/>
      <c r="H422" s="244"/>
      <c r="I422" s="244"/>
      <c r="J422" s="244"/>
      <c r="K422" s="244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</row>
    <row r="423" ht="14.25" customHeight="1">
      <c r="A423" s="244"/>
      <c r="B423" s="244"/>
      <c r="C423" s="244"/>
      <c r="D423" s="244"/>
      <c r="E423" s="244"/>
      <c r="F423" s="244"/>
      <c r="G423" s="244"/>
      <c r="H423" s="244"/>
      <c r="I423" s="244"/>
      <c r="J423" s="244"/>
      <c r="K423" s="244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</row>
    <row r="424" ht="14.25" customHeight="1">
      <c r="A424" s="244"/>
      <c r="B424" s="244"/>
      <c r="C424" s="244"/>
      <c r="D424" s="244"/>
      <c r="E424" s="244"/>
      <c r="F424" s="244"/>
      <c r="G424" s="244"/>
      <c r="H424" s="244"/>
      <c r="I424" s="244"/>
      <c r="J424" s="244"/>
      <c r="K424" s="244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</row>
    <row r="425" ht="14.25" customHeight="1">
      <c r="A425" s="244"/>
      <c r="B425" s="244"/>
      <c r="C425" s="244"/>
      <c r="D425" s="244"/>
      <c r="E425" s="244"/>
      <c r="F425" s="244"/>
      <c r="G425" s="244"/>
      <c r="H425" s="244"/>
      <c r="I425" s="244"/>
      <c r="J425" s="244"/>
      <c r="K425" s="244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</row>
    <row r="426" ht="14.25" customHeight="1">
      <c r="A426" s="244"/>
      <c r="B426" s="244"/>
      <c r="C426" s="244"/>
      <c r="D426" s="244"/>
      <c r="E426" s="244"/>
      <c r="F426" s="244"/>
      <c r="G426" s="244"/>
      <c r="H426" s="244"/>
      <c r="I426" s="244"/>
      <c r="J426" s="244"/>
      <c r="K426" s="244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</row>
    <row r="427" ht="14.25" customHeight="1">
      <c r="A427" s="244"/>
      <c r="B427" s="244"/>
      <c r="C427" s="244"/>
      <c r="D427" s="244"/>
      <c r="E427" s="244"/>
      <c r="F427" s="244"/>
      <c r="G427" s="244"/>
      <c r="H427" s="244"/>
      <c r="I427" s="244"/>
      <c r="J427" s="244"/>
      <c r="K427" s="244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</row>
    <row r="428" ht="14.25" customHeight="1">
      <c r="A428" s="244"/>
      <c r="B428" s="244"/>
      <c r="C428" s="244"/>
      <c r="D428" s="244"/>
      <c r="E428" s="244"/>
      <c r="F428" s="244"/>
      <c r="G428" s="244"/>
      <c r="H428" s="244"/>
      <c r="I428" s="244"/>
      <c r="J428" s="244"/>
      <c r="K428" s="244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</row>
    <row r="429" ht="14.25" customHeight="1">
      <c r="A429" s="244"/>
      <c r="B429" s="244"/>
      <c r="C429" s="244"/>
      <c r="D429" s="244"/>
      <c r="E429" s="244"/>
      <c r="F429" s="244"/>
      <c r="G429" s="244"/>
      <c r="H429" s="244"/>
      <c r="I429" s="244"/>
      <c r="J429" s="244"/>
      <c r="K429" s="244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</row>
    <row r="430" ht="14.25" customHeight="1">
      <c r="A430" s="244"/>
      <c r="B430" s="244"/>
      <c r="C430" s="244"/>
      <c r="D430" s="244"/>
      <c r="E430" s="244"/>
      <c r="F430" s="244"/>
      <c r="G430" s="244"/>
      <c r="H430" s="244"/>
      <c r="I430" s="244"/>
      <c r="J430" s="244"/>
      <c r="K430" s="244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</row>
    <row r="431" ht="14.25" customHeight="1">
      <c r="A431" s="244"/>
      <c r="B431" s="244"/>
      <c r="C431" s="244"/>
      <c r="D431" s="244"/>
      <c r="E431" s="244"/>
      <c r="F431" s="244"/>
      <c r="G431" s="244"/>
      <c r="H431" s="244"/>
      <c r="I431" s="244"/>
      <c r="J431" s="244"/>
      <c r="K431" s="244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</row>
    <row r="432" ht="14.25" customHeight="1">
      <c r="A432" s="244"/>
      <c r="B432" s="244"/>
      <c r="C432" s="244"/>
      <c r="D432" s="244"/>
      <c r="E432" s="244"/>
      <c r="F432" s="244"/>
      <c r="G432" s="244"/>
      <c r="H432" s="244"/>
      <c r="I432" s="244"/>
      <c r="J432" s="244"/>
      <c r="K432" s="244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</row>
    <row r="433" ht="14.25" customHeight="1">
      <c r="A433" s="244"/>
      <c r="B433" s="244"/>
      <c r="C433" s="244"/>
      <c r="D433" s="244"/>
      <c r="E433" s="244"/>
      <c r="F433" s="244"/>
      <c r="G433" s="244"/>
      <c r="H433" s="244"/>
      <c r="I433" s="244"/>
      <c r="J433" s="244"/>
      <c r="K433" s="244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</row>
    <row r="434" ht="14.25" customHeight="1">
      <c r="A434" s="244"/>
      <c r="B434" s="244"/>
      <c r="C434" s="244"/>
      <c r="D434" s="244"/>
      <c r="E434" s="244"/>
      <c r="F434" s="244"/>
      <c r="G434" s="244"/>
      <c r="H434" s="244"/>
      <c r="I434" s="244"/>
      <c r="J434" s="244"/>
      <c r="K434" s="244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</row>
    <row r="435" ht="14.25" customHeight="1">
      <c r="A435" s="244"/>
      <c r="B435" s="244"/>
      <c r="C435" s="244"/>
      <c r="D435" s="244"/>
      <c r="E435" s="244"/>
      <c r="F435" s="244"/>
      <c r="G435" s="244"/>
      <c r="H435" s="244"/>
      <c r="I435" s="244"/>
      <c r="J435" s="244"/>
      <c r="K435" s="244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</row>
    <row r="436" ht="14.25" customHeight="1">
      <c r="A436" s="244"/>
      <c r="B436" s="244"/>
      <c r="C436" s="244"/>
      <c r="D436" s="244"/>
      <c r="E436" s="244"/>
      <c r="F436" s="244"/>
      <c r="G436" s="244"/>
      <c r="H436" s="244"/>
      <c r="I436" s="244"/>
      <c r="J436" s="244"/>
      <c r="K436" s="244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</row>
    <row r="437" ht="14.25" customHeight="1">
      <c r="A437" s="244"/>
      <c r="B437" s="244"/>
      <c r="C437" s="244"/>
      <c r="D437" s="244"/>
      <c r="E437" s="244"/>
      <c r="F437" s="244"/>
      <c r="G437" s="244"/>
      <c r="H437" s="244"/>
      <c r="I437" s="244"/>
      <c r="J437" s="244"/>
      <c r="K437" s="244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</row>
    <row r="438" ht="14.25" customHeight="1">
      <c r="A438" s="244"/>
      <c r="B438" s="244"/>
      <c r="C438" s="244"/>
      <c r="D438" s="244"/>
      <c r="E438" s="244"/>
      <c r="F438" s="244"/>
      <c r="G438" s="244"/>
      <c r="H438" s="244"/>
      <c r="I438" s="244"/>
      <c r="J438" s="244"/>
      <c r="K438" s="244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</row>
    <row r="439" ht="14.25" customHeight="1">
      <c r="A439" s="244"/>
      <c r="B439" s="244"/>
      <c r="C439" s="244"/>
      <c r="D439" s="244"/>
      <c r="E439" s="244"/>
      <c r="F439" s="244"/>
      <c r="G439" s="244"/>
      <c r="H439" s="244"/>
      <c r="I439" s="244"/>
      <c r="J439" s="244"/>
      <c r="K439" s="244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</row>
    <row r="440" ht="14.25" customHeight="1">
      <c r="A440" s="244"/>
      <c r="B440" s="244"/>
      <c r="C440" s="244"/>
      <c r="D440" s="244"/>
      <c r="E440" s="244"/>
      <c r="F440" s="244"/>
      <c r="G440" s="244"/>
      <c r="H440" s="244"/>
      <c r="I440" s="244"/>
      <c r="J440" s="244"/>
      <c r="K440" s="244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</row>
    <row r="441" ht="14.25" customHeight="1">
      <c r="A441" s="244"/>
      <c r="B441" s="244"/>
      <c r="C441" s="244"/>
      <c r="D441" s="244"/>
      <c r="E441" s="244"/>
      <c r="F441" s="244"/>
      <c r="G441" s="244"/>
      <c r="H441" s="244"/>
      <c r="I441" s="244"/>
      <c r="J441" s="244"/>
      <c r="K441" s="244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</row>
    <row r="442" ht="14.25" customHeight="1">
      <c r="A442" s="244"/>
      <c r="B442" s="244"/>
      <c r="C442" s="244"/>
      <c r="D442" s="244"/>
      <c r="E442" s="244"/>
      <c r="F442" s="244"/>
      <c r="G442" s="244"/>
      <c r="H442" s="244"/>
      <c r="I442" s="244"/>
      <c r="J442" s="244"/>
      <c r="K442" s="244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</row>
    <row r="443" ht="14.25" customHeight="1">
      <c r="A443" s="244"/>
      <c r="B443" s="244"/>
      <c r="C443" s="244"/>
      <c r="D443" s="244"/>
      <c r="E443" s="244"/>
      <c r="F443" s="244"/>
      <c r="G443" s="244"/>
      <c r="H443" s="244"/>
      <c r="I443" s="244"/>
      <c r="J443" s="244"/>
      <c r="K443" s="244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</row>
    <row r="444" ht="14.25" customHeight="1">
      <c r="A444" s="244"/>
      <c r="B444" s="244"/>
      <c r="C444" s="244"/>
      <c r="D444" s="244"/>
      <c r="E444" s="244"/>
      <c r="F444" s="244"/>
      <c r="G444" s="244"/>
      <c r="H444" s="244"/>
      <c r="I444" s="244"/>
      <c r="J444" s="244"/>
      <c r="K444" s="244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</row>
    <row r="445" ht="14.25" customHeight="1">
      <c r="A445" s="244"/>
      <c r="B445" s="244"/>
      <c r="C445" s="244"/>
      <c r="D445" s="244"/>
      <c r="E445" s="244"/>
      <c r="F445" s="244"/>
      <c r="G445" s="244"/>
      <c r="H445" s="244"/>
      <c r="I445" s="244"/>
      <c r="J445" s="244"/>
      <c r="K445" s="244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</row>
    <row r="446" ht="14.25" customHeight="1">
      <c r="A446" s="244"/>
      <c r="B446" s="244"/>
      <c r="C446" s="244"/>
      <c r="D446" s="244"/>
      <c r="E446" s="244"/>
      <c r="F446" s="244"/>
      <c r="G446" s="244"/>
      <c r="H446" s="244"/>
      <c r="I446" s="244"/>
      <c r="J446" s="244"/>
      <c r="K446" s="244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</row>
    <row r="447" ht="14.25" customHeight="1">
      <c r="A447" s="244"/>
      <c r="B447" s="244"/>
      <c r="C447" s="244"/>
      <c r="D447" s="244"/>
      <c r="E447" s="244"/>
      <c r="F447" s="244"/>
      <c r="G447" s="244"/>
      <c r="H447" s="244"/>
      <c r="I447" s="244"/>
      <c r="J447" s="244"/>
      <c r="K447" s="244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</row>
    <row r="448" ht="14.25" customHeight="1">
      <c r="A448" s="244"/>
      <c r="B448" s="244"/>
      <c r="C448" s="244"/>
      <c r="D448" s="244"/>
      <c r="E448" s="244"/>
      <c r="F448" s="244"/>
      <c r="G448" s="244"/>
      <c r="H448" s="244"/>
      <c r="I448" s="244"/>
      <c r="J448" s="244"/>
      <c r="K448" s="244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</row>
    <row r="449" ht="14.25" customHeight="1">
      <c r="A449" s="244"/>
      <c r="B449" s="244"/>
      <c r="C449" s="244"/>
      <c r="D449" s="244"/>
      <c r="E449" s="244"/>
      <c r="F449" s="244"/>
      <c r="G449" s="244"/>
      <c r="H449" s="244"/>
      <c r="I449" s="244"/>
      <c r="J449" s="244"/>
      <c r="K449" s="244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</row>
    <row r="450" ht="14.25" customHeight="1">
      <c r="A450" s="244"/>
      <c r="B450" s="244"/>
      <c r="C450" s="244"/>
      <c r="D450" s="244"/>
      <c r="E450" s="244"/>
      <c r="F450" s="244"/>
      <c r="G450" s="244"/>
      <c r="H450" s="244"/>
      <c r="I450" s="244"/>
      <c r="J450" s="244"/>
      <c r="K450" s="244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</row>
    <row r="451" ht="14.25" customHeight="1">
      <c r="A451" s="244"/>
      <c r="B451" s="244"/>
      <c r="C451" s="244"/>
      <c r="D451" s="244"/>
      <c r="E451" s="244"/>
      <c r="F451" s="244"/>
      <c r="G451" s="244"/>
      <c r="H451" s="244"/>
      <c r="I451" s="244"/>
      <c r="J451" s="244"/>
      <c r="K451" s="244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</row>
    <row r="452" ht="14.25" customHeight="1">
      <c r="A452" s="244"/>
      <c r="B452" s="244"/>
      <c r="C452" s="244"/>
      <c r="D452" s="244"/>
      <c r="E452" s="244"/>
      <c r="F452" s="244"/>
      <c r="G452" s="244"/>
      <c r="H452" s="244"/>
      <c r="I452" s="244"/>
      <c r="J452" s="244"/>
      <c r="K452" s="244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</row>
    <row r="453" ht="14.25" customHeight="1">
      <c r="A453" s="244"/>
      <c r="B453" s="244"/>
      <c r="C453" s="244"/>
      <c r="D453" s="244"/>
      <c r="E453" s="244"/>
      <c r="F453" s="244"/>
      <c r="G453" s="244"/>
      <c r="H453" s="244"/>
      <c r="I453" s="244"/>
      <c r="J453" s="244"/>
      <c r="K453" s="244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</row>
    <row r="454" ht="14.25" customHeight="1">
      <c r="A454" s="244"/>
      <c r="B454" s="244"/>
      <c r="C454" s="244"/>
      <c r="D454" s="244"/>
      <c r="E454" s="244"/>
      <c r="F454" s="244"/>
      <c r="G454" s="244"/>
      <c r="H454" s="244"/>
      <c r="I454" s="244"/>
      <c r="J454" s="244"/>
      <c r="K454" s="244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</row>
    <row r="455" ht="14.25" customHeight="1">
      <c r="A455" s="244"/>
      <c r="B455" s="244"/>
      <c r="C455" s="244"/>
      <c r="D455" s="244"/>
      <c r="E455" s="244"/>
      <c r="F455" s="244"/>
      <c r="G455" s="244"/>
      <c r="H455" s="244"/>
      <c r="I455" s="244"/>
      <c r="J455" s="244"/>
      <c r="K455" s="244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</row>
    <row r="456" ht="14.25" customHeight="1">
      <c r="A456" s="244"/>
      <c r="B456" s="244"/>
      <c r="C456" s="244"/>
      <c r="D456" s="244"/>
      <c r="E456" s="244"/>
      <c r="F456" s="244"/>
      <c r="G456" s="244"/>
      <c r="H456" s="244"/>
      <c r="I456" s="244"/>
      <c r="J456" s="244"/>
      <c r="K456" s="244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</row>
    <row r="457" ht="14.25" customHeight="1">
      <c r="A457" s="244"/>
      <c r="B457" s="244"/>
      <c r="C457" s="244"/>
      <c r="D457" s="244"/>
      <c r="E457" s="244"/>
      <c r="F457" s="244"/>
      <c r="G457" s="244"/>
      <c r="H457" s="244"/>
      <c r="I457" s="244"/>
      <c r="J457" s="244"/>
      <c r="K457" s="244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</row>
    <row r="458" ht="14.25" customHeight="1">
      <c r="A458" s="244"/>
      <c r="B458" s="244"/>
      <c r="C458" s="244"/>
      <c r="D458" s="244"/>
      <c r="E458" s="244"/>
      <c r="F458" s="244"/>
      <c r="G458" s="244"/>
      <c r="H458" s="244"/>
      <c r="I458" s="244"/>
      <c r="J458" s="244"/>
      <c r="K458" s="244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</row>
    <row r="459" ht="14.25" customHeight="1">
      <c r="A459" s="244"/>
      <c r="B459" s="244"/>
      <c r="C459" s="244"/>
      <c r="D459" s="244"/>
      <c r="E459" s="244"/>
      <c r="F459" s="244"/>
      <c r="G459" s="244"/>
      <c r="H459" s="244"/>
      <c r="I459" s="244"/>
      <c r="J459" s="244"/>
      <c r="K459" s="244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</row>
    <row r="460" ht="14.25" customHeight="1">
      <c r="A460" s="244"/>
      <c r="B460" s="244"/>
      <c r="C460" s="244"/>
      <c r="D460" s="244"/>
      <c r="E460" s="244"/>
      <c r="F460" s="244"/>
      <c r="G460" s="244"/>
      <c r="H460" s="244"/>
      <c r="I460" s="244"/>
      <c r="J460" s="244"/>
      <c r="K460" s="244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</row>
    <row r="461" ht="14.25" customHeight="1">
      <c r="A461" s="244"/>
      <c r="B461" s="244"/>
      <c r="C461" s="244"/>
      <c r="D461" s="244"/>
      <c r="E461" s="244"/>
      <c r="F461" s="244"/>
      <c r="G461" s="244"/>
      <c r="H461" s="244"/>
      <c r="I461" s="244"/>
      <c r="J461" s="244"/>
      <c r="K461" s="244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</row>
    <row r="462" ht="14.25" customHeight="1">
      <c r="A462" s="244"/>
      <c r="B462" s="244"/>
      <c r="C462" s="244"/>
      <c r="D462" s="244"/>
      <c r="E462" s="244"/>
      <c r="F462" s="244"/>
      <c r="G462" s="244"/>
      <c r="H462" s="244"/>
      <c r="I462" s="244"/>
      <c r="J462" s="244"/>
      <c r="K462" s="244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</row>
    <row r="463" ht="14.25" customHeight="1">
      <c r="A463" s="244"/>
      <c r="B463" s="244"/>
      <c r="C463" s="244"/>
      <c r="D463" s="244"/>
      <c r="E463" s="244"/>
      <c r="F463" s="244"/>
      <c r="G463" s="244"/>
      <c r="H463" s="244"/>
      <c r="I463" s="244"/>
      <c r="J463" s="244"/>
      <c r="K463" s="244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</row>
    <row r="464" ht="14.25" customHeight="1">
      <c r="A464" s="244"/>
      <c r="B464" s="244"/>
      <c r="C464" s="244"/>
      <c r="D464" s="244"/>
      <c r="E464" s="244"/>
      <c r="F464" s="244"/>
      <c r="G464" s="244"/>
      <c r="H464" s="244"/>
      <c r="I464" s="244"/>
      <c r="J464" s="244"/>
      <c r="K464" s="244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</row>
    <row r="465" ht="14.25" customHeight="1">
      <c r="A465" s="244"/>
      <c r="B465" s="244"/>
      <c r="C465" s="244"/>
      <c r="D465" s="244"/>
      <c r="E465" s="244"/>
      <c r="F465" s="244"/>
      <c r="G465" s="244"/>
      <c r="H465" s="244"/>
      <c r="I465" s="244"/>
      <c r="J465" s="244"/>
      <c r="K465" s="244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</row>
    <row r="466" ht="14.25" customHeight="1">
      <c r="A466" s="244"/>
      <c r="B466" s="244"/>
      <c r="C466" s="244"/>
      <c r="D466" s="244"/>
      <c r="E466" s="244"/>
      <c r="F466" s="244"/>
      <c r="G466" s="244"/>
      <c r="H466" s="244"/>
      <c r="I466" s="244"/>
      <c r="J466" s="244"/>
      <c r="K466" s="244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</row>
    <row r="467" ht="14.25" customHeight="1">
      <c r="A467" s="244"/>
      <c r="B467" s="244"/>
      <c r="C467" s="244"/>
      <c r="D467" s="244"/>
      <c r="E467" s="244"/>
      <c r="F467" s="244"/>
      <c r="G467" s="244"/>
      <c r="H467" s="244"/>
      <c r="I467" s="244"/>
      <c r="J467" s="244"/>
      <c r="K467" s="244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</row>
    <row r="468" ht="14.25" customHeight="1">
      <c r="A468" s="244"/>
      <c r="B468" s="244"/>
      <c r="C468" s="244"/>
      <c r="D468" s="244"/>
      <c r="E468" s="244"/>
      <c r="F468" s="244"/>
      <c r="G468" s="244"/>
      <c r="H468" s="244"/>
      <c r="I468" s="244"/>
      <c r="J468" s="244"/>
      <c r="K468" s="244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</row>
    <row r="469" ht="14.25" customHeight="1">
      <c r="A469" s="244"/>
      <c r="B469" s="244"/>
      <c r="C469" s="244"/>
      <c r="D469" s="244"/>
      <c r="E469" s="244"/>
      <c r="F469" s="244"/>
      <c r="G469" s="244"/>
      <c r="H469" s="244"/>
      <c r="I469" s="244"/>
      <c r="J469" s="244"/>
      <c r="K469" s="244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</row>
    <row r="470" ht="14.25" customHeight="1">
      <c r="A470" s="244"/>
      <c r="B470" s="244"/>
      <c r="C470" s="244"/>
      <c r="D470" s="244"/>
      <c r="E470" s="244"/>
      <c r="F470" s="244"/>
      <c r="G470" s="244"/>
      <c r="H470" s="244"/>
      <c r="I470" s="244"/>
      <c r="J470" s="244"/>
      <c r="K470" s="244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</row>
    <row r="471" ht="14.25" customHeight="1">
      <c r="A471" s="244"/>
      <c r="B471" s="244"/>
      <c r="C471" s="244"/>
      <c r="D471" s="244"/>
      <c r="E471" s="244"/>
      <c r="F471" s="244"/>
      <c r="G471" s="244"/>
      <c r="H471" s="244"/>
      <c r="I471" s="244"/>
      <c r="J471" s="244"/>
      <c r="K471" s="244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</row>
    <row r="472" ht="14.25" customHeight="1">
      <c r="A472" s="244"/>
      <c r="B472" s="244"/>
      <c r="C472" s="244"/>
      <c r="D472" s="244"/>
      <c r="E472" s="244"/>
      <c r="F472" s="244"/>
      <c r="G472" s="244"/>
      <c r="H472" s="244"/>
      <c r="I472" s="244"/>
      <c r="J472" s="244"/>
      <c r="K472" s="244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</row>
    <row r="473" ht="14.25" customHeight="1">
      <c r="A473" s="244"/>
      <c r="B473" s="244"/>
      <c r="C473" s="244"/>
      <c r="D473" s="244"/>
      <c r="E473" s="244"/>
      <c r="F473" s="244"/>
      <c r="G473" s="244"/>
      <c r="H473" s="244"/>
      <c r="I473" s="244"/>
      <c r="J473" s="244"/>
      <c r="K473" s="244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</row>
    <row r="474" ht="14.25" customHeight="1">
      <c r="A474" s="244"/>
      <c r="B474" s="244"/>
      <c r="C474" s="244"/>
      <c r="D474" s="244"/>
      <c r="E474" s="244"/>
      <c r="F474" s="244"/>
      <c r="G474" s="244"/>
      <c r="H474" s="244"/>
      <c r="I474" s="244"/>
      <c r="J474" s="244"/>
      <c r="K474" s="244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</row>
    <row r="475" ht="14.25" customHeight="1">
      <c r="A475" s="244"/>
      <c r="B475" s="244"/>
      <c r="C475" s="244"/>
      <c r="D475" s="244"/>
      <c r="E475" s="244"/>
      <c r="F475" s="244"/>
      <c r="G475" s="244"/>
      <c r="H475" s="244"/>
      <c r="I475" s="244"/>
      <c r="J475" s="244"/>
      <c r="K475" s="244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</row>
    <row r="476" ht="14.25" customHeight="1">
      <c r="A476" s="244"/>
      <c r="B476" s="244"/>
      <c r="C476" s="244"/>
      <c r="D476" s="244"/>
      <c r="E476" s="244"/>
      <c r="F476" s="244"/>
      <c r="G476" s="244"/>
      <c r="H476" s="244"/>
      <c r="I476" s="244"/>
      <c r="J476" s="244"/>
      <c r="K476" s="244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</row>
    <row r="477" ht="14.25" customHeight="1">
      <c r="A477" s="244"/>
      <c r="B477" s="244"/>
      <c r="C477" s="244"/>
      <c r="D477" s="244"/>
      <c r="E477" s="244"/>
      <c r="F477" s="244"/>
      <c r="G477" s="244"/>
      <c r="H477" s="244"/>
      <c r="I477" s="244"/>
      <c r="J477" s="244"/>
      <c r="K477" s="244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</row>
    <row r="478" ht="14.25" customHeight="1">
      <c r="A478" s="244"/>
      <c r="B478" s="244"/>
      <c r="C478" s="244"/>
      <c r="D478" s="244"/>
      <c r="E478" s="244"/>
      <c r="F478" s="244"/>
      <c r="G478" s="244"/>
      <c r="H478" s="244"/>
      <c r="I478" s="244"/>
      <c r="J478" s="244"/>
      <c r="K478" s="244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</row>
    <row r="479" ht="14.25" customHeight="1">
      <c r="A479" s="244"/>
      <c r="B479" s="244"/>
      <c r="C479" s="244"/>
      <c r="D479" s="244"/>
      <c r="E479" s="244"/>
      <c r="F479" s="244"/>
      <c r="G479" s="244"/>
      <c r="H479" s="244"/>
      <c r="I479" s="244"/>
      <c r="J479" s="244"/>
      <c r="K479" s="244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</row>
    <row r="480" ht="14.25" customHeight="1">
      <c r="A480" s="244"/>
      <c r="B480" s="244"/>
      <c r="C480" s="244"/>
      <c r="D480" s="244"/>
      <c r="E480" s="244"/>
      <c r="F480" s="244"/>
      <c r="G480" s="244"/>
      <c r="H480" s="244"/>
      <c r="I480" s="244"/>
      <c r="J480" s="244"/>
      <c r="K480" s="244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</row>
    <row r="481" ht="14.25" customHeight="1">
      <c r="A481" s="244"/>
      <c r="B481" s="244"/>
      <c r="C481" s="244"/>
      <c r="D481" s="244"/>
      <c r="E481" s="244"/>
      <c r="F481" s="244"/>
      <c r="G481" s="244"/>
      <c r="H481" s="244"/>
      <c r="I481" s="244"/>
      <c r="J481" s="244"/>
      <c r="K481" s="244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</row>
    <row r="482" ht="14.25" customHeight="1">
      <c r="A482" s="244"/>
      <c r="B482" s="244"/>
      <c r="C482" s="244"/>
      <c r="D482" s="244"/>
      <c r="E482" s="244"/>
      <c r="F482" s="244"/>
      <c r="G482" s="244"/>
      <c r="H482" s="244"/>
      <c r="I482" s="244"/>
      <c r="J482" s="244"/>
      <c r="K482" s="244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</row>
    <row r="483" ht="14.25" customHeight="1">
      <c r="A483" s="244"/>
      <c r="B483" s="244"/>
      <c r="C483" s="244"/>
      <c r="D483" s="244"/>
      <c r="E483" s="244"/>
      <c r="F483" s="244"/>
      <c r="G483" s="244"/>
      <c r="H483" s="244"/>
      <c r="I483" s="244"/>
      <c r="J483" s="244"/>
      <c r="K483" s="244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</row>
    <row r="484" ht="14.25" customHeight="1">
      <c r="A484" s="244"/>
      <c r="B484" s="244"/>
      <c r="C484" s="244"/>
      <c r="D484" s="244"/>
      <c r="E484" s="244"/>
      <c r="F484" s="244"/>
      <c r="G484" s="244"/>
      <c r="H484" s="244"/>
      <c r="I484" s="244"/>
      <c r="J484" s="244"/>
      <c r="K484" s="244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</row>
    <row r="485" ht="14.25" customHeight="1">
      <c r="A485" s="244"/>
      <c r="B485" s="244"/>
      <c r="C485" s="244"/>
      <c r="D485" s="244"/>
      <c r="E485" s="244"/>
      <c r="F485" s="244"/>
      <c r="G485" s="244"/>
      <c r="H485" s="244"/>
      <c r="I485" s="244"/>
      <c r="J485" s="244"/>
      <c r="K485" s="244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</row>
    <row r="486" ht="14.25" customHeight="1">
      <c r="A486" s="244"/>
      <c r="B486" s="244"/>
      <c r="C486" s="244"/>
      <c r="D486" s="244"/>
      <c r="E486" s="244"/>
      <c r="F486" s="244"/>
      <c r="G486" s="244"/>
      <c r="H486" s="244"/>
      <c r="I486" s="244"/>
      <c r="J486" s="244"/>
      <c r="K486" s="244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</row>
    <row r="487" ht="14.25" customHeight="1">
      <c r="A487" s="244"/>
      <c r="B487" s="244"/>
      <c r="C487" s="244"/>
      <c r="D487" s="244"/>
      <c r="E487" s="244"/>
      <c r="F487" s="244"/>
      <c r="G487" s="244"/>
      <c r="H487" s="244"/>
      <c r="I487" s="244"/>
      <c r="J487" s="244"/>
      <c r="K487" s="244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</row>
    <row r="488" ht="14.25" customHeight="1">
      <c r="A488" s="244"/>
      <c r="B488" s="244"/>
      <c r="C488" s="244"/>
      <c r="D488" s="244"/>
      <c r="E488" s="244"/>
      <c r="F488" s="244"/>
      <c r="G488" s="244"/>
      <c r="H488" s="244"/>
      <c r="I488" s="244"/>
      <c r="J488" s="244"/>
      <c r="K488" s="244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</row>
    <row r="489" ht="14.25" customHeight="1">
      <c r="A489" s="244"/>
      <c r="B489" s="244"/>
      <c r="C489" s="244"/>
      <c r="D489" s="244"/>
      <c r="E489" s="244"/>
      <c r="F489" s="244"/>
      <c r="G489" s="244"/>
      <c r="H489" s="244"/>
      <c r="I489" s="244"/>
      <c r="J489" s="244"/>
      <c r="K489" s="244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</row>
    <row r="490" ht="14.25" customHeight="1">
      <c r="A490" s="244"/>
      <c r="B490" s="244"/>
      <c r="C490" s="244"/>
      <c r="D490" s="244"/>
      <c r="E490" s="244"/>
      <c r="F490" s="244"/>
      <c r="G490" s="244"/>
      <c r="H490" s="244"/>
      <c r="I490" s="244"/>
      <c r="J490" s="244"/>
      <c r="K490" s="244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</row>
    <row r="491" ht="14.25" customHeight="1">
      <c r="A491" s="244"/>
      <c r="B491" s="244"/>
      <c r="C491" s="244"/>
      <c r="D491" s="244"/>
      <c r="E491" s="244"/>
      <c r="F491" s="244"/>
      <c r="G491" s="244"/>
      <c r="H491" s="244"/>
      <c r="I491" s="244"/>
      <c r="J491" s="244"/>
      <c r="K491" s="244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</row>
    <row r="492" ht="14.25" customHeight="1">
      <c r="A492" s="244"/>
      <c r="B492" s="244"/>
      <c r="C492" s="244"/>
      <c r="D492" s="244"/>
      <c r="E492" s="244"/>
      <c r="F492" s="244"/>
      <c r="G492" s="244"/>
      <c r="H492" s="244"/>
      <c r="I492" s="244"/>
      <c r="J492" s="244"/>
      <c r="K492" s="244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</row>
    <row r="493" ht="14.25" customHeight="1">
      <c r="A493" s="244"/>
      <c r="B493" s="244"/>
      <c r="C493" s="244"/>
      <c r="D493" s="244"/>
      <c r="E493" s="244"/>
      <c r="F493" s="244"/>
      <c r="G493" s="244"/>
      <c r="H493" s="244"/>
      <c r="I493" s="244"/>
      <c r="J493" s="244"/>
      <c r="K493" s="244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</row>
    <row r="494" ht="14.25" customHeight="1">
      <c r="A494" s="244"/>
      <c r="B494" s="244"/>
      <c r="C494" s="244"/>
      <c r="D494" s="244"/>
      <c r="E494" s="244"/>
      <c r="F494" s="244"/>
      <c r="G494" s="244"/>
      <c r="H494" s="244"/>
      <c r="I494" s="244"/>
      <c r="J494" s="244"/>
      <c r="K494" s="244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</row>
    <row r="495" ht="14.25" customHeight="1">
      <c r="A495" s="244"/>
      <c r="B495" s="244"/>
      <c r="C495" s="244"/>
      <c r="D495" s="244"/>
      <c r="E495" s="244"/>
      <c r="F495" s="244"/>
      <c r="G495" s="244"/>
      <c r="H495" s="244"/>
      <c r="I495" s="244"/>
      <c r="J495" s="244"/>
      <c r="K495" s="244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</row>
    <row r="496" ht="14.25" customHeight="1">
      <c r="A496" s="244"/>
      <c r="B496" s="244"/>
      <c r="C496" s="244"/>
      <c r="D496" s="244"/>
      <c r="E496" s="244"/>
      <c r="F496" s="244"/>
      <c r="G496" s="244"/>
      <c r="H496" s="244"/>
      <c r="I496" s="244"/>
      <c r="J496" s="244"/>
      <c r="K496" s="244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</row>
    <row r="497" ht="14.25" customHeight="1">
      <c r="A497" s="244"/>
      <c r="B497" s="244"/>
      <c r="C497" s="244"/>
      <c r="D497" s="244"/>
      <c r="E497" s="244"/>
      <c r="F497" s="244"/>
      <c r="G497" s="244"/>
      <c r="H497" s="244"/>
      <c r="I497" s="244"/>
      <c r="J497" s="244"/>
      <c r="K497" s="244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</row>
    <row r="498" ht="14.25" customHeight="1">
      <c r="A498" s="244"/>
      <c r="B498" s="244"/>
      <c r="C498" s="244"/>
      <c r="D498" s="244"/>
      <c r="E498" s="244"/>
      <c r="F498" s="244"/>
      <c r="G498" s="244"/>
      <c r="H498" s="244"/>
      <c r="I498" s="244"/>
      <c r="J498" s="244"/>
      <c r="K498" s="244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</row>
    <row r="499" ht="14.25" customHeight="1">
      <c r="A499" s="244"/>
      <c r="B499" s="244"/>
      <c r="C499" s="244"/>
      <c r="D499" s="244"/>
      <c r="E499" s="244"/>
      <c r="F499" s="244"/>
      <c r="G499" s="244"/>
      <c r="H499" s="244"/>
      <c r="I499" s="244"/>
      <c r="J499" s="244"/>
      <c r="K499" s="244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</row>
    <row r="500" ht="14.25" customHeight="1">
      <c r="A500" s="244"/>
      <c r="B500" s="244"/>
      <c r="C500" s="244"/>
      <c r="D500" s="244"/>
      <c r="E500" s="244"/>
      <c r="F500" s="244"/>
      <c r="G500" s="244"/>
      <c r="H500" s="244"/>
      <c r="I500" s="244"/>
      <c r="J500" s="244"/>
      <c r="K500" s="244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</row>
    <row r="501" ht="14.25" customHeight="1">
      <c r="A501" s="244"/>
      <c r="B501" s="244"/>
      <c r="C501" s="244"/>
      <c r="D501" s="244"/>
      <c r="E501" s="244"/>
      <c r="F501" s="244"/>
      <c r="G501" s="244"/>
      <c r="H501" s="244"/>
      <c r="I501" s="244"/>
      <c r="J501" s="244"/>
      <c r="K501" s="244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</row>
    <row r="502" ht="14.25" customHeight="1">
      <c r="A502" s="244"/>
      <c r="B502" s="244"/>
      <c r="C502" s="244"/>
      <c r="D502" s="244"/>
      <c r="E502" s="244"/>
      <c r="F502" s="244"/>
      <c r="G502" s="244"/>
      <c r="H502" s="244"/>
      <c r="I502" s="244"/>
      <c r="J502" s="244"/>
      <c r="K502" s="244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</row>
    <row r="503" ht="14.25" customHeight="1">
      <c r="A503" s="244"/>
      <c r="B503" s="244"/>
      <c r="C503" s="244"/>
      <c r="D503" s="244"/>
      <c r="E503" s="244"/>
      <c r="F503" s="244"/>
      <c r="G503" s="244"/>
      <c r="H503" s="244"/>
      <c r="I503" s="244"/>
      <c r="J503" s="244"/>
      <c r="K503" s="244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</row>
    <row r="504" ht="14.25" customHeight="1">
      <c r="A504" s="244"/>
      <c r="B504" s="244"/>
      <c r="C504" s="244"/>
      <c r="D504" s="244"/>
      <c r="E504" s="244"/>
      <c r="F504" s="244"/>
      <c r="G504" s="244"/>
      <c r="H504" s="244"/>
      <c r="I504" s="244"/>
      <c r="J504" s="244"/>
      <c r="K504" s="244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</row>
    <row r="505" ht="14.25" customHeight="1">
      <c r="A505" s="244"/>
      <c r="B505" s="244"/>
      <c r="C505" s="244"/>
      <c r="D505" s="244"/>
      <c r="E505" s="244"/>
      <c r="F505" s="244"/>
      <c r="G505" s="244"/>
      <c r="H505" s="244"/>
      <c r="I505" s="244"/>
      <c r="J505" s="244"/>
      <c r="K505" s="244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</row>
    <row r="506" ht="14.25" customHeight="1">
      <c r="A506" s="244"/>
      <c r="B506" s="244"/>
      <c r="C506" s="244"/>
      <c r="D506" s="244"/>
      <c r="E506" s="244"/>
      <c r="F506" s="244"/>
      <c r="G506" s="244"/>
      <c r="H506" s="244"/>
      <c r="I506" s="244"/>
      <c r="J506" s="244"/>
      <c r="K506" s="244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</row>
    <row r="507" ht="14.25" customHeight="1">
      <c r="A507" s="244"/>
      <c r="B507" s="244"/>
      <c r="C507" s="244"/>
      <c r="D507" s="244"/>
      <c r="E507" s="244"/>
      <c r="F507" s="244"/>
      <c r="G507" s="244"/>
      <c r="H507" s="244"/>
      <c r="I507" s="244"/>
      <c r="J507" s="244"/>
      <c r="K507" s="244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</row>
    <row r="508" ht="14.25" customHeight="1">
      <c r="A508" s="244"/>
      <c r="B508" s="244"/>
      <c r="C508" s="244"/>
      <c r="D508" s="244"/>
      <c r="E508" s="244"/>
      <c r="F508" s="244"/>
      <c r="G508" s="244"/>
      <c r="H508" s="244"/>
      <c r="I508" s="244"/>
      <c r="J508" s="244"/>
      <c r="K508" s="244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</row>
    <row r="509" ht="14.25" customHeight="1">
      <c r="A509" s="244"/>
      <c r="B509" s="244"/>
      <c r="C509" s="244"/>
      <c r="D509" s="244"/>
      <c r="E509" s="244"/>
      <c r="F509" s="244"/>
      <c r="G509" s="244"/>
      <c r="H509" s="244"/>
      <c r="I509" s="244"/>
      <c r="J509" s="244"/>
      <c r="K509" s="244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</row>
    <row r="510" ht="14.25" customHeight="1">
      <c r="A510" s="244"/>
      <c r="B510" s="244"/>
      <c r="C510" s="244"/>
      <c r="D510" s="244"/>
      <c r="E510" s="244"/>
      <c r="F510" s="244"/>
      <c r="G510" s="244"/>
      <c r="H510" s="244"/>
      <c r="I510" s="244"/>
      <c r="J510" s="244"/>
      <c r="K510" s="244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</row>
    <row r="511" ht="14.25" customHeight="1">
      <c r="A511" s="244"/>
      <c r="B511" s="244"/>
      <c r="C511" s="244"/>
      <c r="D511" s="244"/>
      <c r="E511" s="244"/>
      <c r="F511" s="244"/>
      <c r="G511" s="244"/>
      <c r="H511" s="244"/>
      <c r="I511" s="244"/>
      <c r="J511" s="244"/>
      <c r="K511" s="244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</row>
    <row r="512" ht="14.25" customHeight="1">
      <c r="A512" s="244"/>
      <c r="B512" s="244"/>
      <c r="C512" s="244"/>
      <c r="D512" s="244"/>
      <c r="E512" s="244"/>
      <c r="F512" s="244"/>
      <c r="G512" s="244"/>
      <c r="H512" s="244"/>
      <c r="I512" s="244"/>
      <c r="J512" s="244"/>
      <c r="K512" s="244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</row>
    <row r="513" ht="14.25" customHeight="1">
      <c r="A513" s="244"/>
      <c r="B513" s="244"/>
      <c r="C513" s="244"/>
      <c r="D513" s="244"/>
      <c r="E513" s="244"/>
      <c r="F513" s="244"/>
      <c r="G513" s="244"/>
      <c r="H513" s="244"/>
      <c r="I513" s="244"/>
      <c r="J513" s="244"/>
      <c r="K513" s="244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</row>
    <row r="514" ht="14.25" customHeight="1">
      <c r="A514" s="244"/>
      <c r="B514" s="244"/>
      <c r="C514" s="244"/>
      <c r="D514" s="244"/>
      <c r="E514" s="244"/>
      <c r="F514" s="244"/>
      <c r="G514" s="244"/>
      <c r="H514" s="244"/>
      <c r="I514" s="244"/>
      <c r="J514" s="244"/>
      <c r="K514" s="244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</row>
    <row r="515" ht="14.25" customHeight="1">
      <c r="A515" s="244"/>
      <c r="B515" s="244"/>
      <c r="C515" s="244"/>
      <c r="D515" s="244"/>
      <c r="E515" s="244"/>
      <c r="F515" s="244"/>
      <c r="G515" s="244"/>
      <c r="H515" s="244"/>
      <c r="I515" s="244"/>
      <c r="J515" s="244"/>
      <c r="K515" s="244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</row>
    <row r="516" ht="14.25" customHeight="1">
      <c r="A516" s="244"/>
      <c r="B516" s="244"/>
      <c r="C516" s="244"/>
      <c r="D516" s="244"/>
      <c r="E516" s="244"/>
      <c r="F516" s="244"/>
      <c r="G516" s="244"/>
      <c r="H516" s="244"/>
      <c r="I516" s="244"/>
      <c r="J516" s="244"/>
      <c r="K516" s="244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</row>
    <row r="517" ht="14.25" customHeight="1">
      <c r="A517" s="244"/>
      <c r="B517" s="244"/>
      <c r="C517" s="244"/>
      <c r="D517" s="244"/>
      <c r="E517" s="244"/>
      <c r="F517" s="244"/>
      <c r="G517" s="244"/>
      <c r="H517" s="244"/>
      <c r="I517" s="244"/>
      <c r="J517" s="244"/>
      <c r="K517" s="244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</row>
    <row r="518" ht="14.25" customHeight="1">
      <c r="A518" s="244"/>
      <c r="B518" s="244"/>
      <c r="C518" s="244"/>
      <c r="D518" s="244"/>
      <c r="E518" s="244"/>
      <c r="F518" s="244"/>
      <c r="G518" s="244"/>
      <c r="H518" s="244"/>
      <c r="I518" s="244"/>
      <c r="J518" s="244"/>
      <c r="K518" s="244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</row>
    <row r="519" ht="14.25" customHeight="1">
      <c r="A519" s="244"/>
      <c r="B519" s="244"/>
      <c r="C519" s="244"/>
      <c r="D519" s="244"/>
      <c r="E519" s="244"/>
      <c r="F519" s="244"/>
      <c r="G519" s="244"/>
      <c r="H519" s="244"/>
      <c r="I519" s="244"/>
      <c r="J519" s="244"/>
      <c r="K519" s="244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</row>
    <row r="520" ht="14.25" customHeight="1">
      <c r="A520" s="244"/>
      <c r="B520" s="244"/>
      <c r="C520" s="244"/>
      <c r="D520" s="244"/>
      <c r="E520" s="244"/>
      <c r="F520" s="244"/>
      <c r="G520" s="244"/>
      <c r="H520" s="244"/>
      <c r="I520" s="244"/>
      <c r="J520" s="244"/>
      <c r="K520" s="244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</row>
    <row r="521" ht="14.25" customHeight="1">
      <c r="A521" s="244"/>
      <c r="B521" s="244"/>
      <c r="C521" s="244"/>
      <c r="D521" s="244"/>
      <c r="E521" s="244"/>
      <c r="F521" s="244"/>
      <c r="G521" s="244"/>
      <c r="H521" s="244"/>
      <c r="I521" s="244"/>
      <c r="J521" s="244"/>
      <c r="K521" s="244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</row>
    <row r="522" ht="14.25" customHeight="1">
      <c r="A522" s="244"/>
      <c r="B522" s="244"/>
      <c r="C522" s="244"/>
      <c r="D522" s="244"/>
      <c r="E522" s="244"/>
      <c r="F522" s="244"/>
      <c r="G522" s="244"/>
      <c r="H522" s="244"/>
      <c r="I522" s="244"/>
      <c r="J522" s="244"/>
      <c r="K522" s="244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</row>
    <row r="523" ht="14.25" customHeight="1">
      <c r="A523" s="244"/>
      <c r="B523" s="244"/>
      <c r="C523" s="244"/>
      <c r="D523" s="244"/>
      <c r="E523" s="244"/>
      <c r="F523" s="244"/>
      <c r="G523" s="244"/>
      <c r="H523" s="244"/>
      <c r="I523" s="244"/>
      <c r="J523" s="244"/>
      <c r="K523" s="244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</row>
    <row r="524" ht="14.25" customHeight="1">
      <c r="A524" s="244"/>
      <c r="B524" s="244"/>
      <c r="C524" s="244"/>
      <c r="D524" s="244"/>
      <c r="E524" s="244"/>
      <c r="F524" s="244"/>
      <c r="G524" s="244"/>
      <c r="H524" s="244"/>
      <c r="I524" s="244"/>
      <c r="J524" s="244"/>
      <c r="K524" s="244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</row>
    <row r="525" ht="14.25" customHeight="1">
      <c r="A525" s="244"/>
      <c r="B525" s="244"/>
      <c r="C525" s="244"/>
      <c r="D525" s="244"/>
      <c r="E525" s="244"/>
      <c r="F525" s="244"/>
      <c r="G525" s="244"/>
      <c r="H525" s="244"/>
      <c r="I525" s="244"/>
      <c r="J525" s="244"/>
      <c r="K525" s="244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</row>
    <row r="526" ht="14.25" customHeight="1">
      <c r="A526" s="244"/>
      <c r="B526" s="244"/>
      <c r="C526" s="244"/>
      <c r="D526" s="244"/>
      <c r="E526" s="244"/>
      <c r="F526" s="244"/>
      <c r="G526" s="244"/>
      <c r="H526" s="244"/>
      <c r="I526" s="244"/>
      <c r="J526" s="244"/>
      <c r="K526" s="244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</row>
    <row r="527" ht="14.25" customHeight="1">
      <c r="A527" s="244"/>
      <c r="B527" s="244"/>
      <c r="C527" s="244"/>
      <c r="D527" s="244"/>
      <c r="E527" s="244"/>
      <c r="F527" s="244"/>
      <c r="G527" s="244"/>
      <c r="H527" s="244"/>
      <c r="I527" s="244"/>
      <c r="J527" s="244"/>
      <c r="K527" s="244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</row>
    <row r="528" ht="14.25" customHeight="1">
      <c r="A528" s="244"/>
      <c r="B528" s="244"/>
      <c r="C528" s="244"/>
      <c r="D528" s="244"/>
      <c r="E528" s="244"/>
      <c r="F528" s="244"/>
      <c r="G528" s="244"/>
      <c r="H528" s="244"/>
      <c r="I528" s="244"/>
      <c r="J528" s="244"/>
      <c r="K528" s="244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</row>
    <row r="529" ht="14.25" customHeight="1">
      <c r="A529" s="244"/>
      <c r="B529" s="244"/>
      <c r="C529" s="244"/>
      <c r="D529" s="244"/>
      <c r="E529" s="244"/>
      <c r="F529" s="244"/>
      <c r="G529" s="244"/>
      <c r="H529" s="244"/>
      <c r="I529" s="244"/>
      <c r="J529" s="244"/>
      <c r="K529" s="244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</row>
    <row r="530" ht="14.25" customHeight="1">
      <c r="A530" s="244"/>
      <c r="B530" s="244"/>
      <c r="C530" s="244"/>
      <c r="D530" s="244"/>
      <c r="E530" s="244"/>
      <c r="F530" s="244"/>
      <c r="G530" s="244"/>
      <c r="H530" s="244"/>
      <c r="I530" s="244"/>
      <c r="J530" s="244"/>
      <c r="K530" s="244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</row>
    <row r="531" ht="14.25" customHeight="1">
      <c r="A531" s="244"/>
      <c r="B531" s="244"/>
      <c r="C531" s="244"/>
      <c r="D531" s="244"/>
      <c r="E531" s="244"/>
      <c r="F531" s="244"/>
      <c r="G531" s="244"/>
      <c r="H531" s="244"/>
      <c r="I531" s="244"/>
      <c r="J531" s="244"/>
      <c r="K531" s="244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</row>
    <row r="532" ht="14.25" customHeight="1">
      <c r="A532" s="244"/>
      <c r="B532" s="244"/>
      <c r="C532" s="244"/>
      <c r="D532" s="244"/>
      <c r="E532" s="244"/>
      <c r="F532" s="244"/>
      <c r="G532" s="244"/>
      <c r="H532" s="244"/>
      <c r="I532" s="244"/>
      <c r="J532" s="244"/>
      <c r="K532" s="244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</row>
    <row r="533" ht="14.25" customHeight="1">
      <c r="A533" s="244"/>
      <c r="B533" s="244"/>
      <c r="C533" s="244"/>
      <c r="D533" s="244"/>
      <c r="E533" s="244"/>
      <c r="F533" s="244"/>
      <c r="G533" s="244"/>
      <c r="H533" s="244"/>
      <c r="I533" s="244"/>
      <c r="J533" s="244"/>
      <c r="K533" s="244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</row>
    <row r="534" ht="14.25" customHeight="1">
      <c r="A534" s="244"/>
      <c r="B534" s="244"/>
      <c r="C534" s="244"/>
      <c r="D534" s="244"/>
      <c r="E534" s="244"/>
      <c r="F534" s="244"/>
      <c r="G534" s="244"/>
      <c r="H534" s="244"/>
      <c r="I534" s="244"/>
      <c r="J534" s="244"/>
      <c r="K534" s="244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</row>
    <row r="535" ht="14.25" customHeight="1">
      <c r="A535" s="244"/>
      <c r="B535" s="244"/>
      <c r="C535" s="244"/>
      <c r="D535" s="244"/>
      <c r="E535" s="244"/>
      <c r="F535" s="244"/>
      <c r="G535" s="244"/>
      <c r="H535" s="244"/>
      <c r="I535" s="244"/>
      <c r="J535" s="244"/>
      <c r="K535" s="244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</row>
    <row r="536" ht="14.25" customHeight="1">
      <c r="A536" s="244"/>
      <c r="B536" s="244"/>
      <c r="C536" s="244"/>
      <c r="D536" s="244"/>
      <c r="E536" s="244"/>
      <c r="F536" s="244"/>
      <c r="G536" s="244"/>
      <c r="H536" s="244"/>
      <c r="I536" s="244"/>
      <c r="J536" s="244"/>
      <c r="K536" s="244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</row>
    <row r="537" ht="14.25" customHeight="1">
      <c r="A537" s="244"/>
      <c r="B537" s="244"/>
      <c r="C537" s="244"/>
      <c r="D537" s="244"/>
      <c r="E537" s="244"/>
      <c r="F537" s="244"/>
      <c r="G537" s="244"/>
      <c r="H537" s="244"/>
      <c r="I537" s="244"/>
      <c r="J537" s="244"/>
      <c r="K537" s="244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</row>
    <row r="538" ht="14.25" customHeight="1">
      <c r="A538" s="244"/>
      <c r="B538" s="244"/>
      <c r="C538" s="244"/>
      <c r="D538" s="244"/>
      <c r="E538" s="244"/>
      <c r="F538" s="244"/>
      <c r="G538" s="244"/>
      <c r="H538" s="244"/>
      <c r="I538" s="244"/>
      <c r="J538" s="244"/>
      <c r="K538" s="244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</row>
    <row r="539" ht="14.25" customHeight="1">
      <c r="A539" s="244"/>
      <c r="B539" s="244"/>
      <c r="C539" s="244"/>
      <c r="D539" s="244"/>
      <c r="E539" s="244"/>
      <c r="F539" s="244"/>
      <c r="G539" s="244"/>
      <c r="H539" s="244"/>
      <c r="I539" s="244"/>
      <c r="J539" s="244"/>
      <c r="K539" s="244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</row>
    <row r="540" ht="14.25" customHeight="1">
      <c r="A540" s="244"/>
      <c r="B540" s="244"/>
      <c r="C540" s="244"/>
      <c r="D540" s="244"/>
      <c r="E540" s="244"/>
      <c r="F540" s="244"/>
      <c r="G540" s="244"/>
      <c r="H540" s="244"/>
      <c r="I540" s="244"/>
      <c r="J540" s="244"/>
      <c r="K540" s="244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</row>
    <row r="541" ht="14.25" customHeight="1">
      <c r="A541" s="244"/>
      <c r="B541" s="244"/>
      <c r="C541" s="244"/>
      <c r="D541" s="244"/>
      <c r="E541" s="244"/>
      <c r="F541" s="244"/>
      <c r="G541" s="244"/>
      <c r="H541" s="244"/>
      <c r="I541" s="244"/>
      <c r="J541" s="244"/>
      <c r="K541" s="244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</row>
    <row r="542" ht="14.25" customHeight="1">
      <c r="A542" s="244"/>
      <c r="B542" s="244"/>
      <c r="C542" s="244"/>
      <c r="D542" s="244"/>
      <c r="E542" s="244"/>
      <c r="F542" s="244"/>
      <c r="G542" s="244"/>
      <c r="H542" s="244"/>
      <c r="I542" s="244"/>
      <c r="J542" s="244"/>
      <c r="K542" s="244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</row>
    <row r="543" ht="14.25" customHeight="1">
      <c r="A543" s="244"/>
      <c r="B543" s="244"/>
      <c r="C543" s="244"/>
      <c r="D543" s="244"/>
      <c r="E543" s="244"/>
      <c r="F543" s="244"/>
      <c r="G543" s="244"/>
      <c r="H543" s="244"/>
      <c r="I543" s="244"/>
      <c r="J543" s="244"/>
      <c r="K543" s="244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</row>
    <row r="544" ht="14.25" customHeight="1">
      <c r="A544" s="244"/>
      <c r="B544" s="244"/>
      <c r="C544" s="244"/>
      <c r="D544" s="244"/>
      <c r="E544" s="244"/>
      <c r="F544" s="244"/>
      <c r="G544" s="244"/>
      <c r="H544" s="244"/>
      <c r="I544" s="244"/>
      <c r="J544" s="244"/>
      <c r="K544" s="244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</row>
    <row r="545" ht="14.25" customHeight="1">
      <c r="A545" s="244"/>
      <c r="B545" s="244"/>
      <c r="C545" s="244"/>
      <c r="D545" s="244"/>
      <c r="E545" s="244"/>
      <c r="F545" s="244"/>
      <c r="G545" s="244"/>
      <c r="H545" s="244"/>
      <c r="I545" s="244"/>
      <c r="J545" s="244"/>
      <c r="K545" s="244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</row>
    <row r="546" ht="14.25" customHeight="1">
      <c r="A546" s="244"/>
      <c r="B546" s="244"/>
      <c r="C546" s="244"/>
      <c r="D546" s="244"/>
      <c r="E546" s="244"/>
      <c r="F546" s="244"/>
      <c r="G546" s="244"/>
      <c r="H546" s="244"/>
      <c r="I546" s="244"/>
      <c r="J546" s="244"/>
      <c r="K546" s="244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</row>
    <row r="547" ht="14.25" customHeight="1">
      <c r="A547" s="244"/>
      <c r="B547" s="244"/>
      <c r="C547" s="244"/>
      <c r="D547" s="244"/>
      <c r="E547" s="244"/>
      <c r="F547" s="244"/>
      <c r="G547" s="244"/>
      <c r="H547" s="244"/>
      <c r="I547" s="244"/>
      <c r="J547" s="244"/>
      <c r="K547" s="244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</row>
    <row r="548" ht="14.25" customHeight="1">
      <c r="A548" s="244"/>
      <c r="B548" s="244"/>
      <c r="C548" s="244"/>
      <c r="D548" s="244"/>
      <c r="E548" s="244"/>
      <c r="F548" s="244"/>
      <c r="G548" s="244"/>
      <c r="H548" s="244"/>
      <c r="I548" s="244"/>
      <c r="J548" s="244"/>
      <c r="K548" s="244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</row>
    <row r="549" ht="14.25" customHeight="1">
      <c r="A549" s="244"/>
      <c r="B549" s="244"/>
      <c r="C549" s="244"/>
      <c r="D549" s="244"/>
      <c r="E549" s="244"/>
      <c r="F549" s="244"/>
      <c r="G549" s="244"/>
      <c r="H549" s="244"/>
      <c r="I549" s="244"/>
      <c r="J549" s="244"/>
      <c r="K549" s="244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</row>
    <row r="550" ht="14.25" customHeight="1">
      <c r="A550" s="244"/>
      <c r="B550" s="244"/>
      <c r="C550" s="244"/>
      <c r="D550" s="244"/>
      <c r="E550" s="244"/>
      <c r="F550" s="244"/>
      <c r="G550" s="244"/>
      <c r="H550" s="244"/>
      <c r="I550" s="244"/>
      <c r="J550" s="244"/>
      <c r="K550" s="244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</row>
    <row r="551" ht="14.25" customHeight="1">
      <c r="A551" s="244"/>
      <c r="B551" s="244"/>
      <c r="C551" s="244"/>
      <c r="D551" s="244"/>
      <c r="E551" s="244"/>
      <c r="F551" s="244"/>
      <c r="G551" s="244"/>
      <c r="H551" s="244"/>
      <c r="I551" s="244"/>
      <c r="J551" s="244"/>
      <c r="K551" s="244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</row>
    <row r="552" ht="14.25" customHeight="1">
      <c r="A552" s="244"/>
      <c r="B552" s="244"/>
      <c r="C552" s="244"/>
      <c r="D552" s="244"/>
      <c r="E552" s="244"/>
      <c r="F552" s="244"/>
      <c r="G552" s="244"/>
      <c r="H552" s="244"/>
      <c r="I552" s="244"/>
      <c r="J552" s="244"/>
      <c r="K552" s="244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</row>
    <row r="553" ht="14.25" customHeight="1">
      <c r="A553" s="244"/>
      <c r="B553" s="244"/>
      <c r="C553" s="244"/>
      <c r="D553" s="244"/>
      <c r="E553" s="244"/>
      <c r="F553" s="244"/>
      <c r="G553" s="244"/>
      <c r="H553" s="244"/>
      <c r="I553" s="244"/>
      <c r="J553" s="244"/>
      <c r="K553" s="244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</row>
    <row r="554" ht="14.25" customHeight="1">
      <c r="A554" s="244"/>
      <c r="B554" s="244"/>
      <c r="C554" s="244"/>
      <c r="D554" s="244"/>
      <c r="E554" s="244"/>
      <c r="F554" s="244"/>
      <c r="G554" s="244"/>
      <c r="H554" s="244"/>
      <c r="I554" s="244"/>
      <c r="J554" s="244"/>
      <c r="K554" s="244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</row>
    <row r="555" ht="14.25" customHeight="1">
      <c r="A555" s="244"/>
      <c r="B555" s="244"/>
      <c r="C555" s="244"/>
      <c r="D555" s="244"/>
      <c r="E555" s="244"/>
      <c r="F555" s="244"/>
      <c r="G555" s="244"/>
      <c r="H555" s="244"/>
      <c r="I555" s="244"/>
      <c r="J555" s="244"/>
      <c r="K555" s="244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</row>
    <row r="556" ht="14.25" customHeight="1">
      <c r="A556" s="244"/>
      <c r="B556" s="244"/>
      <c r="C556" s="244"/>
      <c r="D556" s="244"/>
      <c r="E556" s="244"/>
      <c r="F556" s="244"/>
      <c r="G556" s="244"/>
      <c r="H556" s="244"/>
      <c r="I556" s="244"/>
      <c r="J556" s="244"/>
      <c r="K556" s="244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</row>
    <row r="557" ht="14.25" customHeight="1">
      <c r="A557" s="244"/>
      <c r="B557" s="244"/>
      <c r="C557" s="244"/>
      <c r="D557" s="244"/>
      <c r="E557" s="244"/>
      <c r="F557" s="244"/>
      <c r="G557" s="244"/>
      <c r="H557" s="244"/>
      <c r="I557" s="244"/>
      <c r="J557" s="244"/>
      <c r="K557" s="244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</row>
    <row r="558" ht="14.25" customHeight="1">
      <c r="A558" s="244"/>
      <c r="B558" s="244"/>
      <c r="C558" s="244"/>
      <c r="D558" s="244"/>
      <c r="E558" s="244"/>
      <c r="F558" s="244"/>
      <c r="G558" s="244"/>
      <c r="H558" s="244"/>
      <c r="I558" s="244"/>
      <c r="J558" s="244"/>
      <c r="K558" s="244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</row>
    <row r="559" ht="14.25" customHeight="1">
      <c r="A559" s="244"/>
      <c r="B559" s="244"/>
      <c r="C559" s="244"/>
      <c r="D559" s="244"/>
      <c r="E559" s="244"/>
      <c r="F559" s="244"/>
      <c r="G559" s="244"/>
      <c r="H559" s="244"/>
      <c r="I559" s="244"/>
      <c r="J559" s="244"/>
      <c r="K559" s="244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</row>
    <row r="560" ht="14.25" customHeight="1">
      <c r="A560" s="244"/>
      <c r="B560" s="244"/>
      <c r="C560" s="244"/>
      <c r="D560" s="244"/>
      <c r="E560" s="244"/>
      <c r="F560" s="244"/>
      <c r="G560" s="244"/>
      <c r="H560" s="244"/>
      <c r="I560" s="244"/>
      <c r="J560" s="244"/>
      <c r="K560" s="244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</row>
    <row r="561" ht="14.25" customHeight="1">
      <c r="A561" s="244"/>
      <c r="B561" s="244"/>
      <c r="C561" s="244"/>
      <c r="D561" s="244"/>
      <c r="E561" s="244"/>
      <c r="F561" s="244"/>
      <c r="G561" s="244"/>
      <c r="H561" s="244"/>
      <c r="I561" s="244"/>
      <c r="J561" s="244"/>
      <c r="K561" s="244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</row>
    <row r="562" ht="14.25" customHeight="1">
      <c r="A562" s="244"/>
      <c r="B562" s="244"/>
      <c r="C562" s="244"/>
      <c r="D562" s="244"/>
      <c r="E562" s="244"/>
      <c r="F562" s="244"/>
      <c r="G562" s="244"/>
      <c r="H562" s="244"/>
      <c r="I562" s="244"/>
      <c r="J562" s="244"/>
      <c r="K562" s="244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</row>
    <row r="563" ht="14.25" customHeight="1">
      <c r="A563" s="244"/>
      <c r="B563" s="244"/>
      <c r="C563" s="244"/>
      <c r="D563" s="244"/>
      <c r="E563" s="244"/>
      <c r="F563" s="244"/>
      <c r="G563" s="244"/>
      <c r="H563" s="244"/>
      <c r="I563" s="244"/>
      <c r="J563" s="244"/>
      <c r="K563" s="244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</row>
    <row r="564" ht="14.25" customHeight="1">
      <c r="A564" s="244"/>
      <c r="B564" s="244"/>
      <c r="C564" s="244"/>
      <c r="D564" s="244"/>
      <c r="E564" s="244"/>
      <c r="F564" s="244"/>
      <c r="G564" s="244"/>
      <c r="H564" s="244"/>
      <c r="I564" s="244"/>
      <c r="J564" s="244"/>
      <c r="K564" s="244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</row>
    <row r="565" ht="14.25" customHeight="1">
      <c r="A565" s="244"/>
      <c r="B565" s="244"/>
      <c r="C565" s="244"/>
      <c r="D565" s="244"/>
      <c r="E565" s="244"/>
      <c r="F565" s="244"/>
      <c r="G565" s="244"/>
      <c r="H565" s="244"/>
      <c r="I565" s="244"/>
      <c r="J565" s="244"/>
      <c r="K565" s="244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</row>
    <row r="566" ht="14.25" customHeight="1">
      <c r="A566" s="244"/>
      <c r="B566" s="244"/>
      <c r="C566" s="244"/>
      <c r="D566" s="244"/>
      <c r="E566" s="244"/>
      <c r="F566" s="244"/>
      <c r="G566" s="244"/>
      <c r="H566" s="244"/>
      <c r="I566" s="244"/>
      <c r="J566" s="244"/>
      <c r="K566" s="244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</row>
    <row r="567" ht="14.25" customHeight="1">
      <c r="A567" s="244"/>
      <c r="B567" s="244"/>
      <c r="C567" s="244"/>
      <c r="D567" s="244"/>
      <c r="E567" s="244"/>
      <c r="F567" s="244"/>
      <c r="G567" s="244"/>
      <c r="H567" s="244"/>
      <c r="I567" s="244"/>
      <c r="J567" s="244"/>
      <c r="K567" s="244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</row>
    <row r="568" ht="14.25" customHeight="1">
      <c r="A568" s="244"/>
      <c r="B568" s="244"/>
      <c r="C568" s="244"/>
      <c r="D568" s="244"/>
      <c r="E568" s="244"/>
      <c r="F568" s="244"/>
      <c r="G568" s="244"/>
      <c r="H568" s="244"/>
      <c r="I568" s="244"/>
      <c r="J568" s="244"/>
      <c r="K568" s="244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</row>
    <row r="569" ht="14.25" customHeight="1">
      <c r="A569" s="244"/>
      <c r="B569" s="244"/>
      <c r="C569" s="244"/>
      <c r="D569" s="244"/>
      <c r="E569" s="244"/>
      <c r="F569" s="244"/>
      <c r="G569" s="244"/>
      <c r="H569" s="244"/>
      <c r="I569" s="244"/>
      <c r="J569" s="244"/>
      <c r="K569" s="244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</row>
    <row r="570" ht="14.25" customHeight="1">
      <c r="A570" s="244"/>
      <c r="B570" s="244"/>
      <c r="C570" s="244"/>
      <c r="D570" s="244"/>
      <c r="E570" s="244"/>
      <c r="F570" s="244"/>
      <c r="G570" s="244"/>
      <c r="H570" s="244"/>
      <c r="I570" s="244"/>
      <c r="J570" s="244"/>
      <c r="K570" s="244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</row>
    <row r="571" ht="14.25" customHeight="1">
      <c r="A571" s="244"/>
      <c r="B571" s="244"/>
      <c r="C571" s="244"/>
      <c r="D571" s="244"/>
      <c r="E571" s="244"/>
      <c r="F571" s="244"/>
      <c r="G571" s="244"/>
      <c r="H571" s="244"/>
      <c r="I571" s="244"/>
      <c r="J571" s="244"/>
      <c r="K571" s="244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</row>
    <row r="572" ht="14.25" customHeight="1">
      <c r="A572" s="244"/>
      <c r="B572" s="244"/>
      <c r="C572" s="244"/>
      <c r="D572" s="244"/>
      <c r="E572" s="244"/>
      <c r="F572" s="244"/>
      <c r="G572" s="244"/>
      <c r="H572" s="244"/>
      <c r="I572" s="244"/>
      <c r="J572" s="244"/>
      <c r="K572" s="244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</row>
    <row r="573" ht="14.25" customHeight="1">
      <c r="A573" s="244"/>
      <c r="B573" s="244"/>
      <c r="C573" s="244"/>
      <c r="D573" s="244"/>
      <c r="E573" s="244"/>
      <c r="F573" s="244"/>
      <c r="G573" s="244"/>
      <c r="H573" s="244"/>
      <c r="I573" s="244"/>
      <c r="J573" s="244"/>
      <c r="K573" s="244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</row>
    <row r="574" ht="14.25" customHeight="1">
      <c r="A574" s="244"/>
      <c r="B574" s="244"/>
      <c r="C574" s="244"/>
      <c r="D574" s="244"/>
      <c r="E574" s="244"/>
      <c r="F574" s="244"/>
      <c r="G574" s="244"/>
      <c r="H574" s="244"/>
      <c r="I574" s="244"/>
      <c r="J574" s="244"/>
      <c r="K574" s="244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</row>
    <row r="575" ht="14.25" customHeight="1">
      <c r="A575" s="244"/>
      <c r="B575" s="244"/>
      <c r="C575" s="244"/>
      <c r="D575" s="244"/>
      <c r="E575" s="244"/>
      <c r="F575" s="244"/>
      <c r="G575" s="244"/>
      <c r="H575" s="244"/>
      <c r="I575" s="244"/>
      <c r="J575" s="244"/>
      <c r="K575" s="244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</row>
    <row r="576" ht="14.25" customHeight="1">
      <c r="A576" s="244"/>
      <c r="B576" s="244"/>
      <c r="C576" s="244"/>
      <c r="D576" s="244"/>
      <c r="E576" s="244"/>
      <c r="F576" s="244"/>
      <c r="G576" s="244"/>
      <c r="H576" s="244"/>
      <c r="I576" s="244"/>
      <c r="J576" s="244"/>
      <c r="K576" s="244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</row>
    <row r="577" ht="14.25" customHeight="1">
      <c r="A577" s="244"/>
      <c r="B577" s="244"/>
      <c r="C577" s="244"/>
      <c r="D577" s="244"/>
      <c r="E577" s="244"/>
      <c r="F577" s="244"/>
      <c r="G577" s="244"/>
      <c r="H577" s="244"/>
      <c r="I577" s="244"/>
      <c r="J577" s="244"/>
      <c r="K577" s="244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</row>
    <row r="578" ht="14.25" customHeight="1">
      <c r="A578" s="244"/>
      <c r="B578" s="244"/>
      <c r="C578" s="244"/>
      <c r="D578" s="244"/>
      <c r="E578" s="244"/>
      <c r="F578" s="244"/>
      <c r="G578" s="244"/>
      <c r="H578" s="244"/>
      <c r="I578" s="244"/>
      <c r="J578" s="244"/>
      <c r="K578" s="244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</row>
    <row r="579" ht="14.25" customHeight="1">
      <c r="A579" s="244"/>
      <c r="B579" s="244"/>
      <c r="C579" s="244"/>
      <c r="D579" s="244"/>
      <c r="E579" s="244"/>
      <c r="F579" s="244"/>
      <c r="G579" s="244"/>
      <c r="H579" s="244"/>
      <c r="I579" s="244"/>
      <c r="J579" s="244"/>
      <c r="K579" s="244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</row>
    <row r="580" ht="14.25" customHeight="1">
      <c r="A580" s="244"/>
      <c r="B580" s="244"/>
      <c r="C580" s="244"/>
      <c r="D580" s="244"/>
      <c r="E580" s="244"/>
      <c r="F580" s="244"/>
      <c r="G580" s="244"/>
      <c r="H580" s="244"/>
      <c r="I580" s="244"/>
      <c r="J580" s="244"/>
      <c r="K580" s="244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</row>
    <row r="581" ht="14.25" customHeight="1">
      <c r="A581" s="244"/>
      <c r="B581" s="244"/>
      <c r="C581" s="244"/>
      <c r="D581" s="244"/>
      <c r="E581" s="244"/>
      <c r="F581" s="244"/>
      <c r="G581" s="244"/>
      <c r="H581" s="244"/>
      <c r="I581" s="244"/>
      <c r="J581" s="244"/>
      <c r="K581" s="244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</row>
    <row r="582" ht="14.25" customHeight="1">
      <c r="A582" s="244"/>
      <c r="B582" s="244"/>
      <c r="C582" s="244"/>
      <c r="D582" s="244"/>
      <c r="E582" s="244"/>
      <c r="F582" s="244"/>
      <c r="G582" s="244"/>
      <c r="H582" s="244"/>
      <c r="I582" s="244"/>
      <c r="J582" s="244"/>
      <c r="K582" s="244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</row>
    <row r="583" ht="14.25" customHeight="1">
      <c r="A583" s="244"/>
      <c r="B583" s="244"/>
      <c r="C583" s="244"/>
      <c r="D583" s="244"/>
      <c r="E583" s="244"/>
      <c r="F583" s="244"/>
      <c r="G583" s="244"/>
      <c r="H583" s="244"/>
      <c r="I583" s="244"/>
      <c r="J583" s="244"/>
      <c r="K583" s="244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</row>
    <row r="584" ht="14.25" customHeight="1">
      <c r="A584" s="244"/>
      <c r="B584" s="244"/>
      <c r="C584" s="244"/>
      <c r="D584" s="244"/>
      <c r="E584" s="244"/>
      <c r="F584" s="244"/>
      <c r="G584" s="244"/>
      <c r="H584" s="244"/>
      <c r="I584" s="244"/>
      <c r="J584" s="244"/>
      <c r="K584" s="244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</row>
    <row r="585" ht="14.25" customHeight="1">
      <c r="A585" s="244"/>
      <c r="B585" s="244"/>
      <c r="C585" s="244"/>
      <c r="D585" s="244"/>
      <c r="E585" s="244"/>
      <c r="F585" s="244"/>
      <c r="G585" s="244"/>
      <c r="H585" s="244"/>
      <c r="I585" s="244"/>
      <c r="J585" s="244"/>
      <c r="K585" s="244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</row>
    <row r="586" ht="14.25" customHeight="1">
      <c r="A586" s="244"/>
      <c r="B586" s="244"/>
      <c r="C586" s="244"/>
      <c r="D586" s="244"/>
      <c r="E586" s="244"/>
      <c r="F586" s="244"/>
      <c r="G586" s="244"/>
      <c r="H586" s="244"/>
      <c r="I586" s="244"/>
      <c r="J586" s="244"/>
      <c r="K586" s="244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</row>
    <row r="587" ht="14.25" customHeight="1">
      <c r="A587" s="244"/>
      <c r="B587" s="244"/>
      <c r="C587" s="244"/>
      <c r="D587" s="244"/>
      <c r="E587" s="244"/>
      <c r="F587" s="244"/>
      <c r="G587" s="244"/>
      <c r="H587" s="244"/>
      <c r="I587" s="244"/>
      <c r="J587" s="244"/>
      <c r="K587" s="244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</row>
    <row r="588" ht="14.25" customHeight="1">
      <c r="A588" s="244"/>
      <c r="B588" s="244"/>
      <c r="C588" s="244"/>
      <c r="D588" s="244"/>
      <c r="E588" s="244"/>
      <c r="F588" s="244"/>
      <c r="G588" s="244"/>
      <c r="H588" s="244"/>
      <c r="I588" s="244"/>
      <c r="J588" s="244"/>
      <c r="K588" s="244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</row>
    <row r="589" ht="14.25" customHeight="1">
      <c r="A589" s="244"/>
      <c r="B589" s="244"/>
      <c r="C589" s="244"/>
      <c r="D589" s="244"/>
      <c r="E589" s="244"/>
      <c r="F589" s="244"/>
      <c r="G589" s="244"/>
      <c r="H589" s="244"/>
      <c r="I589" s="244"/>
      <c r="J589" s="244"/>
      <c r="K589" s="244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</row>
    <row r="590" ht="14.25" customHeight="1">
      <c r="A590" s="244"/>
      <c r="B590" s="244"/>
      <c r="C590" s="244"/>
      <c r="D590" s="244"/>
      <c r="E590" s="244"/>
      <c r="F590" s="244"/>
      <c r="G590" s="244"/>
      <c r="H590" s="244"/>
      <c r="I590" s="244"/>
      <c r="J590" s="244"/>
      <c r="K590" s="244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</row>
    <row r="591" ht="14.25" customHeight="1">
      <c r="A591" s="244"/>
      <c r="B591" s="244"/>
      <c r="C591" s="244"/>
      <c r="D591" s="244"/>
      <c r="E591" s="244"/>
      <c r="F591" s="244"/>
      <c r="G591" s="244"/>
      <c r="H591" s="244"/>
      <c r="I591" s="244"/>
      <c r="J591" s="244"/>
      <c r="K591" s="244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</row>
    <row r="592" ht="14.25" customHeight="1">
      <c r="A592" s="244"/>
      <c r="B592" s="244"/>
      <c r="C592" s="244"/>
      <c r="D592" s="244"/>
      <c r="E592" s="244"/>
      <c r="F592" s="244"/>
      <c r="G592" s="244"/>
      <c r="H592" s="244"/>
      <c r="I592" s="244"/>
      <c r="J592" s="244"/>
      <c r="K592" s="244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</row>
    <row r="593" ht="14.25" customHeight="1">
      <c r="A593" s="244"/>
      <c r="B593" s="244"/>
      <c r="C593" s="244"/>
      <c r="D593" s="244"/>
      <c r="E593" s="244"/>
      <c r="F593" s="244"/>
      <c r="G593" s="244"/>
      <c r="H593" s="244"/>
      <c r="I593" s="244"/>
      <c r="J593" s="244"/>
      <c r="K593" s="244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</row>
    <row r="594" ht="14.25" customHeight="1">
      <c r="A594" s="244"/>
      <c r="B594" s="244"/>
      <c r="C594" s="244"/>
      <c r="D594" s="244"/>
      <c r="E594" s="244"/>
      <c r="F594" s="244"/>
      <c r="G594" s="244"/>
      <c r="H594" s="244"/>
      <c r="I594" s="244"/>
      <c r="J594" s="244"/>
      <c r="K594" s="244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</row>
    <row r="595" ht="14.25" customHeight="1">
      <c r="A595" s="244"/>
      <c r="B595" s="244"/>
      <c r="C595" s="244"/>
      <c r="D595" s="244"/>
      <c r="E595" s="244"/>
      <c r="F595" s="244"/>
      <c r="G595" s="244"/>
      <c r="H595" s="244"/>
      <c r="I595" s="244"/>
      <c r="J595" s="244"/>
      <c r="K595" s="244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</row>
    <row r="596" ht="14.25" customHeight="1">
      <c r="A596" s="244"/>
      <c r="B596" s="244"/>
      <c r="C596" s="244"/>
      <c r="D596" s="244"/>
      <c r="E596" s="244"/>
      <c r="F596" s="244"/>
      <c r="G596" s="244"/>
      <c r="H596" s="244"/>
      <c r="I596" s="244"/>
      <c r="J596" s="244"/>
      <c r="K596" s="244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</row>
    <row r="597" ht="14.25" customHeight="1">
      <c r="A597" s="244"/>
      <c r="B597" s="244"/>
      <c r="C597" s="244"/>
      <c r="D597" s="244"/>
      <c r="E597" s="244"/>
      <c r="F597" s="244"/>
      <c r="G597" s="244"/>
      <c r="H597" s="244"/>
      <c r="I597" s="244"/>
      <c r="J597" s="244"/>
      <c r="K597" s="244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</row>
    <row r="598" ht="14.25" customHeight="1">
      <c r="A598" s="244"/>
      <c r="B598" s="244"/>
      <c r="C598" s="244"/>
      <c r="D598" s="244"/>
      <c r="E598" s="244"/>
      <c r="F598" s="244"/>
      <c r="G598" s="244"/>
      <c r="H598" s="244"/>
      <c r="I598" s="244"/>
      <c r="J598" s="244"/>
      <c r="K598" s="244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</row>
    <row r="599" ht="14.25" customHeight="1">
      <c r="A599" s="244"/>
      <c r="B599" s="244"/>
      <c r="C599" s="244"/>
      <c r="D599" s="244"/>
      <c r="E599" s="244"/>
      <c r="F599" s="244"/>
      <c r="G599" s="244"/>
      <c r="H599" s="244"/>
      <c r="I599" s="244"/>
      <c r="J599" s="244"/>
      <c r="K599" s="244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</row>
    <row r="600" ht="14.25" customHeight="1">
      <c r="A600" s="244"/>
      <c r="B600" s="244"/>
      <c r="C600" s="244"/>
      <c r="D600" s="244"/>
      <c r="E600" s="244"/>
      <c r="F600" s="244"/>
      <c r="G600" s="244"/>
      <c r="H600" s="244"/>
      <c r="I600" s="244"/>
      <c r="J600" s="244"/>
      <c r="K600" s="244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</row>
    <row r="601" ht="14.25" customHeight="1">
      <c r="A601" s="244"/>
      <c r="B601" s="244"/>
      <c r="C601" s="244"/>
      <c r="D601" s="244"/>
      <c r="E601" s="244"/>
      <c r="F601" s="244"/>
      <c r="G601" s="244"/>
      <c r="H601" s="244"/>
      <c r="I601" s="244"/>
      <c r="J601" s="244"/>
      <c r="K601" s="244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</row>
    <row r="602" ht="14.25" customHeight="1">
      <c r="A602" s="244"/>
      <c r="B602" s="244"/>
      <c r="C602" s="244"/>
      <c r="D602" s="244"/>
      <c r="E602" s="244"/>
      <c r="F602" s="244"/>
      <c r="G602" s="244"/>
      <c r="H602" s="244"/>
      <c r="I602" s="244"/>
      <c r="J602" s="244"/>
      <c r="K602" s="244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</row>
    <row r="603" ht="14.25" customHeight="1">
      <c r="A603" s="244"/>
      <c r="B603" s="244"/>
      <c r="C603" s="244"/>
      <c r="D603" s="244"/>
      <c r="E603" s="244"/>
      <c r="F603" s="244"/>
      <c r="G603" s="244"/>
      <c r="H603" s="244"/>
      <c r="I603" s="244"/>
      <c r="J603" s="244"/>
      <c r="K603" s="244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</row>
    <row r="604" ht="14.25" customHeight="1">
      <c r="A604" s="244"/>
      <c r="B604" s="244"/>
      <c r="C604" s="244"/>
      <c r="D604" s="244"/>
      <c r="E604" s="244"/>
      <c r="F604" s="244"/>
      <c r="G604" s="244"/>
      <c r="H604" s="244"/>
      <c r="I604" s="244"/>
      <c r="J604" s="244"/>
      <c r="K604" s="244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</row>
    <row r="605" ht="14.25" customHeight="1">
      <c r="A605" s="244"/>
      <c r="B605" s="244"/>
      <c r="C605" s="244"/>
      <c r="D605" s="244"/>
      <c r="E605" s="244"/>
      <c r="F605" s="244"/>
      <c r="G605" s="244"/>
      <c r="H605" s="244"/>
      <c r="I605" s="244"/>
      <c r="J605" s="244"/>
      <c r="K605" s="244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</row>
    <row r="606" ht="14.25" customHeight="1">
      <c r="A606" s="244"/>
      <c r="B606" s="244"/>
      <c r="C606" s="244"/>
      <c r="D606" s="244"/>
      <c r="E606" s="244"/>
      <c r="F606" s="244"/>
      <c r="G606" s="244"/>
      <c r="H606" s="244"/>
      <c r="I606" s="244"/>
      <c r="J606" s="244"/>
      <c r="K606" s="244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</row>
    <row r="607" ht="14.25" customHeight="1">
      <c r="A607" s="244"/>
      <c r="B607" s="244"/>
      <c r="C607" s="244"/>
      <c r="D607" s="244"/>
      <c r="E607" s="244"/>
      <c r="F607" s="244"/>
      <c r="G607" s="244"/>
      <c r="H607" s="244"/>
      <c r="I607" s="244"/>
      <c r="J607" s="244"/>
      <c r="K607" s="244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</row>
    <row r="608" ht="14.25" customHeight="1">
      <c r="A608" s="244"/>
      <c r="B608" s="244"/>
      <c r="C608" s="244"/>
      <c r="D608" s="244"/>
      <c r="E608" s="244"/>
      <c r="F608" s="244"/>
      <c r="G608" s="244"/>
      <c r="H608" s="244"/>
      <c r="I608" s="244"/>
      <c r="J608" s="244"/>
      <c r="K608" s="244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</row>
    <row r="609" ht="14.25" customHeight="1">
      <c r="A609" s="244"/>
      <c r="B609" s="244"/>
      <c r="C609" s="244"/>
      <c r="D609" s="244"/>
      <c r="E609" s="244"/>
      <c r="F609" s="244"/>
      <c r="G609" s="244"/>
      <c r="H609" s="244"/>
      <c r="I609" s="244"/>
      <c r="J609" s="244"/>
      <c r="K609" s="244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</row>
    <row r="610" ht="14.25" customHeight="1">
      <c r="A610" s="244"/>
      <c r="B610" s="244"/>
      <c r="C610" s="244"/>
      <c r="D610" s="244"/>
      <c r="E610" s="244"/>
      <c r="F610" s="244"/>
      <c r="G610" s="244"/>
      <c r="H610" s="244"/>
      <c r="I610" s="244"/>
      <c r="J610" s="244"/>
      <c r="K610" s="244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</row>
    <row r="611" ht="14.25" customHeight="1">
      <c r="A611" s="244"/>
      <c r="B611" s="244"/>
      <c r="C611" s="244"/>
      <c r="D611" s="244"/>
      <c r="E611" s="244"/>
      <c r="F611" s="244"/>
      <c r="G611" s="244"/>
      <c r="H611" s="244"/>
      <c r="I611" s="244"/>
      <c r="J611" s="244"/>
      <c r="K611" s="244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</row>
    <row r="612" ht="14.25" customHeight="1">
      <c r="A612" s="244"/>
      <c r="B612" s="244"/>
      <c r="C612" s="244"/>
      <c r="D612" s="244"/>
      <c r="E612" s="244"/>
      <c r="F612" s="244"/>
      <c r="G612" s="244"/>
      <c r="H612" s="244"/>
      <c r="I612" s="244"/>
      <c r="J612" s="244"/>
      <c r="K612" s="244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</row>
    <row r="613" ht="14.25" customHeight="1">
      <c r="A613" s="244"/>
      <c r="B613" s="244"/>
      <c r="C613" s="244"/>
      <c r="D613" s="244"/>
      <c r="E613" s="244"/>
      <c r="F613" s="244"/>
      <c r="G613" s="244"/>
      <c r="H613" s="244"/>
      <c r="I613" s="244"/>
      <c r="J613" s="244"/>
      <c r="K613" s="244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</row>
    <row r="614" ht="14.25" customHeight="1">
      <c r="A614" s="244"/>
      <c r="B614" s="244"/>
      <c r="C614" s="244"/>
      <c r="D614" s="244"/>
      <c r="E614" s="244"/>
      <c r="F614" s="244"/>
      <c r="G614" s="244"/>
      <c r="H614" s="244"/>
      <c r="I614" s="244"/>
      <c r="J614" s="244"/>
      <c r="K614" s="244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</row>
    <row r="615" ht="14.25" customHeight="1">
      <c r="A615" s="244"/>
      <c r="B615" s="244"/>
      <c r="C615" s="244"/>
      <c r="D615" s="244"/>
      <c r="E615" s="244"/>
      <c r="F615" s="244"/>
      <c r="G615" s="244"/>
      <c r="H615" s="244"/>
      <c r="I615" s="244"/>
      <c r="J615" s="244"/>
      <c r="K615" s="244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</row>
    <row r="616" ht="14.25" customHeight="1">
      <c r="A616" s="244"/>
      <c r="B616" s="244"/>
      <c r="C616" s="244"/>
      <c r="D616" s="244"/>
      <c r="E616" s="244"/>
      <c r="F616" s="244"/>
      <c r="G616" s="244"/>
      <c r="H616" s="244"/>
      <c r="I616" s="244"/>
      <c r="J616" s="244"/>
      <c r="K616" s="244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</row>
    <row r="617" ht="14.25" customHeight="1">
      <c r="A617" s="244"/>
      <c r="B617" s="244"/>
      <c r="C617" s="244"/>
      <c r="D617" s="244"/>
      <c r="E617" s="244"/>
      <c r="F617" s="244"/>
      <c r="G617" s="244"/>
      <c r="H617" s="244"/>
      <c r="I617" s="244"/>
      <c r="J617" s="244"/>
      <c r="K617" s="244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</row>
    <row r="618" ht="14.25" customHeight="1">
      <c r="A618" s="244"/>
      <c r="B618" s="244"/>
      <c r="C618" s="244"/>
      <c r="D618" s="244"/>
      <c r="E618" s="244"/>
      <c r="F618" s="244"/>
      <c r="G618" s="244"/>
      <c r="H618" s="244"/>
      <c r="I618" s="244"/>
      <c r="J618" s="244"/>
      <c r="K618" s="244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</row>
    <row r="619" ht="14.25" customHeight="1">
      <c r="A619" s="244"/>
      <c r="B619" s="244"/>
      <c r="C619" s="244"/>
      <c r="D619" s="244"/>
      <c r="E619" s="244"/>
      <c r="F619" s="244"/>
      <c r="G619" s="244"/>
      <c r="H619" s="244"/>
      <c r="I619" s="244"/>
      <c r="J619" s="244"/>
      <c r="K619" s="244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</row>
    <row r="620" ht="14.25" customHeight="1">
      <c r="A620" s="244"/>
      <c r="B620" s="244"/>
      <c r="C620" s="244"/>
      <c r="D620" s="244"/>
      <c r="E620" s="244"/>
      <c r="F620" s="244"/>
      <c r="G620" s="244"/>
      <c r="H620" s="244"/>
      <c r="I620" s="244"/>
      <c r="J620" s="244"/>
      <c r="K620" s="244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</row>
    <row r="621" ht="14.25" customHeight="1">
      <c r="A621" s="244"/>
      <c r="B621" s="244"/>
      <c r="C621" s="244"/>
      <c r="D621" s="244"/>
      <c r="E621" s="244"/>
      <c r="F621" s="244"/>
      <c r="G621" s="244"/>
      <c r="H621" s="244"/>
      <c r="I621" s="244"/>
      <c r="J621" s="244"/>
      <c r="K621" s="244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</row>
    <row r="622" ht="14.25" customHeight="1">
      <c r="A622" s="244"/>
      <c r="B622" s="244"/>
      <c r="C622" s="244"/>
      <c r="D622" s="244"/>
      <c r="E622" s="244"/>
      <c r="F622" s="244"/>
      <c r="G622" s="244"/>
      <c r="H622" s="244"/>
      <c r="I622" s="244"/>
      <c r="J622" s="244"/>
      <c r="K622" s="244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</row>
    <row r="623" ht="14.25" customHeight="1">
      <c r="A623" s="244"/>
      <c r="B623" s="244"/>
      <c r="C623" s="244"/>
      <c r="D623" s="244"/>
      <c r="E623" s="244"/>
      <c r="F623" s="244"/>
      <c r="G623" s="244"/>
      <c r="H623" s="244"/>
      <c r="I623" s="244"/>
      <c r="J623" s="244"/>
      <c r="K623" s="244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</row>
    <row r="624" ht="14.25" customHeight="1">
      <c r="A624" s="244"/>
      <c r="B624" s="244"/>
      <c r="C624" s="244"/>
      <c r="D624" s="244"/>
      <c r="E624" s="244"/>
      <c r="F624" s="244"/>
      <c r="G624" s="244"/>
      <c r="H624" s="244"/>
      <c r="I624" s="244"/>
      <c r="J624" s="244"/>
      <c r="K624" s="244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</row>
    <row r="625" ht="14.25" customHeight="1">
      <c r="A625" s="244"/>
      <c r="B625" s="244"/>
      <c r="C625" s="244"/>
      <c r="D625" s="244"/>
      <c r="E625" s="244"/>
      <c r="F625" s="244"/>
      <c r="G625" s="244"/>
      <c r="H625" s="244"/>
      <c r="I625" s="244"/>
      <c r="J625" s="244"/>
      <c r="K625" s="244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</row>
    <row r="626" ht="14.25" customHeight="1">
      <c r="A626" s="244"/>
      <c r="B626" s="244"/>
      <c r="C626" s="244"/>
      <c r="D626" s="244"/>
      <c r="E626" s="244"/>
      <c r="F626" s="244"/>
      <c r="G626" s="244"/>
      <c r="H626" s="244"/>
      <c r="I626" s="244"/>
      <c r="J626" s="244"/>
      <c r="K626" s="244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</row>
    <row r="627" ht="14.25" customHeight="1">
      <c r="A627" s="244"/>
      <c r="B627" s="244"/>
      <c r="C627" s="244"/>
      <c r="D627" s="244"/>
      <c r="E627" s="244"/>
      <c r="F627" s="244"/>
      <c r="G627" s="244"/>
      <c r="H627" s="244"/>
      <c r="I627" s="244"/>
      <c r="J627" s="244"/>
      <c r="K627" s="244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</row>
    <row r="628" ht="14.25" customHeight="1">
      <c r="A628" s="244"/>
      <c r="B628" s="244"/>
      <c r="C628" s="244"/>
      <c r="D628" s="244"/>
      <c r="E628" s="244"/>
      <c r="F628" s="244"/>
      <c r="G628" s="244"/>
      <c r="H628" s="244"/>
      <c r="I628" s="244"/>
      <c r="J628" s="244"/>
      <c r="K628" s="244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</row>
    <row r="629" ht="14.25" customHeight="1">
      <c r="A629" s="244"/>
      <c r="B629" s="244"/>
      <c r="C629" s="244"/>
      <c r="D629" s="244"/>
      <c r="E629" s="244"/>
      <c r="F629" s="244"/>
      <c r="G629" s="244"/>
      <c r="H629" s="244"/>
      <c r="I629" s="244"/>
      <c r="J629" s="244"/>
      <c r="K629" s="244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</row>
    <row r="630" ht="14.25" customHeight="1">
      <c r="A630" s="244"/>
      <c r="B630" s="244"/>
      <c r="C630" s="244"/>
      <c r="D630" s="244"/>
      <c r="E630" s="244"/>
      <c r="F630" s="244"/>
      <c r="G630" s="244"/>
      <c r="H630" s="244"/>
      <c r="I630" s="244"/>
      <c r="J630" s="244"/>
      <c r="K630" s="244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</row>
    <row r="631" ht="14.25" customHeight="1">
      <c r="A631" s="244"/>
      <c r="B631" s="244"/>
      <c r="C631" s="244"/>
      <c r="D631" s="244"/>
      <c r="E631" s="244"/>
      <c r="F631" s="244"/>
      <c r="G631" s="244"/>
      <c r="H631" s="244"/>
      <c r="I631" s="244"/>
      <c r="J631" s="244"/>
      <c r="K631" s="244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</row>
    <row r="632" ht="14.25" customHeight="1">
      <c r="A632" s="244"/>
      <c r="B632" s="244"/>
      <c r="C632" s="244"/>
      <c r="D632" s="244"/>
      <c r="E632" s="244"/>
      <c r="F632" s="244"/>
      <c r="G632" s="244"/>
      <c r="H632" s="244"/>
      <c r="I632" s="244"/>
      <c r="J632" s="244"/>
      <c r="K632" s="244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</row>
    <row r="633" ht="14.25" customHeight="1">
      <c r="A633" s="244"/>
      <c r="B633" s="244"/>
      <c r="C633" s="244"/>
      <c r="D633" s="244"/>
      <c r="E633" s="244"/>
      <c r="F633" s="244"/>
      <c r="G633" s="244"/>
      <c r="H633" s="244"/>
      <c r="I633" s="244"/>
      <c r="J633" s="244"/>
      <c r="K633" s="244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</row>
    <row r="634" ht="14.25" customHeight="1">
      <c r="A634" s="244"/>
      <c r="B634" s="244"/>
      <c r="C634" s="244"/>
      <c r="D634" s="244"/>
      <c r="E634" s="244"/>
      <c r="F634" s="244"/>
      <c r="G634" s="244"/>
      <c r="H634" s="244"/>
      <c r="I634" s="244"/>
      <c r="J634" s="244"/>
      <c r="K634" s="244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</row>
    <row r="635" ht="14.25" customHeight="1">
      <c r="A635" s="244"/>
      <c r="B635" s="244"/>
      <c r="C635" s="244"/>
      <c r="D635" s="244"/>
      <c r="E635" s="244"/>
      <c r="F635" s="244"/>
      <c r="G635" s="244"/>
      <c r="H635" s="244"/>
      <c r="I635" s="244"/>
      <c r="J635" s="244"/>
      <c r="K635" s="244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</row>
    <row r="636" ht="14.25" customHeight="1">
      <c r="A636" s="244"/>
      <c r="B636" s="244"/>
      <c r="C636" s="244"/>
      <c r="D636" s="244"/>
      <c r="E636" s="244"/>
      <c r="F636" s="244"/>
      <c r="G636" s="244"/>
      <c r="H636" s="244"/>
      <c r="I636" s="244"/>
      <c r="J636" s="244"/>
      <c r="K636" s="244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</row>
    <row r="637" ht="14.25" customHeight="1">
      <c r="A637" s="244"/>
      <c r="B637" s="244"/>
      <c r="C637" s="244"/>
      <c r="D637" s="244"/>
      <c r="E637" s="244"/>
      <c r="F637" s="244"/>
      <c r="G637" s="244"/>
      <c r="H637" s="244"/>
      <c r="I637" s="244"/>
      <c r="J637" s="244"/>
      <c r="K637" s="244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</row>
    <row r="638" ht="14.25" customHeight="1">
      <c r="A638" s="244"/>
      <c r="B638" s="244"/>
      <c r="C638" s="244"/>
      <c r="D638" s="244"/>
      <c r="E638" s="244"/>
      <c r="F638" s="244"/>
      <c r="G638" s="244"/>
      <c r="H638" s="244"/>
      <c r="I638" s="244"/>
      <c r="J638" s="244"/>
      <c r="K638" s="244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</row>
    <row r="639" ht="14.25" customHeight="1">
      <c r="A639" s="244"/>
      <c r="B639" s="244"/>
      <c r="C639" s="244"/>
      <c r="D639" s="244"/>
      <c r="E639" s="244"/>
      <c r="F639" s="244"/>
      <c r="G639" s="244"/>
      <c r="H639" s="244"/>
      <c r="I639" s="244"/>
      <c r="J639" s="244"/>
      <c r="K639" s="244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</row>
    <row r="640" ht="14.25" customHeight="1">
      <c r="A640" s="244"/>
      <c r="B640" s="244"/>
      <c r="C640" s="244"/>
      <c r="D640" s="244"/>
      <c r="E640" s="244"/>
      <c r="F640" s="244"/>
      <c r="G640" s="244"/>
      <c r="H640" s="244"/>
      <c r="I640" s="244"/>
      <c r="J640" s="244"/>
      <c r="K640" s="244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</row>
    <row r="641" ht="14.25" customHeight="1">
      <c r="A641" s="244"/>
      <c r="B641" s="244"/>
      <c r="C641" s="244"/>
      <c r="D641" s="244"/>
      <c r="E641" s="244"/>
      <c r="F641" s="244"/>
      <c r="G641" s="244"/>
      <c r="H641" s="244"/>
      <c r="I641" s="244"/>
      <c r="J641" s="244"/>
      <c r="K641" s="244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</row>
    <row r="642" ht="14.25" customHeight="1">
      <c r="A642" s="244"/>
      <c r="B642" s="244"/>
      <c r="C642" s="244"/>
      <c r="D642" s="244"/>
      <c r="E642" s="244"/>
      <c r="F642" s="244"/>
      <c r="G642" s="244"/>
      <c r="H642" s="244"/>
      <c r="I642" s="244"/>
      <c r="J642" s="244"/>
      <c r="K642" s="244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</row>
    <row r="643" ht="14.25" customHeight="1">
      <c r="A643" s="244"/>
      <c r="B643" s="244"/>
      <c r="C643" s="244"/>
      <c r="D643" s="244"/>
      <c r="E643" s="244"/>
      <c r="F643" s="244"/>
      <c r="G643" s="244"/>
      <c r="H643" s="244"/>
      <c r="I643" s="244"/>
      <c r="J643" s="244"/>
      <c r="K643" s="244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</row>
    <row r="644" ht="14.25" customHeight="1">
      <c r="A644" s="244"/>
      <c r="B644" s="244"/>
      <c r="C644" s="244"/>
      <c r="D644" s="244"/>
      <c r="E644" s="244"/>
      <c r="F644" s="244"/>
      <c r="G644" s="244"/>
      <c r="H644" s="244"/>
      <c r="I644" s="244"/>
      <c r="J644" s="244"/>
      <c r="K644" s="244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</row>
    <row r="645" ht="14.25" customHeight="1">
      <c r="A645" s="244"/>
      <c r="B645" s="244"/>
      <c r="C645" s="244"/>
      <c r="D645" s="244"/>
      <c r="E645" s="244"/>
      <c r="F645" s="244"/>
      <c r="G645" s="244"/>
      <c r="H645" s="244"/>
      <c r="I645" s="244"/>
      <c r="J645" s="244"/>
      <c r="K645" s="244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</row>
    <row r="646" ht="14.25" customHeight="1">
      <c r="A646" s="244"/>
      <c r="B646" s="244"/>
      <c r="C646" s="244"/>
      <c r="D646" s="244"/>
      <c r="E646" s="244"/>
      <c r="F646" s="244"/>
      <c r="G646" s="244"/>
      <c r="H646" s="244"/>
      <c r="I646" s="244"/>
      <c r="J646" s="244"/>
      <c r="K646" s="244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</row>
    <row r="647" ht="14.25" customHeight="1">
      <c r="A647" s="244"/>
      <c r="B647" s="244"/>
      <c r="C647" s="244"/>
      <c r="D647" s="244"/>
      <c r="E647" s="244"/>
      <c r="F647" s="244"/>
      <c r="G647" s="244"/>
      <c r="H647" s="244"/>
      <c r="I647" s="244"/>
      <c r="J647" s="244"/>
      <c r="K647" s="244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</row>
    <row r="648" ht="14.25" customHeight="1">
      <c r="A648" s="244"/>
      <c r="B648" s="244"/>
      <c r="C648" s="244"/>
      <c r="D648" s="244"/>
      <c r="E648" s="244"/>
      <c r="F648" s="244"/>
      <c r="G648" s="244"/>
      <c r="H648" s="244"/>
      <c r="I648" s="244"/>
      <c r="J648" s="244"/>
      <c r="K648" s="244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</row>
    <row r="649" ht="14.25" customHeight="1">
      <c r="A649" s="244"/>
      <c r="B649" s="244"/>
      <c r="C649" s="244"/>
      <c r="D649" s="244"/>
      <c r="E649" s="244"/>
      <c r="F649" s="244"/>
      <c r="G649" s="244"/>
      <c r="H649" s="244"/>
      <c r="I649" s="244"/>
      <c r="J649" s="244"/>
      <c r="K649" s="244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</row>
    <row r="650" ht="14.25" customHeight="1">
      <c r="A650" s="244"/>
      <c r="B650" s="244"/>
      <c r="C650" s="244"/>
      <c r="D650" s="244"/>
      <c r="E650" s="244"/>
      <c r="F650" s="244"/>
      <c r="G650" s="244"/>
      <c r="H650" s="244"/>
      <c r="I650" s="244"/>
      <c r="J650" s="244"/>
      <c r="K650" s="244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</row>
    <row r="651" ht="14.25" customHeight="1">
      <c r="A651" s="244"/>
      <c r="B651" s="244"/>
      <c r="C651" s="244"/>
      <c r="D651" s="244"/>
      <c r="E651" s="244"/>
      <c r="F651" s="244"/>
      <c r="G651" s="244"/>
      <c r="H651" s="244"/>
      <c r="I651" s="244"/>
      <c r="J651" s="244"/>
      <c r="K651" s="244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</row>
    <row r="652" ht="14.25" customHeight="1">
      <c r="A652" s="244"/>
      <c r="B652" s="244"/>
      <c r="C652" s="244"/>
      <c r="D652" s="244"/>
      <c r="E652" s="244"/>
      <c r="F652" s="244"/>
      <c r="G652" s="244"/>
      <c r="H652" s="244"/>
      <c r="I652" s="244"/>
      <c r="J652" s="244"/>
      <c r="K652" s="244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</row>
    <row r="653" ht="14.25" customHeight="1">
      <c r="A653" s="244"/>
      <c r="B653" s="244"/>
      <c r="C653" s="244"/>
      <c r="D653" s="244"/>
      <c r="E653" s="244"/>
      <c r="F653" s="244"/>
      <c r="G653" s="244"/>
      <c r="H653" s="244"/>
      <c r="I653" s="244"/>
      <c r="J653" s="244"/>
      <c r="K653" s="244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</row>
    <row r="654" ht="14.25" customHeight="1">
      <c r="A654" s="244"/>
      <c r="B654" s="244"/>
      <c r="C654" s="244"/>
      <c r="D654" s="244"/>
      <c r="E654" s="244"/>
      <c r="F654" s="244"/>
      <c r="G654" s="244"/>
      <c r="H654" s="244"/>
      <c r="I654" s="244"/>
      <c r="J654" s="244"/>
      <c r="K654" s="244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</row>
    <row r="655" ht="14.25" customHeight="1">
      <c r="A655" s="244"/>
      <c r="B655" s="244"/>
      <c r="C655" s="244"/>
      <c r="D655" s="244"/>
      <c r="E655" s="244"/>
      <c r="F655" s="244"/>
      <c r="G655" s="244"/>
      <c r="H655" s="244"/>
      <c r="I655" s="244"/>
      <c r="J655" s="244"/>
      <c r="K655" s="244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</row>
    <row r="656" ht="14.25" customHeight="1">
      <c r="A656" s="244"/>
      <c r="B656" s="244"/>
      <c r="C656" s="244"/>
      <c r="D656" s="244"/>
      <c r="E656" s="244"/>
      <c r="F656" s="244"/>
      <c r="G656" s="244"/>
      <c r="H656" s="244"/>
      <c r="I656" s="244"/>
      <c r="J656" s="244"/>
      <c r="K656" s="244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</row>
    <row r="657" ht="14.25" customHeight="1">
      <c r="A657" s="244"/>
      <c r="B657" s="244"/>
      <c r="C657" s="244"/>
      <c r="D657" s="244"/>
      <c r="E657" s="244"/>
      <c r="F657" s="244"/>
      <c r="G657" s="244"/>
      <c r="H657" s="244"/>
      <c r="I657" s="244"/>
      <c r="J657" s="244"/>
      <c r="K657" s="244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</row>
    <row r="658" ht="14.25" customHeight="1">
      <c r="A658" s="244"/>
      <c r="B658" s="244"/>
      <c r="C658" s="244"/>
      <c r="D658" s="244"/>
      <c r="E658" s="244"/>
      <c r="F658" s="244"/>
      <c r="G658" s="244"/>
      <c r="H658" s="244"/>
      <c r="I658" s="244"/>
      <c r="J658" s="244"/>
      <c r="K658" s="244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</row>
    <row r="659" ht="14.25" customHeight="1">
      <c r="A659" s="244"/>
      <c r="B659" s="244"/>
      <c r="C659" s="244"/>
      <c r="D659" s="244"/>
      <c r="E659" s="244"/>
      <c r="F659" s="244"/>
      <c r="G659" s="244"/>
      <c r="H659" s="244"/>
      <c r="I659" s="244"/>
      <c r="J659" s="244"/>
      <c r="K659" s="244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</row>
    <row r="660" ht="14.25" customHeight="1">
      <c r="A660" s="244"/>
      <c r="B660" s="244"/>
      <c r="C660" s="244"/>
      <c r="D660" s="244"/>
      <c r="E660" s="244"/>
      <c r="F660" s="244"/>
      <c r="G660" s="244"/>
      <c r="H660" s="244"/>
      <c r="I660" s="244"/>
      <c r="J660" s="244"/>
      <c r="K660" s="244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</row>
    <row r="661" ht="14.25" customHeight="1">
      <c r="A661" s="244"/>
      <c r="B661" s="244"/>
      <c r="C661" s="244"/>
      <c r="D661" s="244"/>
      <c r="E661" s="244"/>
      <c r="F661" s="244"/>
      <c r="G661" s="244"/>
      <c r="H661" s="244"/>
      <c r="I661" s="244"/>
      <c r="J661" s="244"/>
      <c r="K661" s="244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</row>
    <row r="662" ht="14.25" customHeight="1">
      <c r="A662" s="244"/>
      <c r="B662" s="244"/>
      <c r="C662" s="244"/>
      <c r="D662" s="244"/>
      <c r="E662" s="244"/>
      <c r="F662" s="244"/>
      <c r="G662" s="244"/>
      <c r="H662" s="244"/>
      <c r="I662" s="244"/>
      <c r="J662" s="244"/>
      <c r="K662" s="244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</row>
    <row r="663" ht="14.25" customHeight="1">
      <c r="A663" s="244"/>
      <c r="B663" s="244"/>
      <c r="C663" s="244"/>
      <c r="D663" s="244"/>
      <c r="E663" s="244"/>
      <c r="F663" s="244"/>
      <c r="G663" s="244"/>
      <c r="H663" s="244"/>
      <c r="I663" s="244"/>
      <c r="J663" s="244"/>
      <c r="K663" s="244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</row>
    <row r="664" ht="14.25" customHeight="1">
      <c r="A664" s="244"/>
      <c r="B664" s="244"/>
      <c r="C664" s="244"/>
      <c r="D664" s="244"/>
      <c r="E664" s="244"/>
      <c r="F664" s="244"/>
      <c r="G664" s="244"/>
      <c r="H664" s="244"/>
      <c r="I664" s="244"/>
      <c r="J664" s="244"/>
      <c r="K664" s="244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</row>
    <row r="665" ht="14.25" customHeight="1">
      <c r="A665" s="244"/>
      <c r="B665" s="244"/>
      <c r="C665" s="244"/>
      <c r="D665" s="244"/>
      <c r="E665" s="244"/>
      <c r="F665" s="244"/>
      <c r="G665" s="244"/>
      <c r="H665" s="244"/>
      <c r="I665" s="244"/>
      <c r="J665" s="244"/>
      <c r="K665" s="244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</row>
    <row r="666" ht="14.25" customHeight="1">
      <c r="A666" s="244"/>
      <c r="B666" s="244"/>
      <c r="C666" s="244"/>
      <c r="D666" s="244"/>
      <c r="E666" s="244"/>
      <c r="F666" s="244"/>
      <c r="G666" s="244"/>
      <c r="H666" s="244"/>
      <c r="I666" s="244"/>
      <c r="J666" s="244"/>
      <c r="K666" s="244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</row>
    <row r="667" ht="14.25" customHeight="1">
      <c r="A667" s="244"/>
      <c r="B667" s="244"/>
      <c r="C667" s="244"/>
      <c r="D667" s="244"/>
      <c r="E667" s="244"/>
      <c r="F667" s="244"/>
      <c r="G667" s="244"/>
      <c r="H667" s="244"/>
      <c r="I667" s="244"/>
      <c r="J667" s="244"/>
      <c r="K667" s="244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</row>
    <row r="668" ht="14.25" customHeight="1">
      <c r="A668" s="244"/>
      <c r="B668" s="244"/>
      <c r="C668" s="244"/>
      <c r="D668" s="244"/>
      <c r="E668" s="244"/>
      <c r="F668" s="244"/>
      <c r="G668" s="244"/>
      <c r="H668" s="244"/>
      <c r="I668" s="244"/>
      <c r="J668" s="244"/>
      <c r="K668" s="244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</row>
    <row r="669" ht="14.25" customHeight="1">
      <c r="A669" s="244"/>
      <c r="B669" s="244"/>
      <c r="C669" s="244"/>
      <c r="D669" s="244"/>
      <c r="E669" s="244"/>
      <c r="F669" s="244"/>
      <c r="G669" s="244"/>
      <c r="H669" s="244"/>
      <c r="I669" s="244"/>
      <c r="J669" s="244"/>
      <c r="K669" s="244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</row>
    <row r="670" ht="14.25" customHeight="1">
      <c r="A670" s="244"/>
      <c r="B670" s="244"/>
      <c r="C670" s="244"/>
      <c r="D670" s="244"/>
      <c r="E670" s="244"/>
      <c r="F670" s="244"/>
      <c r="G670" s="244"/>
      <c r="H670" s="244"/>
      <c r="I670" s="244"/>
      <c r="J670" s="244"/>
      <c r="K670" s="244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</row>
    <row r="671" ht="14.25" customHeight="1">
      <c r="A671" s="244"/>
      <c r="B671" s="244"/>
      <c r="C671" s="244"/>
      <c r="D671" s="244"/>
      <c r="E671" s="244"/>
      <c r="F671" s="244"/>
      <c r="G671" s="244"/>
      <c r="H671" s="244"/>
      <c r="I671" s="244"/>
      <c r="J671" s="244"/>
      <c r="K671" s="244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</row>
    <row r="672" ht="14.25" customHeight="1">
      <c r="A672" s="244"/>
      <c r="B672" s="244"/>
      <c r="C672" s="244"/>
      <c r="D672" s="244"/>
      <c r="E672" s="244"/>
      <c r="F672" s="244"/>
      <c r="G672" s="244"/>
      <c r="H672" s="244"/>
      <c r="I672" s="244"/>
      <c r="J672" s="244"/>
      <c r="K672" s="244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</row>
    <row r="673" ht="14.25" customHeight="1">
      <c r="A673" s="244"/>
      <c r="B673" s="244"/>
      <c r="C673" s="244"/>
      <c r="D673" s="244"/>
      <c r="E673" s="244"/>
      <c r="F673" s="244"/>
      <c r="G673" s="244"/>
      <c r="H673" s="244"/>
      <c r="I673" s="244"/>
      <c r="J673" s="244"/>
      <c r="K673" s="244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</row>
    <row r="674" ht="14.25" customHeight="1">
      <c r="A674" s="244"/>
      <c r="B674" s="244"/>
      <c r="C674" s="244"/>
      <c r="D674" s="244"/>
      <c r="E674" s="244"/>
      <c r="F674" s="244"/>
      <c r="G674" s="244"/>
      <c r="H674" s="244"/>
      <c r="I674" s="244"/>
      <c r="J674" s="244"/>
      <c r="K674" s="244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</row>
    <row r="675" ht="14.25" customHeight="1">
      <c r="A675" s="244"/>
      <c r="B675" s="244"/>
      <c r="C675" s="244"/>
      <c r="D675" s="244"/>
      <c r="E675" s="244"/>
      <c r="F675" s="244"/>
      <c r="G675" s="244"/>
      <c r="H675" s="244"/>
      <c r="I675" s="244"/>
      <c r="J675" s="244"/>
      <c r="K675" s="244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</row>
    <row r="676" ht="14.25" customHeight="1">
      <c r="A676" s="244"/>
      <c r="B676" s="244"/>
      <c r="C676" s="244"/>
      <c r="D676" s="244"/>
      <c r="E676" s="244"/>
      <c r="F676" s="244"/>
      <c r="G676" s="244"/>
      <c r="H676" s="244"/>
      <c r="I676" s="244"/>
      <c r="J676" s="244"/>
      <c r="K676" s="244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</row>
    <row r="677" ht="14.25" customHeight="1">
      <c r="A677" s="244"/>
      <c r="B677" s="244"/>
      <c r="C677" s="244"/>
      <c r="D677" s="244"/>
      <c r="E677" s="244"/>
      <c r="F677" s="244"/>
      <c r="G677" s="244"/>
      <c r="H677" s="244"/>
      <c r="I677" s="244"/>
      <c r="J677" s="244"/>
      <c r="K677" s="244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</row>
    <row r="678" ht="14.25" customHeight="1">
      <c r="A678" s="244"/>
      <c r="B678" s="244"/>
      <c r="C678" s="244"/>
      <c r="D678" s="244"/>
      <c r="E678" s="244"/>
      <c r="F678" s="244"/>
      <c r="G678" s="244"/>
      <c r="H678" s="244"/>
      <c r="I678" s="244"/>
      <c r="J678" s="244"/>
      <c r="K678" s="244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</row>
    <row r="679" ht="14.25" customHeight="1">
      <c r="A679" s="244"/>
      <c r="B679" s="244"/>
      <c r="C679" s="244"/>
      <c r="D679" s="244"/>
      <c r="E679" s="244"/>
      <c r="F679" s="244"/>
      <c r="G679" s="244"/>
      <c r="H679" s="244"/>
      <c r="I679" s="244"/>
      <c r="J679" s="244"/>
      <c r="K679" s="244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</row>
    <row r="680" ht="14.25" customHeight="1">
      <c r="A680" s="244"/>
      <c r="B680" s="244"/>
      <c r="C680" s="244"/>
      <c r="D680" s="244"/>
      <c r="E680" s="244"/>
      <c r="F680" s="244"/>
      <c r="G680" s="244"/>
      <c r="H680" s="244"/>
      <c r="I680" s="244"/>
      <c r="J680" s="244"/>
      <c r="K680" s="244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</row>
    <row r="681" ht="14.25" customHeight="1">
      <c r="A681" s="244"/>
      <c r="B681" s="244"/>
      <c r="C681" s="244"/>
      <c r="D681" s="244"/>
      <c r="E681" s="244"/>
      <c r="F681" s="244"/>
      <c r="G681" s="244"/>
      <c r="H681" s="244"/>
      <c r="I681" s="244"/>
      <c r="J681" s="244"/>
      <c r="K681" s="244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</row>
    <row r="682" ht="14.25" customHeight="1">
      <c r="A682" s="244"/>
      <c r="B682" s="244"/>
      <c r="C682" s="244"/>
      <c r="D682" s="244"/>
      <c r="E682" s="244"/>
      <c r="F682" s="244"/>
      <c r="G682" s="244"/>
      <c r="H682" s="244"/>
      <c r="I682" s="244"/>
      <c r="J682" s="244"/>
      <c r="K682" s="244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</row>
    <row r="683" ht="14.25" customHeight="1">
      <c r="A683" s="244"/>
      <c r="B683" s="244"/>
      <c r="C683" s="244"/>
      <c r="D683" s="244"/>
      <c r="E683" s="244"/>
      <c r="F683" s="244"/>
      <c r="G683" s="244"/>
      <c r="H683" s="244"/>
      <c r="I683" s="244"/>
      <c r="J683" s="244"/>
      <c r="K683" s="244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</row>
    <row r="684" ht="14.25" customHeight="1">
      <c r="A684" s="244"/>
      <c r="B684" s="244"/>
      <c r="C684" s="244"/>
      <c r="D684" s="244"/>
      <c r="E684" s="244"/>
      <c r="F684" s="244"/>
      <c r="G684" s="244"/>
      <c r="H684" s="244"/>
      <c r="I684" s="244"/>
      <c r="J684" s="244"/>
      <c r="K684" s="244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</row>
    <row r="685" ht="14.25" customHeight="1">
      <c r="A685" s="244"/>
      <c r="B685" s="244"/>
      <c r="C685" s="244"/>
      <c r="D685" s="244"/>
      <c r="E685" s="244"/>
      <c r="F685" s="244"/>
      <c r="G685" s="244"/>
      <c r="H685" s="244"/>
      <c r="I685" s="244"/>
      <c r="J685" s="244"/>
      <c r="K685" s="244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</row>
    <row r="686" ht="14.25" customHeight="1">
      <c r="A686" s="244"/>
      <c r="B686" s="244"/>
      <c r="C686" s="244"/>
      <c r="D686" s="244"/>
      <c r="E686" s="244"/>
      <c r="F686" s="244"/>
      <c r="G686" s="244"/>
      <c r="H686" s="244"/>
      <c r="I686" s="244"/>
      <c r="J686" s="244"/>
      <c r="K686" s="244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</row>
    <row r="687" ht="14.25" customHeight="1">
      <c r="A687" s="244"/>
      <c r="B687" s="244"/>
      <c r="C687" s="244"/>
      <c r="D687" s="244"/>
      <c r="E687" s="244"/>
      <c r="F687" s="244"/>
      <c r="G687" s="244"/>
      <c r="H687" s="244"/>
      <c r="I687" s="244"/>
      <c r="J687" s="244"/>
      <c r="K687" s="244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</row>
    <row r="688" ht="14.25" customHeight="1">
      <c r="A688" s="244"/>
      <c r="B688" s="244"/>
      <c r="C688" s="244"/>
      <c r="D688" s="244"/>
      <c r="E688" s="244"/>
      <c r="F688" s="244"/>
      <c r="G688" s="244"/>
      <c r="H688" s="244"/>
      <c r="I688" s="244"/>
      <c r="J688" s="244"/>
      <c r="K688" s="244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</row>
    <row r="689" ht="14.25" customHeight="1">
      <c r="A689" s="244"/>
      <c r="B689" s="244"/>
      <c r="C689" s="244"/>
      <c r="D689" s="244"/>
      <c r="E689" s="244"/>
      <c r="F689" s="244"/>
      <c r="G689" s="244"/>
      <c r="H689" s="244"/>
      <c r="I689" s="244"/>
      <c r="J689" s="244"/>
      <c r="K689" s="244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</row>
    <row r="690" ht="14.25" customHeight="1">
      <c r="A690" s="244"/>
      <c r="B690" s="244"/>
      <c r="C690" s="244"/>
      <c r="D690" s="244"/>
      <c r="E690" s="244"/>
      <c r="F690" s="244"/>
      <c r="G690" s="244"/>
      <c r="H690" s="244"/>
      <c r="I690" s="244"/>
      <c r="J690" s="244"/>
      <c r="K690" s="244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</row>
    <row r="691" ht="14.25" customHeight="1">
      <c r="A691" s="244"/>
      <c r="B691" s="244"/>
      <c r="C691" s="244"/>
      <c r="D691" s="244"/>
      <c r="E691" s="244"/>
      <c r="F691" s="244"/>
      <c r="G691" s="244"/>
      <c r="H691" s="244"/>
      <c r="I691" s="244"/>
      <c r="J691" s="244"/>
      <c r="K691" s="244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</row>
    <row r="692" ht="14.25" customHeight="1">
      <c r="A692" s="244"/>
      <c r="B692" s="244"/>
      <c r="C692" s="244"/>
      <c r="D692" s="244"/>
      <c r="E692" s="244"/>
      <c r="F692" s="244"/>
      <c r="G692" s="244"/>
      <c r="H692" s="244"/>
      <c r="I692" s="244"/>
      <c r="J692" s="244"/>
      <c r="K692" s="244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</row>
    <row r="693" ht="14.25" customHeight="1">
      <c r="A693" s="244"/>
      <c r="B693" s="244"/>
      <c r="C693" s="244"/>
      <c r="D693" s="244"/>
      <c r="E693" s="244"/>
      <c r="F693" s="244"/>
      <c r="G693" s="244"/>
      <c r="H693" s="244"/>
      <c r="I693" s="244"/>
      <c r="J693" s="244"/>
      <c r="K693" s="244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</row>
    <row r="694" ht="14.25" customHeight="1">
      <c r="A694" s="244"/>
      <c r="B694" s="244"/>
      <c r="C694" s="244"/>
      <c r="D694" s="244"/>
      <c r="E694" s="244"/>
      <c r="F694" s="244"/>
      <c r="G694" s="244"/>
      <c r="H694" s="244"/>
      <c r="I694" s="244"/>
      <c r="J694" s="244"/>
      <c r="K694" s="244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</row>
    <row r="695" ht="14.25" customHeight="1">
      <c r="A695" s="244"/>
      <c r="B695" s="244"/>
      <c r="C695" s="244"/>
      <c r="D695" s="244"/>
      <c r="E695" s="244"/>
      <c r="F695" s="244"/>
      <c r="G695" s="244"/>
      <c r="H695" s="244"/>
      <c r="I695" s="244"/>
      <c r="J695" s="244"/>
      <c r="K695" s="244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</row>
    <row r="696" ht="14.25" customHeight="1">
      <c r="A696" s="244"/>
      <c r="B696" s="244"/>
      <c r="C696" s="244"/>
      <c r="D696" s="244"/>
      <c r="E696" s="244"/>
      <c r="F696" s="244"/>
      <c r="G696" s="244"/>
      <c r="H696" s="244"/>
      <c r="I696" s="244"/>
      <c r="J696" s="244"/>
      <c r="K696" s="244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</row>
    <row r="697" ht="14.25" customHeight="1">
      <c r="A697" s="244"/>
      <c r="B697" s="244"/>
      <c r="C697" s="244"/>
      <c r="D697" s="244"/>
      <c r="E697" s="244"/>
      <c r="F697" s="244"/>
      <c r="G697" s="244"/>
      <c r="H697" s="244"/>
      <c r="I697" s="244"/>
      <c r="J697" s="244"/>
      <c r="K697" s="244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</row>
    <row r="698" ht="14.25" customHeight="1">
      <c r="A698" s="244"/>
      <c r="B698" s="244"/>
      <c r="C698" s="244"/>
      <c r="D698" s="244"/>
      <c r="E698" s="244"/>
      <c r="F698" s="244"/>
      <c r="G698" s="244"/>
      <c r="H698" s="244"/>
      <c r="I698" s="244"/>
      <c r="J698" s="244"/>
      <c r="K698" s="244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</row>
    <row r="699" ht="14.25" customHeight="1">
      <c r="A699" s="244"/>
      <c r="B699" s="244"/>
      <c r="C699" s="244"/>
      <c r="D699" s="244"/>
      <c r="E699" s="244"/>
      <c r="F699" s="244"/>
      <c r="G699" s="244"/>
      <c r="H699" s="244"/>
      <c r="I699" s="244"/>
      <c r="J699" s="244"/>
      <c r="K699" s="244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</row>
    <row r="700" ht="14.25" customHeight="1">
      <c r="A700" s="244"/>
      <c r="B700" s="244"/>
      <c r="C700" s="244"/>
      <c r="D700" s="244"/>
      <c r="E700" s="244"/>
      <c r="F700" s="244"/>
      <c r="G700" s="244"/>
      <c r="H700" s="244"/>
      <c r="I700" s="244"/>
      <c r="J700" s="244"/>
      <c r="K700" s="244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</row>
    <row r="701" ht="14.25" customHeight="1">
      <c r="A701" s="244"/>
      <c r="B701" s="244"/>
      <c r="C701" s="244"/>
      <c r="D701" s="244"/>
      <c r="E701" s="244"/>
      <c r="F701" s="244"/>
      <c r="G701" s="244"/>
      <c r="H701" s="244"/>
      <c r="I701" s="244"/>
      <c r="J701" s="244"/>
      <c r="K701" s="244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</row>
    <row r="702" ht="14.25" customHeight="1">
      <c r="A702" s="244"/>
      <c r="B702" s="244"/>
      <c r="C702" s="244"/>
      <c r="D702" s="244"/>
      <c r="E702" s="244"/>
      <c r="F702" s="244"/>
      <c r="G702" s="244"/>
      <c r="H702" s="244"/>
      <c r="I702" s="244"/>
      <c r="J702" s="244"/>
      <c r="K702" s="244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</row>
    <row r="703" ht="14.25" customHeight="1">
      <c r="A703" s="244"/>
      <c r="B703" s="244"/>
      <c r="C703" s="244"/>
      <c r="D703" s="244"/>
      <c r="E703" s="244"/>
      <c r="F703" s="244"/>
      <c r="G703" s="244"/>
      <c r="H703" s="244"/>
      <c r="I703" s="244"/>
      <c r="J703" s="244"/>
      <c r="K703" s="244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</row>
    <row r="704" ht="14.25" customHeight="1">
      <c r="A704" s="244"/>
      <c r="B704" s="244"/>
      <c r="C704" s="244"/>
      <c r="D704" s="244"/>
      <c r="E704" s="244"/>
      <c r="F704" s="244"/>
      <c r="G704" s="244"/>
      <c r="H704" s="244"/>
      <c r="I704" s="244"/>
      <c r="J704" s="244"/>
      <c r="K704" s="244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</row>
    <row r="705" ht="14.25" customHeight="1">
      <c r="A705" s="244"/>
      <c r="B705" s="244"/>
      <c r="C705" s="244"/>
      <c r="D705" s="244"/>
      <c r="E705" s="244"/>
      <c r="F705" s="244"/>
      <c r="G705" s="244"/>
      <c r="H705" s="244"/>
      <c r="I705" s="244"/>
      <c r="J705" s="244"/>
      <c r="K705" s="244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</row>
    <row r="706" ht="14.25" customHeight="1">
      <c r="A706" s="244"/>
      <c r="B706" s="244"/>
      <c r="C706" s="244"/>
      <c r="D706" s="244"/>
      <c r="E706" s="244"/>
      <c r="F706" s="244"/>
      <c r="G706" s="244"/>
      <c r="H706" s="244"/>
      <c r="I706" s="244"/>
      <c r="J706" s="244"/>
      <c r="K706" s="244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</row>
    <row r="707" ht="14.25" customHeight="1">
      <c r="A707" s="244"/>
      <c r="B707" s="244"/>
      <c r="C707" s="244"/>
      <c r="D707" s="244"/>
      <c r="E707" s="244"/>
      <c r="F707" s="244"/>
      <c r="G707" s="244"/>
      <c r="H707" s="244"/>
      <c r="I707" s="244"/>
      <c r="J707" s="244"/>
      <c r="K707" s="244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</row>
    <row r="708" ht="14.25" customHeight="1">
      <c r="A708" s="244"/>
      <c r="B708" s="244"/>
      <c r="C708" s="244"/>
      <c r="D708" s="244"/>
      <c r="E708" s="244"/>
      <c r="F708" s="244"/>
      <c r="G708" s="244"/>
      <c r="H708" s="244"/>
      <c r="I708" s="244"/>
      <c r="J708" s="244"/>
      <c r="K708" s="244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</row>
    <row r="709" ht="14.25" customHeight="1">
      <c r="A709" s="244"/>
      <c r="B709" s="244"/>
      <c r="C709" s="244"/>
      <c r="D709" s="244"/>
      <c r="E709" s="244"/>
      <c r="F709" s="244"/>
      <c r="G709" s="244"/>
      <c r="H709" s="244"/>
      <c r="I709" s="244"/>
      <c r="J709" s="244"/>
      <c r="K709" s="244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</row>
    <row r="710" ht="14.25" customHeight="1">
      <c r="A710" s="244"/>
      <c r="B710" s="244"/>
      <c r="C710" s="244"/>
      <c r="D710" s="244"/>
      <c r="E710" s="244"/>
      <c r="F710" s="244"/>
      <c r="G710" s="244"/>
      <c r="H710" s="244"/>
      <c r="I710" s="244"/>
      <c r="J710" s="244"/>
      <c r="K710" s="244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</row>
    <row r="711" ht="14.25" customHeight="1">
      <c r="A711" s="244"/>
      <c r="B711" s="244"/>
      <c r="C711" s="244"/>
      <c r="D711" s="244"/>
      <c r="E711" s="244"/>
      <c r="F711" s="244"/>
      <c r="G711" s="244"/>
      <c r="H711" s="244"/>
      <c r="I711" s="244"/>
      <c r="J711" s="244"/>
      <c r="K711" s="244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</row>
    <row r="712" ht="14.25" customHeight="1">
      <c r="A712" s="244"/>
      <c r="B712" s="244"/>
      <c r="C712" s="244"/>
      <c r="D712" s="244"/>
      <c r="E712" s="244"/>
      <c r="F712" s="244"/>
      <c r="G712" s="244"/>
      <c r="H712" s="244"/>
      <c r="I712" s="244"/>
      <c r="J712" s="244"/>
      <c r="K712" s="244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</row>
    <row r="713" ht="14.25" customHeight="1">
      <c r="A713" s="244"/>
      <c r="B713" s="244"/>
      <c r="C713" s="244"/>
      <c r="D713" s="244"/>
      <c r="E713" s="244"/>
      <c r="F713" s="244"/>
      <c r="G713" s="244"/>
      <c r="H713" s="244"/>
      <c r="I713" s="244"/>
      <c r="J713" s="244"/>
      <c r="K713" s="244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</row>
    <row r="714" ht="14.25" customHeight="1">
      <c r="A714" s="244"/>
      <c r="B714" s="244"/>
      <c r="C714" s="244"/>
      <c r="D714" s="244"/>
      <c r="E714" s="244"/>
      <c r="F714" s="244"/>
      <c r="G714" s="244"/>
      <c r="H714" s="244"/>
      <c r="I714" s="244"/>
      <c r="J714" s="244"/>
      <c r="K714" s="244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</row>
    <row r="715" ht="14.25" customHeight="1">
      <c r="A715" s="244"/>
      <c r="B715" s="244"/>
      <c r="C715" s="244"/>
      <c r="D715" s="244"/>
      <c r="E715" s="244"/>
      <c r="F715" s="244"/>
      <c r="G715" s="244"/>
      <c r="H715" s="244"/>
      <c r="I715" s="244"/>
      <c r="J715" s="244"/>
      <c r="K715" s="244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</row>
    <row r="716" ht="14.25" customHeight="1">
      <c r="A716" s="244"/>
      <c r="B716" s="244"/>
      <c r="C716" s="244"/>
      <c r="D716" s="244"/>
      <c r="E716" s="244"/>
      <c r="F716" s="244"/>
      <c r="G716" s="244"/>
      <c r="H716" s="244"/>
      <c r="I716" s="244"/>
      <c r="J716" s="244"/>
      <c r="K716" s="244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</row>
    <row r="717" ht="14.25" customHeight="1">
      <c r="A717" s="244"/>
      <c r="B717" s="244"/>
      <c r="C717" s="244"/>
      <c r="D717" s="244"/>
      <c r="E717" s="244"/>
      <c r="F717" s="244"/>
      <c r="G717" s="244"/>
      <c r="H717" s="244"/>
      <c r="I717" s="244"/>
      <c r="J717" s="244"/>
      <c r="K717" s="244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</row>
    <row r="718" ht="14.25" customHeight="1">
      <c r="A718" s="244"/>
      <c r="B718" s="244"/>
      <c r="C718" s="244"/>
      <c r="D718" s="244"/>
      <c r="E718" s="244"/>
      <c r="F718" s="244"/>
      <c r="G718" s="244"/>
      <c r="H718" s="244"/>
      <c r="I718" s="244"/>
      <c r="J718" s="244"/>
      <c r="K718" s="244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</row>
    <row r="719" ht="14.25" customHeight="1">
      <c r="A719" s="244"/>
      <c r="B719" s="244"/>
      <c r="C719" s="244"/>
      <c r="D719" s="244"/>
      <c r="E719" s="244"/>
      <c r="F719" s="244"/>
      <c r="G719" s="244"/>
      <c r="H719" s="244"/>
      <c r="I719" s="244"/>
      <c r="J719" s="244"/>
      <c r="K719" s="244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</row>
    <row r="720" ht="14.25" customHeight="1">
      <c r="A720" s="244"/>
      <c r="B720" s="244"/>
      <c r="C720" s="244"/>
      <c r="D720" s="244"/>
      <c r="E720" s="244"/>
      <c r="F720" s="244"/>
      <c r="G720" s="244"/>
      <c r="H720" s="244"/>
      <c r="I720" s="244"/>
      <c r="J720" s="244"/>
      <c r="K720" s="244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</row>
    <row r="721" ht="14.25" customHeight="1">
      <c r="A721" s="244"/>
      <c r="B721" s="244"/>
      <c r="C721" s="244"/>
      <c r="D721" s="244"/>
      <c r="E721" s="244"/>
      <c r="F721" s="244"/>
      <c r="G721" s="244"/>
      <c r="H721" s="244"/>
      <c r="I721" s="244"/>
      <c r="J721" s="244"/>
      <c r="K721" s="244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</row>
    <row r="722" ht="14.25" customHeight="1">
      <c r="A722" s="244"/>
      <c r="B722" s="244"/>
      <c r="C722" s="244"/>
      <c r="D722" s="244"/>
      <c r="E722" s="244"/>
      <c r="F722" s="244"/>
      <c r="G722" s="244"/>
      <c r="H722" s="244"/>
      <c r="I722" s="244"/>
      <c r="J722" s="244"/>
      <c r="K722" s="244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</row>
    <row r="723" ht="14.25" customHeight="1">
      <c r="A723" s="244"/>
      <c r="B723" s="244"/>
      <c r="C723" s="244"/>
      <c r="D723" s="244"/>
      <c r="E723" s="244"/>
      <c r="F723" s="244"/>
      <c r="G723" s="244"/>
      <c r="H723" s="244"/>
      <c r="I723" s="244"/>
      <c r="J723" s="244"/>
      <c r="K723" s="244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</row>
    <row r="724" ht="14.25" customHeight="1">
      <c r="A724" s="244"/>
      <c r="B724" s="244"/>
      <c r="C724" s="244"/>
      <c r="D724" s="244"/>
      <c r="E724" s="244"/>
      <c r="F724" s="244"/>
      <c r="G724" s="244"/>
      <c r="H724" s="244"/>
      <c r="I724" s="244"/>
      <c r="J724" s="244"/>
      <c r="K724" s="244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</row>
    <row r="725" ht="14.25" customHeight="1">
      <c r="A725" s="244"/>
      <c r="B725" s="244"/>
      <c r="C725" s="244"/>
      <c r="D725" s="244"/>
      <c r="E725" s="244"/>
      <c r="F725" s="244"/>
      <c r="G725" s="244"/>
      <c r="H725" s="244"/>
      <c r="I725" s="244"/>
      <c r="J725" s="244"/>
      <c r="K725" s="244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</row>
    <row r="726" ht="14.25" customHeight="1">
      <c r="A726" s="244"/>
      <c r="B726" s="244"/>
      <c r="C726" s="244"/>
      <c r="D726" s="244"/>
      <c r="E726" s="244"/>
      <c r="F726" s="244"/>
      <c r="G726" s="244"/>
      <c r="H726" s="244"/>
      <c r="I726" s="244"/>
      <c r="J726" s="244"/>
      <c r="K726" s="244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</row>
    <row r="727" ht="14.25" customHeight="1">
      <c r="A727" s="244"/>
      <c r="B727" s="244"/>
      <c r="C727" s="244"/>
      <c r="D727" s="244"/>
      <c r="E727" s="244"/>
      <c r="F727" s="244"/>
      <c r="G727" s="244"/>
      <c r="H727" s="244"/>
      <c r="I727" s="244"/>
      <c r="J727" s="244"/>
      <c r="K727" s="244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</row>
    <row r="728" ht="14.25" customHeight="1">
      <c r="A728" s="244"/>
      <c r="B728" s="244"/>
      <c r="C728" s="244"/>
      <c r="D728" s="244"/>
      <c r="E728" s="244"/>
      <c r="F728" s="244"/>
      <c r="G728" s="244"/>
      <c r="H728" s="244"/>
      <c r="I728" s="244"/>
      <c r="J728" s="244"/>
      <c r="K728" s="244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</row>
    <row r="729" ht="14.25" customHeight="1">
      <c r="A729" s="244"/>
      <c r="B729" s="244"/>
      <c r="C729" s="244"/>
      <c r="D729" s="244"/>
      <c r="E729" s="244"/>
      <c r="F729" s="244"/>
      <c r="G729" s="244"/>
      <c r="H729" s="244"/>
      <c r="I729" s="244"/>
      <c r="J729" s="244"/>
      <c r="K729" s="244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</row>
    <row r="730" ht="14.25" customHeight="1">
      <c r="A730" s="244"/>
      <c r="B730" s="244"/>
      <c r="C730" s="244"/>
      <c r="D730" s="244"/>
      <c r="E730" s="244"/>
      <c r="F730" s="244"/>
      <c r="G730" s="244"/>
      <c r="H730" s="244"/>
      <c r="I730" s="244"/>
      <c r="J730" s="244"/>
      <c r="K730" s="244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</row>
    <row r="731" ht="14.25" customHeight="1">
      <c r="A731" s="244"/>
      <c r="B731" s="244"/>
      <c r="C731" s="244"/>
      <c r="D731" s="244"/>
      <c r="E731" s="244"/>
      <c r="F731" s="244"/>
      <c r="G731" s="244"/>
      <c r="H731" s="244"/>
      <c r="I731" s="244"/>
      <c r="J731" s="244"/>
      <c r="K731" s="244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</row>
    <row r="732" ht="14.25" customHeight="1">
      <c r="A732" s="244"/>
      <c r="B732" s="244"/>
      <c r="C732" s="244"/>
      <c r="D732" s="244"/>
      <c r="E732" s="244"/>
      <c r="F732" s="244"/>
      <c r="G732" s="244"/>
      <c r="H732" s="244"/>
      <c r="I732" s="244"/>
      <c r="J732" s="244"/>
      <c r="K732" s="244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</row>
    <row r="733" ht="14.25" customHeight="1">
      <c r="A733" s="244"/>
      <c r="B733" s="244"/>
      <c r="C733" s="244"/>
      <c r="D733" s="244"/>
      <c r="E733" s="244"/>
      <c r="F733" s="244"/>
      <c r="G733" s="244"/>
      <c r="H733" s="244"/>
      <c r="I733" s="244"/>
      <c r="J733" s="244"/>
      <c r="K733" s="244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</row>
    <row r="734" ht="14.25" customHeight="1">
      <c r="A734" s="244"/>
      <c r="B734" s="244"/>
      <c r="C734" s="244"/>
      <c r="D734" s="244"/>
      <c r="E734" s="244"/>
      <c r="F734" s="244"/>
      <c r="G734" s="244"/>
      <c r="H734" s="244"/>
      <c r="I734" s="244"/>
      <c r="J734" s="244"/>
      <c r="K734" s="244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</row>
    <row r="735" ht="14.25" customHeight="1">
      <c r="A735" s="244"/>
      <c r="B735" s="244"/>
      <c r="C735" s="244"/>
      <c r="D735" s="244"/>
      <c r="E735" s="244"/>
      <c r="F735" s="244"/>
      <c r="G735" s="244"/>
      <c r="H735" s="244"/>
      <c r="I735" s="244"/>
      <c r="J735" s="244"/>
      <c r="K735" s="244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</row>
    <row r="736" ht="14.25" customHeight="1">
      <c r="A736" s="244"/>
      <c r="B736" s="244"/>
      <c r="C736" s="244"/>
      <c r="D736" s="244"/>
      <c r="E736" s="244"/>
      <c r="F736" s="244"/>
      <c r="G736" s="244"/>
      <c r="H736" s="244"/>
      <c r="I736" s="244"/>
      <c r="J736" s="244"/>
      <c r="K736" s="244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</row>
    <row r="737" ht="14.25" customHeight="1">
      <c r="A737" s="244"/>
      <c r="B737" s="244"/>
      <c r="C737" s="244"/>
      <c r="D737" s="244"/>
      <c r="E737" s="244"/>
      <c r="F737" s="244"/>
      <c r="G737" s="244"/>
      <c r="H737" s="244"/>
      <c r="I737" s="244"/>
      <c r="J737" s="244"/>
      <c r="K737" s="244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</row>
    <row r="738" ht="14.25" customHeight="1">
      <c r="A738" s="244"/>
      <c r="B738" s="244"/>
      <c r="C738" s="244"/>
      <c r="D738" s="244"/>
      <c r="E738" s="244"/>
      <c r="F738" s="244"/>
      <c r="G738" s="244"/>
      <c r="H738" s="244"/>
      <c r="I738" s="244"/>
      <c r="J738" s="244"/>
      <c r="K738" s="244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</row>
    <row r="739" ht="14.25" customHeight="1">
      <c r="A739" s="244"/>
      <c r="B739" s="244"/>
      <c r="C739" s="244"/>
      <c r="D739" s="244"/>
      <c r="E739" s="244"/>
      <c r="F739" s="244"/>
      <c r="G739" s="244"/>
      <c r="H739" s="244"/>
      <c r="I739" s="244"/>
      <c r="J739" s="244"/>
      <c r="K739" s="244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</row>
    <row r="740" ht="14.25" customHeight="1">
      <c r="A740" s="244"/>
      <c r="B740" s="244"/>
      <c r="C740" s="244"/>
      <c r="D740" s="244"/>
      <c r="E740" s="244"/>
      <c r="F740" s="244"/>
      <c r="G740" s="244"/>
      <c r="H740" s="244"/>
      <c r="I740" s="244"/>
      <c r="J740" s="244"/>
      <c r="K740" s="244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</row>
    <row r="741" ht="14.25" customHeight="1">
      <c r="A741" s="244"/>
      <c r="B741" s="244"/>
      <c r="C741" s="244"/>
      <c r="D741" s="244"/>
      <c r="E741" s="244"/>
      <c r="F741" s="244"/>
      <c r="G741" s="244"/>
      <c r="H741" s="244"/>
      <c r="I741" s="244"/>
      <c r="J741" s="244"/>
      <c r="K741" s="244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</row>
    <row r="742" ht="14.25" customHeight="1">
      <c r="A742" s="244"/>
      <c r="B742" s="244"/>
      <c r="C742" s="244"/>
      <c r="D742" s="244"/>
      <c r="E742" s="244"/>
      <c r="F742" s="244"/>
      <c r="G742" s="244"/>
      <c r="H742" s="244"/>
      <c r="I742" s="244"/>
      <c r="J742" s="244"/>
      <c r="K742" s="244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</row>
    <row r="743" ht="14.25" customHeight="1">
      <c r="A743" s="244"/>
      <c r="B743" s="244"/>
      <c r="C743" s="244"/>
      <c r="D743" s="244"/>
      <c r="E743" s="244"/>
      <c r="F743" s="244"/>
      <c r="G743" s="244"/>
      <c r="H743" s="244"/>
      <c r="I743" s="244"/>
      <c r="J743" s="244"/>
      <c r="K743" s="244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</row>
    <row r="744" ht="14.25" customHeight="1">
      <c r="A744" s="244"/>
      <c r="B744" s="244"/>
      <c r="C744" s="244"/>
      <c r="D744" s="244"/>
      <c r="E744" s="244"/>
      <c r="F744" s="244"/>
      <c r="G744" s="244"/>
      <c r="H744" s="244"/>
      <c r="I744" s="244"/>
      <c r="J744" s="244"/>
      <c r="K744" s="244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</row>
    <row r="745" ht="14.25" customHeight="1">
      <c r="A745" s="244"/>
      <c r="B745" s="244"/>
      <c r="C745" s="244"/>
      <c r="D745" s="244"/>
      <c r="E745" s="244"/>
      <c r="F745" s="244"/>
      <c r="G745" s="244"/>
      <c r="H745" s="244"/>
      <c r="I745" s="244"/>
      <c r="J745" s="244"/>
      <c r="K745" s="244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</row>
    <row r="746" ht="14.25" customHeight="1">
      <c r="A746" s="244"/>
      <c r="B746" s="244"/>
      <c r="C746" s="244"/>
      <c r="D746" s="244"/>
      <c r="E746" s="244"/>
      <c r="F746" s="244"/>
      <c r="G746" s="244"/>
      <c r="H746" s="244"/>
      <c r="I746" s="244"/>
      <c r="J746" s="244"/>
      <c r="K746" s="244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</row>
    <row r="747" ht="14.25" customHeight="1">
      <c r="A747" s="244"/>
      <c r="B747" s="244"/>
      <c r="C747" s="244"/>
      <c r="D747" s="244"/>
      <c r="E747" s="244"/>
      <c r="F747" s="244"/>
      <c r="G747" s="244"/>
      <c r="H747" s="244"/>
      <c r="I747" s="244"/>
      <c r="J747" s="244"/>
      <c r="K747" s="244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</row>
    <row r="748" ht="14.25" customHeight="1">
      <c r="A748" s="244"/>
      <c r="B748" s="244"/>
      <c r="C748" s="244"/>
      <c r="D748" s="244"/>
      <c r="E748" s="244"/>
      <c r="F748" s="244"/>
      <c r="G748" s="244"/>
      <c r="H748" s="244"/>
      <c r="I748" s="244"/>
      <c r="J748" s="244"/>
      <c r="K748" s="244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</row>
    <row r="749" ht="14.25" customHeight="1">
      <c r="A749" s="244"/>
      <c r="B749" s="244"/>
      <c r="C749" s="244"/>
      <c r="D749" s="244"/>
      <c r="E749" s="244"/>
      <c r="F749" s="244"/>
      <c r="G749" s="244"/>
      <c r="H749" s="244"/>
      <c r="I749" s="244"/>
      <c r="J749" s="244"/>
      <c r="K749" s="244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</row>
    <row r="750" ht="14.25" customHeight="1">
      <c r="A750" s="244"/>
      <c r="B750" s="244"/>
      <c r="C750" s="244"/>
      <c r="D750" s="244"/>
      <c r="E750" s="244"/>
      <c r="F750" s="244"/>
      <c r="G750" s="244"/>
      <c r="H750" s="244"/>
      <c r="I750" s="244"/>
      <c r="J750" s="244"/>
      <c r="K750" s="244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</row>
    <row r="751" ht="14.25" customHeight="1">
      <c r="A751" s="244"/>
      <c r="B751" s="244"/>
      <c r="C751" s="244"/>
      <c r="D751" s="244"/>
      <c r="E751" s="244"/>
      <c r="F751" s="244"/>
      <c r="G751" s="244"/>
      <c r="H751" s="244"/>
      <c r="I751" s="244"/>
      <c r="J751" s="244"/>
      <c r="K751" s="244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</row>
    <row r="752" ht="14.25" customHeight="1">
      <c r="A752" s="244"/>
      <c r="B752" s="244"/>
      <c r="C752" s="244"/>
      <c r="D752" s="244"/>
      <c r="E752" s="244"/>
      <c r="F752" s="244"/>
      <c r="G752" s="244"/>
      <c r="H752" s="244"/>
      <c r="I752" s="244"/>
      <c r="J752" s="244"/>
      <c r="K752" s="244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</row>
    <row r="753" ht="14.25" customHeight="1">
      <c r="A753" s="244"/>
      <c r="B753" s="244"/>
      <c r="C753" s="244"/>
      <c r="D753" s="244"/>
      <c r="E753" s="244"/>
      <c r="F753" s="244"/>
      <c r="G753" s="244"/>
      <c r="H753" s="244"/>
      <c r="I753" s="244"/>
      <c r="J753" s="244"/>
      <c r="K753" s="244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</row>
    <row r="754" ht="14.25" customHeight="1">
      <c r="A754" s="244"/>
      <c r="B754" s="244"/>
      <c r="C754" s="244"/>
      <c r="D754" s="244"/>
      <c r="E754" s="244"/>
      <c r="F754" s="244"/>
      <c r="G754" s="244"/>
      <c r="H754" s="244"/>
      <c r="I754" s="244"/>
      <c r="J754" s="244"/>
      <c r="K754" s="244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</row>
    <row r="755" ht="14.25" customHeight="1">
      <c r="A755" s="244"/>
      <c r="B755" s="244"/>
      <c r="C755" s="244"/>
      <c r="D755" s="244"/>
      <c r="E755" s="244"/>
      <c r="F755" s="244"/>
      <c r="G755" s="244"/>
      <c r="H755" s="244"/>
      <c r="I755" s="244"/>
      <c r="J755" s="244"/>
      <c r="K755" s="244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</row>
    <row r="756" ht="14.25" customHeight="1">
      <c r="A756" s="244"/>
      <c r="B756" s="244"/>
      <c r="C756" s="244"/>
      <c r="D756" s="244"/>
      <c r="E756" s="244"/>
      <c r="F756" s="244"/>
      <c r="G756" s="244"/>
      <c r="H756" s="244"/>
      <c r="I756" s="244"/>
      <c r="J756" s="244"/>
      <c r="K756" s="244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</row>
    <row r="757" ht="14.25" customHeight="1">
      <c r="A757" s="244"/>
      <c r="B757" s="244"/>
      <c r="C757" s="244"/>
      <c r="D757" s="244"/>
      <c r="E757" s="244"/>
      <c r="F757" s="244"/>
      <c r="G757" s="244"/>
      <c r="H757" s="244"/>
      <c r="I757" s="244"/>
      <c r="J757" s="244"/>
      <c r="K757" s="244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</row>
    <row r="758" ht="14.25" customHeight="1">
      <c r="A758" s="244"/>
      <c r="B758" s="244"/>
      <c r="C758" s="244"/>
      <c r="D758" s="244"/>
      <c r="E758" s="244"/>
      <c r="F758" s="244"/>
      <c r="G758" s="244"/>
      <c r="H758" s="244"/>
      <c r="I758" s="244"/>
      <c r="J758" s="244"/>
      <c r="K758" s="244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</row>
    <row r="759" ht="14.25" customHeight="1">
      <c r="A759" s="244"/>
      <c r="B759" s="244"/>
      <c r="C759" s="244"/>
      <c r="D759" s="244"/>
      <c r="E759" s="244"/>
      <c r="F759" s="244"/>
      <c r="G759" s="244"/>
      <c r="H759" s="244"/>
      <c r="I759" s="244"/>
      <c r="J759" s="244"/>
      <c r="K759" s="244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</row>
    <row r="760" ht="14.25" customHeight="1">
      <c r="A760" s="244"/>
      <c r="B760" s="244"/>
      <c r="C760" s="244"/>
      <c r="D760" s="244"/>
      <c r="E760" s="244"/>
      <c r="F760" s="244"/>
      <c r="G760" s="244"/>
      <c r="H760" s="244"/>
      <c r="I760" s="244"/>
      <c r="J760" s="244"/>
      <c r="K760" s="244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</row>
    <row r="761" ht="14.25" customHeight="1">
      <c r="A761" s="244"/>
      <c r="B761" s="244"/>
      <c r="C761" s="244"/>
      <c r="D761" s="244"/>
      <c r="E761" s="244"/>
      <c r="F761" s="244"/>
      <c r="G761" s="244"/>
      <c r="H761" s="244"/>
      <c r="I761" s="244"/>
      <c r="J761" s="244"/>
      <c r="K761" s="244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</row>
    <row r="762" ht="14.25" customHeight="1">
      <c r="A762" s="244"/>
      <c r="B762" s="244"/>
      <c r="C762" s="244"/>
      <c r="D762" s="244"/>
      <c r="E762" s="244"/>
      <c r="F762" s="244"/>
      <c r="G762" s="244"/>
      <c r="H762" s="244"/>
      <c r="I762" s="244"/>
      <c r="J762" s="244"/>
      <c r="K762" s="244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</row>
    <row r="763" ht="14.25" customHeight="1">
      <c r="A763" s="244"/>
      <c r="B763" s="244"/>
      <c r="C763" s="244"/>
      <c r="D763" s="244"/>
      <c r="E763" s="244"/>
      <c r="F763" s="244"/>
      <c r="G763" s="244"/>
      <c r="H763" s="244"/>
      <c r="I763" s="244"/>
      <c r="J763" s="244"/>
      <c r="K763" s="244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</row>
    <row r="764" ht="14.25" customHeight="1">
      <c r="A764" s="244"/>
      <c r="B764" s="244"/>
      <c r="C764" s="244"/>
      <c r="D764" s="244"/>
      <c r="E764" s="244"/>
      <c r="F764" s="244"/>
      <c r="G764" s="244"/>
      <c r="H764" s="244"/>
      <c r="I764" s="244"/>
      <c r="J764" s="244"/>
      <c r="K764" s="244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</row>
    <row r="765" ht="14.25" customHeight="1">
      <c r="A765" s="244"/>
      <c r="B765" s="244"/>
      <c r="C765" s="244"/>
      <c r="D765" s="244"/>
      <c r="E765" s="244"/>
      <c r="F765" s="244"/>
      <c r="G765" s="244"/>
      <c r="H765" s="244"/>
      <c r="I765" s="244"/>
      <c r="J765" s="244"/>
      <c r="K765" s="244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</row>
    <row r="766" ht="14.25" customHeight="1">
      <c r="A766" s="244"/>
      <c r="B766" s="244"/>
      <c r="C766" s="244"/>
      <c r="D766" s="244"/>
      <c r="E766" s="244"/>
      <c r="F766" s="244"/>
      <c r="G766" s="244"/>
      <c r="H766" s="244"/>
      <c r="I766" s="244"/>
      <c r="J766" s="244"/>
      <c r="K766" s="244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</row>
    <row r="767" ht="14.25" customHeight="1">
      <c r="A767" s="244"/>
      <c r="B767" s="244"/>
      <c r="C767" s="244"/>
      <c r="D767" s="244"/>
      <c r="E767" s="244"/>
      <c r="F767" s="244"/>
      <c r="G767" s="244"/>
      <c r="H767" s="244"/>
      <c r="I767" s="244"/>
      <c r="J767" s="244"/>
      <c r="K767" s="244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</row>
    <row r="768" ht="14.25" customHeight="1">
      <c r="A768" s="244"/>
      <c r="B768" s="244"/>
      <c r="C768" s="244"/>
      <c r="D768" s="244"/>
      <c r="E768" s="244"/>
      <c r="F768" s="244"/>
      <c r="G768" s="244"/>
      <c r="H768" s="244"/>
      <c r="I768" s="244"/>
      <c r="J768" s="244"/>
      <c r="K768" s="244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</row>
    <row r="769" ht="14.25" customHeight="1">
      <c r="A769" s="244"/>
      <c r="B769" s="244"/>
      <c r="C769" s="244"/>
      <c r="D769" s="244"/>
      <c r="E769" s="244"/>
      <c r="F769" s="244"/>
      <c r="G769" s="244"/>
      <c r="H769" s="244"/>
      <c r="I769" s="244"/>
      <c r="J769" s="244"/>
      <c r="K769" s="244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</row>
    <row r="770" ht="14.25" customHeight="1">
      <c r="A770" s="244"/>
      <c r="B770" s="244"/>
      <c r="C770" s="244"/>
      <c r="D770" s="244"/>
      <c r="E770" s="244"/>
      <c r="F770" s="244"/>
      <c r="G770" s="244"/>
      <c r="H770" s="244"/>
      <c r="I770" s="244"/>
      <c r="J770" s="244"/>
      <c r="K770" s="244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</row>
    <row r="771" ht="14.25" customHeight="1">
      <c r="A771" s="244"/>
      <c r="B771" s="244"/>
      <c r="C771" s="244"/>
      <c r="D771" s="244"/>
      <c r="E771" s="244"/>
      <c r="F771" s="244"/>
      <c r="G771" s="244"/>
      <c r="H771" s="244"/>
      <c r="I771" s="244"/>
      <c r="J771" s="244"/>
      <c r="K771" s="244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</row>
    <row r="772" ht="14.25" customHeight="1">
      <c r="A772" s="244"/>
      <c r="B772" s="244"/>
      <c r="C772" s="244"/>
      <c r="D772" s="244"/>
      <c r="E772" s="244"/>
      <c r="F772" s="244"/>
      <c r="G772" s="244"/>
      <c r="H772" s="244"/>
      <c r="I772" s="244"/>
      <c r="J772" s="244"/>
      <c r="K772" s="244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</row>
    <row r="773" ht="14.25" customHeight="1">
      <c r="A773" s="244"/>
      <c r="B773" s="244"/>
      <c r="C773" s="244"/>
      <c r="D773" s="244"/>
      <c r="E773" s="244"/>
      <c r="F773" s="244"/>
      <c r="G773" s="244"/>
      <c r="H773" s="244"/>
      <c r="I773" s="244"/>
      <c r="J773" s="244"/>
      <c r="K773" s="244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</row>
    <row r="774" ht="14.25" customHeight="1">
      <c r="A774" s="244"/>
      <c r="B774" s="244"/>
      <c r="C774" s="244"/>
      <c r="D774" s="244"/>
      <c r="E774" s="244"/>
      <c r="F774" s="244"/>
      <c r="G774" s="244"/>
      <c r="H774" s="244"/>
      <c r="I774" s="244"/>
      <c r="J774" s="244"/>
      <c r="K774" s="244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</row>
    <row r="775" ht="14.25" customHeight="1">
      <c r="A775" s="244"/>
      <c r="B775" s="244"/>
      <c r="C775" s="244"/>
      <c r="D775" s="244"/>
      <c r="E775" s="244"/>
      <c r="F775" s="244"/>
      <c r="G775" s="244"/>
      <c r="H775" s="244"/>
      <c r="I775" s="244"/>
      <c r="J775" s="244"/>
      <c r="K775" s="244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</row>
    <row r="776" ht="14.25" customHeight="1">
      <c r="A776" s="244"/>
      <c r="B776" s="244"/>
      <c r="C776" s="244"/>
      <c r="D776" s="244"/>
      <c r="E776" s="244"/>
      <c r="F776" s="244"/>
      <c r="G776" s="244"/>
      <c r="H776" s="244"/>
      <c r="I776" s="244"/>
      <c r="J776" s="244"/>
      <c r="K776" s="244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</row>
    <row r="777" ht="14.25" customHeight="1">
      <c r="A777" s="244"/>
      <c r="B777" s="244"/>
      <c r="C777" s="244"/>
      <c r="D777" s="244"/>
      <c r="E777" s="244"/>
      <c r="F777" s="244"/>
      <c r="G777" s="244"/>
      <c r="H777" s="244"/>
      <c r="I777" s="244"/>
      <c r="J777" s="244"/>
      <c r="K777" s="244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</row>
    <row r="778" ht="14.25" customHeight="1">
      <c r="A778" s="244"/>
      <c r="B778" s="244"/>
      <c r="C778" s="244"/>
      <c r="D778" s="244"/>
      <c r="E778" s="244"/>
      <c r="F778" s="244"/>
      <c r="G778" s="244"/>
      <c r="H778" s="244"/>
      <c r="I778" s="244"/>
      <c r="J778" s="244"/>
      <c r="K778" s="244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</row>
    <row r="779" ht="14.25" customHeight="1">
      <c r="A779" s="244"/>
      <c r="B779" s="244"/>
      <c r="C779" s="244"/>
      <c r="D779" s="244"/>
      <c r="E779" s="244"/>
      <c r="F779" s="244"/>
      <c r="G779" s="244"/>
      <c r="H779" s="244"/>
      <c r="I779" s="244"/>
      <c r="J779" s="244"/>
      <c r="K779" s="244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</row>
    <row r="780" ht="14.25" customHeight="1">
      <c r="A780" s="244"/>
      <c r="B780" s="244"/>
      <c r="C780" s="244"/>
      <c r="D780" s="244"/>
      <c r="E780" s="244"/>
      <c r="F780" s="244"/>
      <c r="G780" s="244"/>
      <c r="H780" s="244"/>
      <c r="I780" s="244"/>
      <c r="J780" s="244"/>
      <c r="K780" s="244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</row>
    <row r="781" ht="14.25" customHeight="1">
      <c r="A781" s="244"/>
      <c r="B781" s="244"/>
      <c r="C781" s="244"/>
      <c r="D781" s="244"/>
      <c r="E781" s="244"/>
      <c r="F781" s="244"/>
      <c r="G781" s="244"/>
      <c r="H781" s="244"/>
      <c r="I781" s="244"/>
      <c r="J781" s="244"/>
      <c r="K781" s="244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</row>
    <row r="782" ht="14.25" customHeight="1">
      <c r="A782" s="244"/>
      <c r="B782" s="244"/>
      <c r="C782" s="244"/>
      <c r="D782" s="244"/>
      <c r="E782" s="244"/>
      <c r="F782" s="244"/>
      <c r="G782" s="244"/>
      <c r="H782" s="244"/>
      <c r="I782" s="244"/>
      <c r="J782" s="244"/>
      <c r="K782" s="244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</row>
    <row r="783" ht="14.25" customHeight="1">
      <c r="A783" s="244"/>
      <c r="B783" s="244"/>
      <c r="C783" s="244"/>
      <c r="D783" s="244"/>
      <c r="E783" s="244"/>
      <c r="F783" s="244"/>
      <c r="G783" s="244"/>
      <c r="H783" s="244"/>
      <c r="I783" s="244"/>
      <c r="J783" s="244"/>
      <c r="K783" s="244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</row>
    <row r="784" ht="14.25" customHeight="1">
      <c r="A784" s="244"/>
      <c r="B784" s="244"/>
      <c r="C784" s="244"/>
      <c r="D784" s="244"/>
      <c r="E784" s="244"/>
      <c r="F784" s="244"/>
      <c r="G784" s="244"/>
      <c r="H784" s="244"/>
      <c r="I784" s="244"/>
      <c r="J784" s="244"/>
      <c r="K784" s="244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</row>
    <row r="785" ht="14.25" customHeight="1">
      <c r="A785" s="244"/>
      <c r="B785" s="244"/>
      <c r="C785" s="244"/>
      <c r="D785" s="244"/>
      <c r="E785" s="244"/>
      <c r="F785" s="244"/>
      <c r="G785" s="244"/>
      <c r="H785" s="244"/>
      <c r="I785" s="244"/>
      <c r="J785" s="244"/>
      <c r="K785" s="244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</row>
    <row r="786" ht="14.25" customHeight="1">
      <c r="A786" s="244"/>
      <c r="B786" s="244"/>
      <c r="C786" s="244"/>
      <c r="D786" s="244"/>
      <c r="E786" s="244"/>
      <c r="F786" s="244"/>
      <c r="G786" s="244"/>
      <c r="H786" s="244"/>
      <c r="I786" s="244"/>
      <c r="J786" s="244"/>
      <c r="K786" s="244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</row>
    <row r="787" ht="14.25" customHeight="1">
      <c r="A787" s="244"/>
      <c r="B787" s="244"/>
      <c r="C787" s="244"/>
      <c r="D787" s="244"/>
      <c r="E787" s="244"/>
      <c r="F787" s="244"/>
      <c r="G787" s="244"/>
      <c r="H787" s="244"/>
      <c r="I787" s="244"/>
      <c r="J787" s="244"/>
      <c r="K787" s="244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</row>
    <row r="788" ht="14.25" customHeight="1">
      <c r="A788" s="244"/>
      <c r="B788" s="244"/>
      <c r="C788" s="244"/>
      <c r="D788" s="244"/>
      <c r="E788" s="244"/>
      <c r="F788" s="244"/>
      <c r="G788" s="244"/>
      <c r="H788" s="244"/>
      <c r="I788" s="244"/>
      <c r="J788" s="244"/>
      <c r="K788" s="244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</row>
    <row r="789" ht="14.25" customHeight="1">
      <c r="A789" s="244"/>
      <c r="B789" s="244"/>
      <c r="C789" s="244"/>
      <c r="D789" s="244"/>
      <c r="E789" s="244"/>
      <c r="F789" s="244"/>
      <c r="G789" s="244"/>
      <c r="H789" s="244"/>
      <c r="I789" s="244"/>
      <c r="J789" s="244"/>
      <c r="K789" s="244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</row>
    <row r="790" ht="14.25" customHeight="1">
      <c r="A790" s="244"/>
      <c r="B790" s="244"/>
      <c r="C790" s="244"/>
      <c r="D790" s="244"/>
      <c r="E790" s="244"/>
      <c r="F790" s="244"/>
      <c r="G790" s="244"/>
      <c r="H790" s="244"/>
      <c r="I790" s="244"/>
      <c r="J790" s="244"/>
      <c r="K790" s="244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</row>
    <row r="791" ht="14.25" customHeight="1">
      <c r="A791" s="244"/>
      <c r="B791" s="244"/>
      <c r="C791" s="244"/>
      <c r="D791" s="244"/>
      <c r="E791" s="244"/>
      <c r="F791" s="244"/>
      <c r="G791" s="244"/>
      <c r="H791" s="244"/>
      <c r="I791" s="244"/>
      <c r="J791" s="244"/>
      <c r="K791" s="244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</row>
    <row r="792" ht="14.25" customHeight="1">
      <c r="A792" s="244"/>
      <c r="B792" s="244"/>
      <c r="C792" s="244"/>
      <c r="D792" s="244"/>
      <c r="E792" s="244"/>
      <c r="F792" s="244"/>
      <c r="G792" s="244"/>
      <c r="H792" s="244"/>
      <c r="I792" s="244"/>
      <c r="J792" s="244"/>
      <c r="K792" s="244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</row>
    <row r="793" ht="14.25" customHeight="1">
      <c r="A793" s="244"/>
      <c r="B793" s="244"/>
      <c r="C793" s="244"/>
      <c r="D793" s="244"/>
      <c r="E793" s="244"/>
      <c r="F793" s="244"/>
      <c r="G793" s="244"/>
      <c r="H793" s="244"/>
      <c r="I793" s="244"/>
      <c r="J793" s="244"/>
      <c r="K793" s="244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</row>
    <row r="794" ht="14.25" customHeight="1">
      <c r="A794" s="244"/>
      <c r="B794" s="244"/>
      <c r="C794" s="244"/>
      <c r="D794" s="244"/>
      <c r="E794" s="244"/>
      <c r="F794" s="244"/>
      <c r="G794" s="244"/>
      <c r="H794" s="244"/>
      <c r="I794" s="244"/>
      <c r="J794" s="244"/>
      <c r="K794" s="244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</row>
    <row r="795" ht="14.25" customHeight="1">
      <c r="A795" s="244"/>
      <c r="B795" s="244"/>
      <c r="C795" s="244"/>
      <c r="D795" s="244"/>
      <c r="E795" s="244"/>
      <c r="F795" s="244"/>
      <c r="G795" s="244"/>
      <c r="H795" s="244"/>
      <c r="I795" s="244"/>
      <c r="J795" s="244"/>
      <c r="K795" s="244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</row>
    <row r="796" ht="14.25" customHeight="1">
      <c r="A796" s="244"/>
      <c r="B796" s="244"/>
      <c r="C796" s="244"/>
      <c r="D796" s="244"/>
      <c r="E796" s="244"/>
      <c r="F796" s="244"/>
      <c r="G796" s="244"/>
      <c r="H796" s="244"/>
      <c r="I796" s="244"/>
      <c r="J796" s="244"/>
      <c r="K796" s="244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</row>
    <row r="797" ht="14.25" customHeight="1">
      <c r="A797" s="244"/>
      <c r="B797" s="244"/>
      <c r="C797" s="244"/>
      <c r="D797" s="244"/>
      <c r="E797" s="244"/>
      <c r="F797" s="244"/>
      <c r="G797" s="244"/>
      <c r="H797" s="244"/>
      <c r="I797" s="244"/>
      <c r="J797" s="244"/>
      <c r="K797" s="244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</row>
    <row r="798" ht="14.25" customHeight="1">
      <c r="A798" s="244"/>
      <c r="B798" s="244"/>
      <c r="C798" s="244"/>
      <c r="D798" s="244"/>
      <c r="E798" s="244"/>
      <c r="F798" s="244"/>
      <c r="G798" s="244"/>
      <c r="H798" s="244"/>
      <c r="I798" s="244"/>
      <c r="J798" s="244"/>
      <c r="K798" s="244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</row>
    <row r="799" ht="14.25" customHeight="1">
      <c r="A799" s="244"/>
      <c r="B799" s="244"/>
      <c r="C799" s="244"/>
      <c r="D799" s="244"/>
      <c r="E799" s="244"/>
      <c r="F799" s="244"/>
      <c r="G799" s="244"/>
      <c r="H799" s="244"/>
      <c r="I799" s="244"/>
      <c r="J799" s="244"/>
      <c r="K799" s="244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</row>
    <row r="800" ht="14.25" customHeight="1">
      <c r="A800" s="244"/>
      <c r="B800" s="244"/>
      <c r="C800" s="244"/>
      <c r="D800" s="244"/>
      <c r="E800" s="244"/>
      <c r="F800" s="244"/>
      <c r="G800" s="244"/>
      <c r="H800" s="244"/>
      <c r="I800" s="244"/>
      <c r="J800" s="244"/>
      <c r="K800" s="244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</row>
    <row r="801" ht="14.25" customHeight="1">
      <c r="A801" s="244"/>
      <c r="B801" s="244"/>
      <c r="C801" s="244"/>
      <c r="D801" s="244"/>
      <c r="E801" s="244"/>
      <c r="F801" s="244"/>
      <c r="G801" s="244"/>
      <c r="H801" s="244"/>
      <c r="I801" s="244"/>
      <c r="J801" s="244"/>
      <c r="K801" s="244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</row>
    <row r="802" ht="14.25" customHeight="1">
      <c r="A802" s="244"/>
      <c r="B802" s="244"/>
      <c r="C802" s="244"/>
      <c r="D802" s="244"/>
      <c r="E802" s="244"/>
      <c r="F802" s="244"/>
      <c r="G802" s="244"/>
      <c r="H802" s="244"/>
      <c r="I802" s="244"/>
      <c r="J802" s="244"/>
      <c r="K802" s="244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</row>
    <row r="803" ht="14.25" customHeight="1">
      <c r="A803" s="244"/>
      <c r="B803" s="244"/>
      <c r="C803" s="244"/>
      <c r="D803" s="244"/>
      <c r="E803" s="244"/>
      <c r="F803" s="244"/>
      <c r="G803" s="244"/>
      <c r="H803" s="244"/>
      <c r="I803" s="244"/>
      <c r="J803" s="244"/>
      <c r="K803" s="244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</row>
    <row r="804" ht="14.25" customHeight="1">
      <c r="A804" s="244"/>
      <c r="B804" s="244"/>
      <c r="C804" s="244"/>
      <c r="D804" s="244"/>
      <c r="E804" s="244"/>
      <c r="F804" s="244"/>
      <c r="G804" s="244"/>
      <c r="H804" s="244"/>
      <c r="I804" s="244"/>
      <c r="J804" s="244"/>
      <c r="K804" s="244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</row>
    <row r="805" ht="14.25" customHeight="1">
      <c r="A805" s="244"/>
      <c r="B805" s="244"/>
      <c r="C805" s="244"/>
      <c r="D805" s="244"/>
      <c r="E805" s="244"/>
      <c r="F805" s="244"/>
      <c r="G805" s="244"/>
      <c r="H805" s="244"/>
      <c r="I805" s="244"/>
      <c r="J805" s="244"/>
      <c r="K805" s="244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</row>
    <row r="806" ht="14.25" customHeight="1">
      <c r="A806" s="244"/>
      <c r="B806" s="244"/>
      <c r="C806" s="244"/>
      <c r="D806" s="244"/>
      <c r="E806" s="244"/>
      <c r="F806" s="244"/>
      <c r="G806" s="244"/>
      <c r="H806" s="244"/>
      <c r="I806" s="244"/>
      <c r="J806" s="244"/>
      <c r="K806" s="244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</row>
    <row r="807" ht="14.25" customHeight="1">
      <c r="A807" s="244"/>
      <c r="B807" s="244"/>
      <c r="C807" s="244"/>
      <c r="D807" s="244"/>
      <c r="E807" s="244"/>
      <c r="F807" s="244"/>
      <c r="G807" s="244"/>
      <c r="H807" s="244"/>
      <c r="I807" s="244"/>
      <c r="J807" s="244"/>
      <c r="K807" s="244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</row>
    <row r="808" ht="14.25" customHeight="1">
      <c r="A808" s="244"/>
      <c r="B808" s="244"/>
      <c r="C808" s="244"/>
      <c r="D808" s="244"/>
      <c r="E808" s="244"/>
      <c r="F808" s="244"/>
      <c r="G808" s="244"/>
      <c r="H808" s="244"/>
      <c r="I808" s="244"/>
      <c r="J808" s="244"/>
      <c r="K808" s="244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</row>
    <row r="809" ht="14.25" customHeight="1">
      <c r="A809" s="244"/>
      <c r="B809" s="244"/>
      <c r="C809" s="244"/>
      <c r="D809" s="244"/>
      <c r="E809" s="244"/>
      <c r="F809" s="244"/>
      <c r="G809" s="244"/>
      <c r="H809" s="244"/>
      <c r="I809" s="244"/>
      <c r="J809" s="244"/>
      <c r="K809" s="244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</row>
    <row r="810" ht="14.25" customHeight="1">
      <c r="A810" s="244"/>
      <c r="B810" s="244"/>
      <c r="C810" s="244"/>
      <c r="D810" s="244"/>
      <c r="E810" s="244"/>
      <c r="F810" s="244"/>
      <c r="G810" s="244"/>
      <c r="H810" s="244"/>
      <c r="I810" s="244"/>
      <c r="J810" s="244"/>
      <c r="K810" s="244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</row>
    <row r="811" ht="14.25" customHeight="1">
      <c r="A811" s="244"/>
      <c r="B811" s="244"/>
      <c r="C811" s="244"/>
      <c r="D811" s="244"/>
      <c r="E811" s="244"/>
      <c r="F811" s="244"/>
      <c r="G811" s="244"/>
      <c r="H811" s="244"/>
      <c r="I811" s="244"/>
      <c r="J811" s="244"/>
      <c r="K811" s="244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</row>
    <row r="812" ht="14.25" customHeight="1">
      <c r="A812" s="244"/>
      <c r="B812" s="244"/>
      <c r="C812" s="244"/>
      <c r="D812" s="244"/>
      <c r="E812" s="244"/>
      <c r="F812" s="244"/>
      <c r="G812" s="244"/>
      <c r="H812" s="244"/>
      <c r="I812" s="244"/>
      <c r="J812" s="244"/>
      <c r="K812" s="244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</row>
    <row r="813" ht="14.25" customHeight="1">
      <c r="A813" s="244"/>
      <c r="B813" s="244"/>
      <c r="C813" s="244"/>
      <c r="D813" s="244"/>
      <c r="E813" s="244"/>
      <c r="F813" s="244"/>
      <c r="G813" s="244"/>
      <c r="H813" s="244"/>
      <c r="I813" s="244"/>
      <c r="J813" s="244"/>
      <c r="K813" s="244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</row>
    <row r="814" ht="14.25" customHeight="1">
      <c r="A814" s="244"/>
      <c r="B814" s="244"/>
      <c r="C814" s="244"/>
      <c r="D814" s="244"/>
      <c r="E814" s="244"/>
      <c r="F814" s="244"/>
      <c r="G814" s="244"/>
      <c r="H814" s="244"/>
      <c r="I814" s="244"/>
      <c r="J814" s="244"/>
      <c r="K814" s="244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</row>
    <row r="815" ht="14.25" customHeight="1">
      <c r="A815" s="244"/>
      <c r="B815" s="244"/>
      <c r="C815" s="244"/>
      <c r="D815" s="244"/>
      <c r="E815" s="244"/>
      <c r="F815" s="244"/>
      <c r="G815" s="244"/>
      <c r="H815" s="244"/>
      <c r="I815" s="244"/>
      <c r="J815" s="244"/>
      <c r="K815" s="244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</row>
    <row r="816" ht="14.25" customHeight="1">
      <c r="A816" s="244"/>
      <c r="B816" s="244"/>
      <c r="C816" s="244"/>
      <c r="D816" s="244"/>
      <c r="E816" s="244"/>
      <c r="F816" s="244"/>
      <c r="G816" s="244"/>
      <c r="H816" s="244"/>
      <c r="I816" s="244"/>
      <c r="J816" s="244"/>
      <c r="K816" s="244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</row>
    <row r="817" ht="14.25" customHeight="1">
      <c r="A817" s="244"/>
      <c r="B817" s="244"/>
      <c r="C817" s="244"/>
      <c r="D817" s="244"/>
      <c r="E817" s="244"/>
      <c r="F817" s="244"/>
      <c r="G817" s="244"/>
      <c r="H817" s="244"/>
      <c r="I817" s="244"/>
      <c r="J817" s="244"/>
      <c r="K817" s="244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</row>
    <row r="818" ht="14.25" customHeight="1">
      <c r="A818" s="244"/>
      <c r="B818" s="244"/>
      <c r="C818" s="244"/>
      <c r="D818" s="244"/>
      <c r="E818" s="244"/>
      <c r="F818" s="244"/>
      <c r="G818" s="244"/>
      <c r="H818" s="244"/>
      <c r="I818" s="244"/>
      <c r="J818" s="244"/>
      <c r="K818" s="244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</row>
    <row r="819" ht="14.25" customHeight="1">
      <c r="A819" s="244"/>
      <c r="B819" s="244"/>
      <c r="C819" s="244"/>
      <c r="D819" s="244"/>
      <c r="E819" s="244"/>
      <c r="F819" s="244"/>
      <c r="G819" s="244"/>
      <c r="H819" s="244"/>
      <c r="I819" s="244"/>
      <c r="J819" s="244"/>
      <c r="K819" s="244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</row>
    <row r="820" ht="14.25" customHeight="1">
      <c r="A820" s="244"/>
      <c r="B820" s="244"/>
      <c r="C820" s="244"/>
      <c r="D820" s="244"/>
      <c r="E820" s="244"/>
      <c r="F820" s="244"/>
      <c r="G820" s="244"/>
      <c r="H820" s="244"/>
      <c r="I820" s="244"/>
      <c r="J820" s="244"/>
      <c r="K820" s="244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</row>
    <row r="821" ht="14.25" customHeight="1">
      <c r="A821" s="244"/>
      <c r="B821" s="244"/>
      <c r="C821" s="244"/>
      <c r="D821" s="244"/>
      <c r="E821" s="244"/>
      <c r="F821" s="244"/>
      <c r="G821" s="244"/>
      <c r="H821" s="244"/>
      <c r="I821" s="244"/>
      <c r="J821" s="244"/>
      <c r="K821" s="244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</row>
    <row r="822" ht="14.25" customHeight="1">
      <c r="A822" s="244"/>
      <c r="B822" s="244"/>
      <c r="C822" s="244"/>
      <c r="D822" s="244"/>
      <c r="E822" s="244"/>
      <c r="F822" s="244"/>
      <c r="G822" s="244"/>
      <c r="H822" s="244"/>
      <c r="I822" s="244"/>
      <c r="J822" s="244"/>
      <c r="K822" s="244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</row>
    <row r="823" ht="14.25" customHeight="1">
      <c r="A823" s="244"/>
      <c r="B823" s="244"/>
      <c r="C823" s="244"/>
      <c r="D823" s="244"/>
      <c r="E823" s="244"/>
      <c r="F823" s="244"/>
      <c r="G823" s="244"/>
      <c r="H823" s="244"/>
      <c r="I823" s="244"/>
      <c r="J823" s="244"/>
      <c r="K823" s="244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</row>
    <row r="824" ht="14.25" customHeight="1">
      <c r="A824" s="244"/>
      <c r="B824" s="244"/>
      <c r="C824" s="244"/>
      <c r="D824" s="244"/>
      <c r="E824" s="244"/>
      <c r="F824" s="244"/>
      <c r="G824" s="244"/>
      <c r="H824" s="244"/>
      <c r="I824" s="244"/>
      <c r="J824" s="244"/>
      <c r="K824" s="244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</row>
    <row r="825" ht="14.25" customHeight="1">
      <c r="A825" s="244"/>
      <c r="B825" s="244"/>
      <c r="C825" s="244"/>
      <c r="D825" s="244"/>
      <c r="E825" s="244"/>
      <c r="F825" s="244"/>
      <c r="G825" s="244"/>
      <c r="H825" s="244"/>
      <c r="I825" s="244"/>
      <c r="J825" s="244"/>
      <c r="K825" s="244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</row>
    <row r="826" ht="14.25" customHeight="1">
      <c r="A826" s="244"/>
      <c r="B826" s="244"/>
      <c r="C826" s="244"/>
      <c r="D826" s="244"/>
      <c r="E826" s="244"/>
      <c r="F826" s="244"/>
      <c r="G826" s="244"/>
      <c r="H826" s="244"/>
      <c r="I826" s="244"/>
      <c r="J826" s="244"/>
      <c r="K826" s="244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</row>
    <row r="827" ht="14.25" customHeight="1">
      <c r="A827" s="244"/>
      <c r="B827" s="244"/>
      <c r="C827" s="244"/>
      <c r="D827" s="244"/>
      <c r="E827" s="244"/>
      <c r="F827" s="244"/>
      <c r="G827" s="244"/>
      <c r="H827" s="244"/>
      <c r="I827" s="244"/>
      <c r="J827" s="244"/>
      <c r="K827" s="244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</row>
    <row r="828" ht="14.25" customHeight="1">
      <c r="A828" s="244"/>
      <c r="B828" s="244"/>
      <c r="C828" s="244"/>
      <c r="D828" s="244"/>
      <c r="E828" s="244"/>
      <c r="F828" s="244"/>
      <c r="G828" s="244"/>
      <c r="H828" s="244"/>
      <c r="I828" s="244"/>
      <c r="J828" s="244"/>
      <c r="K828" s="244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</row>
    <row r="829" ht="14.25" customHeight="1">
      <c r="A829" s="244"/>
      <c r="B829" s="244"/>
      <c r="C829" s="244"/>
      <c r="D829" s="244"/>
      <c r="E829" s="244"/>
      <c r="F829" s="244"/>
      <c r="G829" s="244"/>
      <c r="H829" s="244"/>
      <c r="I829" s="244"/>
      <c r="J829" s="244"/>
      <c r="K829" s="244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</row>
    <row r="830" ht="14.25" customHeight="1">
      <c r="A830" s="244"/>
      <c r="B830" s="244"/>
      <c r="C830" s="244"/>
      <c r="D830" s="244"/>
      <c r="E830" s="244"/>
      <c r="F830" s="244"/>
      <c r="G830" s="244"/>
      <c r="H830" s="244"/>
      <c r="I830" s="244"/>
      <c r="J830" s="244"/>
      <c r="K830" s="244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</row>
    <row r="831" ht="14.25" customHeight="1">
      <c r="A831" s="244"/>
      <c r="B831" s="244"/>
      <c r="C831" s="244"/>
      <c r="D831" s="244"/>
      <c r="E831" s="244"/>
      <c r="F831" s="244"/>
      <c r="G831" s="244"/>
      <c r="H831" s="244"/>
      <c r="I831" s="244"/>
      <c r="J831" s="244"/>
      <c r="K831" s="244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</row>
    <row r="832" ht="14.25" customHeight="1">
      <c r="A832" s="244"/>
      <c r="B832" s="244"/>
      <c r="C832" s="244"/>
      <c r="D832" s="244"/>
      <c r="E832" s="244"/>
      <c r="F832" s="244"/>
      <c r="G832" s="244"/>
      <c r="H832" s="244"/>
      <c r="I832" s="244"/>
      <c r="J832" s="244"/>
      <c r="K832" s="244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</row>
    <row r="833" ht="14.25" customHeight="1">
      <c r="A833" s="244"/>
      <c r="B833" s="244"/>
      <c r="C833" s="244"/>
      <c r="D833" s="244"/>
      <c r="E833" s="244"/>
      <c r="F833" s="244"/>
      <c r="G833" s="244"/>
      <c r="H833" s="244"/>
      <c r="I833" s="244"/>
      <c r="J833" s="244"/>
      <c r="K833" s="244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</row>
    <row r="834" ht="14.25" customHeight="1">
      <c r="A834" s="244"/>
      <c r="B834" s="244"/>
      <c r="C834" s="244"/>
      <c r="D834" s="244"/>
      <c r="E834" s="244"/>
      <c r="F834" s="244"/>
      <c r="G834" s="244"/>
      <c r="H834" s="244"/>
      <c r="I834" s="244"/>
      <c r="J834" s="244"/>
      <c r="K834" s="244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</row>
    <row r="835" ht="14.25" customHeight="1">
      <c r="A835" s="244"/>
      <c r="B835" s="244"/>
      <c r="C835" s="244"/>
      <c r="D835" s="244"/>
      <c r="E835" s="244"/>
      <c r="F835" s="244"/>
      <c r="G835" s="244"/>
      <c r="H835" s="244"/>
      <c r="I835" s="244"/>
      <c r="J835" s="244"/>
      <c r="K835" s="244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</row>
    <row r="836" ht="14.25" customHeight="1">
      <c r="A836" s="244"/>
      <c r="B836" s="244"/>
      <c r="C836" s="244"/>
      <c r="D836" s="244"/>
      <c r="E836" s="244"/>
      <c r="F836" s="244"/>
      <c r="G836" s="244"/>
      <c r="H836" s="244"/>
      <c r="I836" s="244"/>
      <c r="J836" s="244"/>
      <c r="K836" s="244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</row>
    <row r="837" ht="14.25" customHeight="1">
      <c r="A837" s="244"/>
      <c r="B837" s="244"/>
      <c r="C837" s="244"/>
      <c r="D837" s="244"/>
      <c r="E837" s="244"/>
      <c r="F837" s="244"/>
      <c r="G837" s="244"/>
      <c r="H837" s="244"/>
      <c r="I837" s="244"/>
      <c r="J837" s="244"/>
      <c r="K837" s="244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</row>
    <row r="838" ht="14.25" customHeight="1">
      <c r="A838" s="244"/>
      <c r="B838" s="244"/>
      <c r="C838" s="244"/>
      <c r="D838" s="244"/>
      <c r="E838" s="244"/>
      <c r="F838" s="244"/>
      <c r="G838" s="244"/>
      <c r="H838" s="244"/>
      <c r="I838" s="244"/>
      <c r="J838" s="244"/>
      <c r="K838" s="244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</row>
    <row r="839" ht="14.25" customHeight="1">
      <c r="A839" s="244"/>
      <c r="B839" s="244"/>
      <c r="C839" s="244"/>
      <c r="D839" s="244"/>
      <c r="E839" s="244"/>
      <c r="F839" s="244"/>
      <c r="G839" s="244"/>
      <c r="H839" s="244"/>
      <c r="I839" s="244"/>
      <c r="J839" s="244"/>
      <c r="K839" s="244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</row>
    <row r="840" ht="14.25" customHeight="1">
      <c r="A840" s="244"/>
      <c r="B840" s="244"/>
      <c r="C840" s="244"/>
      <c r="D840" s="244"/>
      <c r="E840" s="244"/>
      <c r="F840" s="244"/>
      <c r="G840" s="244"/>
      <c r="H840" s="244"/>
      <c r="I840" s="244"/>
      <c r="J840" s="244"/>
      <c r="K840" s="244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</row>
    <row r="841" ht="14.25" customHeight="1">
      <c r="A841" s="244"/>
      <c r="B841" s="244"/>
      <c r="C841" s="244"/>
      <c r="D841" s="244"/>
      <c r="E841" s="244"/>
      <c r="F841" s="244"/>
      <c r="G841" s="244"/>
      <c r="H841" s="244"/>
      <c r="I841" s="244"/>
      <c r="J841" s="244"/>
      <c r="K841" s="244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</row>
    <row r="842" ht="14.25" customHeight="1">
      <c r="A842" s="244"/>
      <c r="B842" s="244"/>
      <c r="C842" s="244"/>
      <c r="D842" s="244"/>
      <c r="E842" s="244"/>
      <c r="F842" s="244"/>
      <c r="G842" s="244"/>
      <c r="H842" s="244"/>
      <c r="I842" s="244"/>
      <c r="J842" s="244"/>
      <c r="K842" s="244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</row>
    <row r="843" ht="14.25" customHeight="1">
      <c r="A843" s="244"/>
      <c r="B843" s="244"/>
      <c r="C843" s="244"/>
      <c r="D843" s="244"/>
      <c r="E843" s="244"/>
      <c r="F843" s="244"/>
      <c r="G843" s="244"/>
      <c r="H843" s="244"/>
      <c r="I843" s="244"/>
      <c r="J843" s="244"/>
      <c r="K843" s="244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</row>
    <row r="844" ht="14.25" customHeight="1">
      <c r="A844" s="244"/>
      <c r="B844" s="244"/>
      <c r="C844" s="244"/>
      <c r="D844" s="244"/>
      <c r="E844" s="244"/>
      <c r="F844" s="244"/>
      <c r="G844" s="244"/>
      <c r="H844" s="244"/>
      <c r="I844" s="244"/>
      <c r="J844" s="244"/>
      <c r="K844" s="244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</row>
    <row r="845" ht="14.25" customHeight="1">
      <c r="A845" s="244"/>
      <c r="B845" s="244"/>
      <c r="C845" s="244"/>
      <c r="D845" s="244"/>
      <c r="E845" s="244"/>
      <c r="F845" s="244"/>
      <c r="G845" s="244"/>
      <c r="H845" s="244"/>
      <c r="I845" s="244"/>
      <c r="J845" s="244"/>
      <c r="K845" s="244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</row>
    <row r="846" ht="14.25" customHeight="1">
      <c r="A846" s="244"/>
      <c r="B846" s="244"/>
      <c r="C846" s="244"/>
      <c r="D846" s="244"/>
      <c r="E846" s="244"/>
      <c r="F846" s="244"/>
      <c r="G846" s="244"/>
      <c r="H846" s="244"/>
      <c r="I846" s="244"/>
      <c r="J846" s="244"/>
      <c r="K846" s="244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</row>
    <row r="847" ht="14.25" customHeight="1">
      <c r="A847" s="244"/>
      <c r="B847" s="244"/>
      <c r="C847" s="244"/>
      <c r="D847" s="244"/>
      <c r="E847" s="244"/>
      <c r="F847" s="244"/>
      <c r="G847" s="244"/>
      <c r="H847" s="244"/>
      <c r="I847" s="244"/>
      <c r="J847" s="244"/>
      <c r="K847" s="244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</row>
    <row r="848" ht="14.25" customHeight="1">
      <c r="A848" s="244"/>
      <c r="B848" s="244"/>
      <c r="C848" s="244"/>
      <c r="D848" s="244"/>
      <c r="E848" s="244"/>
      <c r="F848" s="244"/>
      <c r="G848" s="244"/>
      <c r="H848" s="244"/>
      <c r="I848" s="244"/>
      <c r="J848" s="244"/>
      <c r="K848" s="244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</row>
    <row r="849" ht="14.25" customHeight="1">
      <c r="A849" s="244"/>
      <c r="B849" s="244"/>
      <c r="C849" s="244"/>
      <c r="D849" s="244"/>
      <c r="E849" s="244"/>
      <c r="F849" s="244"/>
      <c r="G849" s="244"/>
      <c r="H849" s="244"/>
      <c r="I849" s="244"/>
      <c r="J849" s="244"/>
      <c r="K849" s="244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</row>
    <row r="850" ht="14.25" customHeight="1">
      <c r="A850" s="244"/>
      <c r="B850" s="244"/>
      <c r="C850" s="244"/>
      <c r="D850" s="244"/>
      <c r="E850" s="244"/>
      <c r="F850" s="244"/>
      <c r="G850" s="244"/>
      <c r="H850" s="244"/>
      <c r="I850" s="244"/>
      <c r="J850" s="244"/>
      <c r="K850" s="244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</row>
    <row r="851" ht="14.25" customHeight="1">
      <c r="A851" s="244"/>
      <c r="B851" s="244"/>
      <c r="C851" s="244"/>
      <c r="D851" s="244"/>
      <c r="E851" s="244"/>
      <c r="F851" s="244"/>
      <c r="G851" s="244"/>
      <c r="H851" s="244"/>
      <c r="I851" s="244"/>
      <c r="J851" s="244"/>
      <c r="K851" s="244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</row>
    <row r="852" ht="14.25" customHeight="1">
      <c r="A852" s="244"/>
      <c r="B852" s="244"/>
      <c r="C852" s="244"/>
      <c r="D852" s="244"/>
      <c r="E852" s="244"/>
      <c r="F852" s="244"/>
      <c r="G852" s="244"/>
      <c r="H852" s="244"/>
      <c r="I852" s="244"/>
      <c r="J852" s="244"/>
      <c r="K852" s="244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</row>
    <row r="853" ht="14.25" customHeight="1">
      <c r="A853" s="244"/>
      <c r="B853" s="244"/>
      <c r="C853" s="244"/>
      <c r="D853" s="244"/>
      <c r="E853" s="244"/>
      <c r="F853" s="244"/>
      <c r="G853" s="244"/>
      <c r="H853" s="244"/>
      <c r="I853" s="244"/>
      <c r="J853" s="244"/>
      <c r="K853" s="244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</row>
    <row r="854" ht="14.25" customHeight="1">
      <c r="A854" s="244"/>
      <c r="B854" s="244"/>
      <c r="C854" s="244"/>
      <c r="D854" s="244"/>
      <c r="E854" s="244"/>
      <c r="F854" s="244"/>
      <c r="G854" s="244"/>
      <c r="H854" s="244"/>
      <c r="I854" s="244"/>
      <c r="J854" s="244"/>
      <c r="K854" s="244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</row>
    <row r="855" ht="14.25" customHeight="1">
      <c r="A855" s="244"/>
      <c r="B855" s="244"/>
      <c r="C855" s="244"/>
      <c r="D855" s="244"/>
      <c r="E855" s="244"/>
      <c r="F855" s="244"/>
      <c r="G855" s="244"/>
      <c r="H855" s="244"/>
      <c r="I855" s="244"/>
      <c r="J855" s="244"/>
      <c r="K855" s="244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</row>
    <row r="856" ht="14.25" customHeight="1">
      <c r="A856" s="244"/>
      <c r="B856" s="244"/>
      <c r="C856" s="244"/>
      <c r="D856" s="244"/>
      <c r="E856" s="244"/>
      <c r="F856" s="244"/>
      <c r="G856" s="244"/>
      <c r="H856" s="244"/>
      <c r="I856" s="244"/>
      <c r="J856" s="244"/>
      <c r="K856" s="244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</row>
    <row r="857" ht="14.25" customHeight="1">
      <c r="A857" s="244"/>
      <c r="B857" s="244"/>
      <c r="C857" s="244"/>
      <c r="D857" s="244"/>
      <c r="E857" s="244"/>
      <c r="F857" s="244"/>
      <c r="G857" s="244"/>
      <c r="H857" s="244"/>
      <c r="I857" s="244"/>
      <c r="J857" s="244"/>
      <c r="K857" s="244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</row>
    <row r="858" ht="14.25" customHeight="1">
      <c r="A858" s="244"/>
      <c r="B858" s="244"/>
      <c r="C858" s="244"/>
      <c r="D858" s="244"/>
      <c r="E858" s="244"/>
      <c r="F858" s="244"/>
      <c r="G858" s="244"/>
      <c r="H858" s="244"/>
      <c r="I858" s="244"/>
      <c r="J858" s="244"/>
      <c r="K858" s="244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</row>
    <row r="859" ht="14.25" customHeight="1">
      <c r="A859" s="244"/>
      <c r="B859" s="244"/>
      <c r="C859" s="244"/>
      <c r="D859" s="244"/>
      <c r="E859" s="244"/>
      <c r="F859" s="244"/>
      <c r="G859" s="244"/>
      <c r="H859" s="244"/>
      <c r="I859" s="244"/>
      <c r="J859" s="244"/>
      <c r="K859" s="244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</row>
    <row r="860" ht="14.25" customHeight="1">
      <c r="A860" s="244"/>
      <c r="B860" s="244"/>
      <c r="C860" s="244"/>
      <c r="D860" s="244"/>
      <c r="E860" s="244"/>
      <c r="F860" s="244"/>
      <c r="G860" s="244"/>
      <c r="H860" s="244"/>
      <c r="I860" s="244"/>
      <c r="J860" s="244"/>
      <c r="K860" s="244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</row>
    <row r="861" ht="14.25" customHeight="1">
      <c r="A861" s="244"/>
      <c r="B861" s="244"/>
      <c r="C861" s="244"/>
      <c r="D861" s="244"/>
      <c r="E861" s="244"/>
      <c r="F861" s="244"/>
      <c r="G861" s="244"/>
      <c r="H861" s="244"/>
      <c r="I861" s="244"/>
      <c r="J861" s="244"/>
      <c r="K861" s="244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</row>
    <row r="862" ht="14.25" customHeight="1">
      <c r="A862" s="244"/>
      <c r="B862" s="244"/>
      <c r="C862" s="244"/>
      <c r="D862" s="244"/>
      <c r="E862" s="244"/>
      <c r="F862" s="244"/>
      <c r="G862" s="244"/>
      <c r="H862" s="244"/>
      <c r="I862" s="244"/>
      <c r="J862" s="244"/>
      <c r="K862" s="244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</row>
    <row r="863" ht="14.25" customHeight="1">
      <c r="A863" s="244"/>
      <c r="B863" s="244"/>
      <c r="C863" s="244"/>
      <c r="D863" s="244"/>
      <c r="E863" s="244"/>
      <c r="F863" s="244"/>
      <c r="G863" s="244"/>
      <c r="H863" s="244"/>
      <c r="I863" s="244"/>
      <c r="J863" s="244"/>
      <c r="K863" s="244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</row>
    <row r="864" ht="14.25" customHeight="1">
      <c r="A864" s="244"/>
      <c r="B864" s="244"/>
      <c r="C864" s="244"/>
      <c r="D864" s="244"/>
      <c r="E864" s="244"/>
      <c r="F864" s="244"/>
      <c r="G864" s="244"/>
      <c r="H864" s="244"/>
      <c r="I864" s="244"/>
      <c r="J864" s="244"/>
      <c r="K864" s="244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</row>
    <row r="865" ht="14.25" customHeight="1">
      <c r="A865" s="244"/>
      <c r="B865" s="244"/>
      <c r="C865" s="244"/>
      <c r="D865" s="244"/>
      <c r="E865" s="244"/>
      <c r="F865" s="244"/>
      <c r="G865" s="244"/>
      <c r="H865" s="244"/>
      <c r="I865" s="244"/>
      <c r="J865" s="244"/>
      <c r="K865" s="244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</row>
    <row r="866" ht="14.25" customHeight="1">
      <c r="A866" s="244"/>
      <c r="B866" s="244"/>
      <c r="C866" s="244"/>
      <c r="D866" s="244"/>
      <c r="E866" s="244"/>
      <c r="F866" s="244"/>
      <c r="G866" s="244"/>
      <c r="H866" s="244"/>
      <c r="I866" s="244"/>
      <c r="J866" s="244"/>
      <c r="K866" s="244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</row>
    <row r="867" ht="14.25" customHeight="1">
      <c r="A867" s="244"/>
      <c r="B867" s="244"/>
      <c r="C867" s="244"/>
      <c r="D867" s="244"/>
      <c r="E867" s="244"/>
      <c r="F867" s="244"/>
      <c r="G867" s="244"/>
      <c r="H867" s="244"/>
      <c r="I867" s="244"/>
      <c r="J867" s="244"/>
      <c r="K867" s="244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</row>
    <row r="868" ht="14.25" customHeight="1">
      <c r="A868" s="244"/>
      <c r="B868" s="244"/>
      <c r="C868" s="244"/>
      <c r="D868" s="244"/>
      <c r="E868" s="244"/>
      <c r="F868" s="244"/>
      <c r="G868" s="244"/>
      <c r="H868" s="244"/>
      <c r="I868" s="244"/>
      <c r="J868" s="244"/>
      <c r="K868" s="244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</row>
    <row r="869" ht="14.25" customHeight="1">
      <c r="A869" s="244"/>
      <c r="B869" s="244"/>
      <c r="C869" s="244"/>
      <c r="D869" s="244"/>
      <c r="E869" s="244"/>
      <c r="F869" s="244"/>
      <c r="G869" s="244"/>
      <c r="H869" s="244"/>
      <c r="I869" s="244"/>
      <c r="J869" s="244"/>
      <c r="K869" s="244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</row>
    <row r="870" ht="14.25" customHeight="1">
      <c r="A870" s="244"/>
      <c r="B870" s="244"/>
      <c r="C870" s="244"/>
      <c r="D870" s="244"/>
      <c r="E870" s="244"/>
      <c r="F870" s="244"/>
      <c r="G870" s="244"/>
      <c r="H870" s="244"/>
      <c r="I870" s="244"/>
      <c r="J870" s="244"/>
      <c r="K870" s="244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</row>
    <row r="871" ht="14.25" customHeight="1">
      <c r="A871" s="244"/>
      <c r="B871" s="244"/>
      <c r="C871" s="244"/>
      <c r="D871" s="244"/>
      <c r="E871" s="244"/>
      <c r="F871" s="244"/>
      <c r="G871" s="244"/>
      <c r="H871" s="244"/>
      <c r="I871" s="244"/>
      <c r="J871" s="244"/>
      <c r="K871" s="244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</row>
    <row r="872" ht="14.25" customHeight="1">
      <c r="A872" s="244"/>
      <c r="B872" s="244"/>
      <c r="C872" s="244"/>
      <c r="D872" s="244"/>
      <c r="E872" s="244"/>
      <c r="F872" s="244"/>
      <c r="G872" s="244"/>
      <c r="H872" s="244"/>
      <c r="I872" s="244"/>
      <c r="J872" s="244"/>
      <c r="K872" s="244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</row>
    <row r="873" ht="14.25" customHeight="1">
      <c r="A873" s="244"/>
      <c r="B873" s="244"/>
      <c r="C873" s="244"/>
      <c r="D873" s="244"/>
      <c r="E873" s="244"/>
      <c r="F873" s="244"/>
      <c r="G873" s="244"/>
      <c r="H873" s="244"/>
      <c r="I873" s="244"/>
      <c r="J873" s="244"/>
      <c r="K873" s="244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</row>
    <row r="874" ht="14.25" customHeight="1">
      <c r="A874" s="244"/>
      <c r="B874" s="244"/>
      <c r="C874" s="244"/>
      <c r="D874" s="244"/>
      <c r="E874" s="244"/>
      <c r="F874" s="244"/>
      <c r="G874" s="244"/>
      <c r="H874" s="244"/>
      <c r="I874" s="244"/>
      <c r="J874" s="244"/>
      <c r="K874" s="244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</row>
    <row r="875" ht="14.25" customHeight="1">
      <c r="A875" s="244"/>
      <c r="B875" s="244"/>
      <c r="C875" s="244"/>
      <c r="D875" s="244"/>
      <c r="E875" s="244"/>
      <c r="F875" s="244"/>
      <c r="G875" s="244"/>
      <c r="H875" s="244"/>
      <c r="I875" s="244"/>
      <c r="J875" s="244"/>
      <c r="K875" s="244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</row>
    <row r="876" ht="14.25" customHeight="1">
      <c r="A876" s="244"/>
      <c r="B876" s="244"/>
      <c r="C876" s="244"/>
      <c r="D876" s="244"/>
      <c r="E876" s="244"/>
      <c r="F876" s="244"/>
      <c r="G876" s="244"/>
      <c r="H876" s="244"/>
      <c r="I876" s="244"/>
      <c r="J876" s="244"/>
      <c r="K876" s="244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</row>
    <row r="877" ht="14.25" customHeight="1">
      <c r="A877" s="244"/>
      <c r="B877" s="244"/>
      <c r="C877" s="244"/>
      <c r="D877" s="244"/>
      <c r="E877" s="244"/>
      <c r="F877" s="244"/>
      <c r="G877" s="244"/>
      <c r="H877" s="244"/>
      <c r="I877" s="244"/>
      <c r="J877" s="244"/>
      <c r="K877" s="244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</row>
    <row r="878" ht="14.25" customHeight="1">
      <c r="A878" s="244"/>
      <c r="B878" s="244"/>
      <c r="C878" s="244"/>
      <c r="D878" s="244"/>
      <c r="E878" s="244"/>
      <c r="F878" s="244"/>
      <c r="G878" s="244"/>
      <c r="H878" s="244"/>
      <c r="I878" s="244"/>
      <c r="J878" s="244"/>
      <c r="K878" s="244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</row>
    <row r="879" ht="14.25" customHeight="1">
      <c r="A879" s="244"/>
      <c r="B879" s="244"/>
      <c r="C879" s="244"/>
      <c r="D879" s="244"/>
      <c r="E879" s="244"/>
      <c r="F879" s="244"/>
      <c r="G879" s="244"/>
      <c r="H879" s="244"/>
      <c r="I879" s="244"/>
      <c r="J879" s="244"/>
      <c r="K879" s="244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</row>
    <row r="880" ht="14.25" customHeight="1">
      <c r="A880" s="244"/>
      <c r="B880" s="244"/>
      <c r="C880" s="244"/>
      <c r="D880" s="244"/>
      <c r="E880" s="244"/>
      <c r="F880" s="244"/>
      <c r="G880" s="244"/>
      <c r="H880" s="244"/>
      <c r="I880" s="244"/>
      <c r="J880" s="244"/>
      <c r="K880" s="244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</row>
    <row r="881" ht="14.25" customHeight="1">
      <c r="A881" s="244"/>
      <c r="B881" s="244"/>
      <c r="C881" s="244"/>
      <c r="D881" s="244"/>
      <c r="E881" s="244"/>
      <c r="F881" s="244"/>
      <c r="G881" s="244"/>
      <c r="H881" s="244"/>
      <c r="I881" s="244"/>
      <c r="J881" s="244"/>
      <c r="K881" s="244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</row>
    <row r="882" ht="14.25" customHeight="1">
      <c r="A882" s="244"/>
      <c r="B882" s="244"/>
      <c r="C882" s="244"/>
      <c r="D882" s="244"/>
      <c r="E882" s="244"/>
      <c r="F882" s="244"/>
      <c r="G882" s="244"/>
      <c r="H882" s="244"/>
      <c r="I882" s="244"/>
      <c r="J882" s="244"/>
      <c r="K882" s="244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</row>
    <row r="883" ht="14.25" customHeight="1">
      <c r="A883" s="244"/>
      <c r="B883" s="244"/>
      <c r="C883" s="244"/>
      <c r="D883" s="244"/>
      <c r="E883" s="244"/>
      <c r="F883" s="244"/>
      <c r="G883" s="244"/>
      <c r="H883" s="244"/>
      <c r="I883" s="244"/>
      <c r="J883" s="244"/>
      <c r="K883" s="244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</row>
    <row r="884" ht="14.25" customHeight="1">
      <c r="A884" s="244"/>
      <c r="B884" s="244"/>
      <c r="C884" s="244"/>
      <c r="D884" s="244"/>
      <c r="E884" s="244"/>
      <c r="F884" s="244"/>
      <c r="G884" s="244"/>
      <c r="H884" s="244"/>
      <c r="I884" s="244"/>
      <c r="J884" s="244"/>
      <c r="K884" s="244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</row>
    <row r="885" ht="14.25" customHeight="1">
      <c r="A885" s="244"/>
      <c r="B885" s="244"/>
      <c r="C885" s="244"/>
      <c r="D885" s="244"/>
      <c r="E885" s="244"/>
      <c r="F885" s="244"/>
      <c r="G885" s="244"/>
      <c r="H885" s="244"/>
      <c r="I885" s="244"/>
      <c r="J885" s="244"/>
      <c r="K885" s="244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</row>
    <row r="886" ht="14.25" customHeight="1">
      <c r="A886" s="244"/>
      <c r="B886" s="244"/>
      <c r="C886" s="244"/>
      <c r="D886" s="244"/>
      <c r="E886" s="244"/>
      <c r="F886" s="244"/>
      <c r="G886" s="244"/>
      <c r="H886" s="244"/>
      <c r="I886" s="244"/>
      <c r="J886" s="244"/>
      <c r="K886" s="244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</row>
    <row r="887" ht="14.25" customHeight="1">
      <c r="A887" s="244"/>
      <c r="B887" s="244"/>
      <c r="C887" s="244"/>
      <c r="D887" s="244"/>
      <c r="E887" s="244"/>
      <c r="F887" s="244"/>
      <c r="G887" s="244"/>
      <c r="H887" s="244"/>
      <c r="I887" s="244"/>
      <c r="J887" s="244"/>
      <c r="K887" s="244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</row>
    <row r="888" ht="14.25" customHeight="1">
      <c r="A888" s="244"/>
      <c r="B888" s="244"/>
      <c r="C888" s="244"/>
      <c r="D888" s="244"/>
      <c r="E888" s="244"/>
      <c r="F888" s="244"/>
      <c r="G888" s="244"/>
      <c r="H888" s="244"/>
      <c r="I888" s="244"/>
      <c r="J888" s="244"/>
      <c r="K888" s="244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</row>
    <row r="889" ht="14.25" customHeight="1">
      <c r="A889" s="244"/>
      <c r="B889" s="244"/>
      <c r="C889" s="244"/>
      <c r="D889" s="244"/>
      <c r="E889" s="244"/>
      <c r="F889" s="244"/>
      <c r="G889" s="244"/>
      <c r="H889" s="244"/>
      <c r="I889" s="244"/>
      <c r="J889" s="244"/>
      <c r="K889" s="244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</row>
    <row r="890" ht="14.25" customHeight="1">
      <c r="A890" s="244"/>
      <c r="B890" s="244"/>
      <c r="C890" s="244"/>
      <c r="D890" s="244"/>
      <c r="E890" s="244"/>
      <c r="F890" s="244"/>
      <c r="G890" s="244"/>
      <c r="H890" s="244"/>
      <c r="I890" s="244"/>
      <c r="J890" s="244"/>
      <c r="K890" s="244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</row>
    <row r="891" ht="14.25" customHeight="1">
      <c r="A891" s="244"/>
      <c r="B891" s="244"/>
      <c r="C891" s="244"/>
      <c r="D891" s="244"/>
      <c r="E891" s="244"/>
      <c r="F891" s="244"/>
      <c r="G891" s="244"/>
      <c r="H891" s="244"/>
      <c r="I891" s="244"/>
      <c r="J891" s="244"/>
      <c r="K891" s="244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</row>
    <row r="892" ht="14.25" customHeight="1">
      <c r="A892" s="244"/>
      <c r="B892" s="244"/>
      <c r="C892" s="244"/>
      <c r="D892" s="244"/>
      <c r="E892" s="244"/>
      <c r="F892" s="244"/>
      <c r="G892" s="244"/>
      <c r="H892" s="244"/>
      <c r="I892" s="244"/>
      <c r="J892" s="244"/>
      <c r="K892" s="244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</row>
    <row r="893" ht="14.25" customHeight="1">
      <c r="A893" s="244"/>
      <c r="B893" s="244"/>
      <c r="C893" s="244"/>
      <c r="D893" s="244"/>
      <c r="E893" s="244"/>
      <c r="F893" s="244"/>
      <c r="G893" s="244"/>
      <c r="H893" s="244"/>
      <c r="I893" s="244"/>
      <c r="J893" s="244"/>
      <c r="K893" s="244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</row>
    <row r="894" ht="14.25" customHeight="1">
      <c r="A894" s="244"/>
      <c r="B894" s="244"/>
      <c r="C894" s="244"/>
      <c r="D894" s="244"/>
      <c r="E894" s="244"/>
      <c r="F894" s="244"/>
      <c r="G894" s="244"/>
      <c r="H894" s="244"/>
      <c r="I894" s="244"/>
      <c r="J894" s="244"/>
      <c r="K894" s="244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</row>
    <row r="895" ht="14.25" customHeight="1">
      <c r="A895" s="244"/>
      <c r="B895" s="244"/>
      <c r="C895" s="244"/>
      <c r="D895" s="244"/>
      <c r="E895" s="244"/>
      <c r="F895" s="244"/>
      <c r="G895" s="244"/>
      <c r="H895" s="244"/>
      <c r="I895" s="244"/>
      <c r="J895" s="244"/>
      <c r="K895" s="244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</row>
    <row r="896" ht="14.25" customHeight="1">
      <c r="A896" s="244"/>
      <c r="B896" s="244"/>
      <c r="C896" s="244"/>
      <c r="D896" s="244"/>
      <c r="E896" s="244"/>
      <c r="F896" s="244"/>
      <c r="G896" s="244"/>
      <c r="H896" s="244"/>
      <c r="I896" s="244"/>
      <c r="J896" s="244"/>
      <c r="K896" s="244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</row>
    <row r="897" ht="14.25" customHeight="1">
      <c r="A897" s="244"/>
      <c r="B897" s="244"/>
      <c r="C897" s="244"/>
      <c r="D897" s="244"/>
      <c r="E897" s="244"/>
      <c r="F897" s="244"/>
      <c r="G897" s="244"/>
      <c r="H897" s="244"/>
      <c r="I897" s="244"/>
      <c r="J897" s="244"/>
      <c r="K897" s="244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</row>
    <row r="898" ht="14.25" customHeight="1">
      <c r="A898" s="244"/>
      <c r="B898" s="244"/>
      <c r="C898" s="244"/>
      <c r="D898" s="244"/>
      <c r="E898" s="244"/>
      <c r="F898" s="244"/>
      <c r="G898" s="244"/>
      <c r="H898" s="244"/>
      <c r="I898" s="244"/>
      <c r="J898" s="244"/>
      <c r="K898" s="244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</row>
    <row r="899" ht="14.25" customHeight="1">
      <c r="A899" s="244"/>
      <c r="B899" s="244"/>
      <c r="C899" s="244"/>
      <c r="D899" s="244"/>
      <c r="E899" s="244"/>
      <c r="F899" s="244"/>
      <c r="G899" s="244"/>
      <c r="H899" s="244"/>
      <c r="I899" s="244"/>
      <c r="J899" s="244"/>
      <c r="K899" s="244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</row>
    <row r="900" ht="14.25" customHeight="1">
      <c r="A900" s="244"/>
      <c r="B900" s="244"/>
      <c r="C900" s="244"/>
      <c r="D900" s="244"/>
      <c r="E900" s="244"/>
      <c r="F900" s="244"/>
      <c r="G900" s="244"/>
      <c r="H900" s="244"/>
      <c r="I900" s="244"/>
      <c r="J900" s="244"/>
      <c r="K900" s="244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</row>
    <row r="901" ht="14.25" customHeight="1">
      <c r="A901" s="244"/>
      <c r="B901" s="244"/>
      <c r="C901" s="244"/>
      <c r="D901" s="244"/>
      <c r="E901" s="244"/>
      <c r="F901" s="244"/>
      <c r="G901" s="244"/>
      <c r="H901" s="244"/>
      <c r="I901" s="244"/>
      <c r="J901" s="244"/>
      <c r="K901" s="244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</row>
    <row r="902" ht="14.25" customHeight="1">
      <c r="A902" s="244"/>
      <c r="B902" s="244"/>
      <c r="C902" s="244"/>
      <c r="D902" s="244"/>
      <c r="E902" s="244"/>
      <c r="F902" s="244"/>
      <c r="G902" s="244"/>
      <c r="H902" s="244"/>
      <c r="I902" s="244"/>
      <c r="J902" s="244"/>
      <c r="K902" s="244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</row>
    <row r="903" ht="14.25" customHeight="1">
      <c r="A903" s="244"/>
      <c r="B903" s="244"/>
      <c r="C903" s="244"/>
      <c r="D903" s="244"/>
      <c r="E903" s="244"/>
      <c r="F903" s="244"/>
      <c r="G903" s="244"/>
      <c r="H903" s="244"/>
      <c r="I903" s="244"/>
      <c r="J903" s="244"/>
      <c r="K903" s="244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</row>
    <row r="904" ht="14.25" customHeight="1">
      <c r="A904" s="244"/>
      <c r="B904" s="244"/>
      <c r="C904" s="244"/>
      <c r="D904" s="244"/>
      <c r="E904" s="244"/>
      <c r="F904" s="244"/>
      <c r="G904" s="244"/>
      <c r="H904" s="244"/>
      <c r="I904" s="244"/>
      <c r="J904" s="244"/>
      <c r="K904" s="244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</row>
    <row r="905" ht="14.25" customHeight="1">
      <c r="A905" s="244"/>
      <c r="B905" s="244"/>
      <c r="C905" s="244"/>
      <c r="D905" s="244"/>
      <c r="E905" s="244"/>
      <c r="F905" s="244"/>
      <c r="G905" s="244"/>
      <c r="H905" s="244"/>
      <c r="I905" s="244"/>
      <c r="J905" s="244"/>
      <c r="K905" s="244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</row>
    <row r="906" ht="14.25" customHeight="1">
      <c r="A906" s="244"/>
      <c r="B906" s="244"/>
      <c r="C906" s="244"/>
      <c r="D906" s="244"/>
      <c r="E906" s="244"/>
      <c r="F906" s="244"/>
      <c r="G906" s="244"/>
      <c r="H906" s="244"/>
      <c r="I906" s="244"/>
      <c r="J906" s="244"/>
      <c r="K906" s="244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</row>
    <row r="907" ht="14.25" customHeight="1">
      <c r="A907" s="244"/>
      <c r="B907" s="244"/>
      <c r="C907" s="244"/>
      <c r="D907" s="244"/>
      <c r="E907" s="244"/>
      <c r="F907" s="244"/>
      <c r="G907" s="244"/>
      <c r="H907" s="244"/>
      <c r="I907" s="244"/>
      <c r="J907" s="244"/>
      <c r="K907" s="244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</row>
    <row r="908" ht="14.25" customHeight="1">
      <c r="A908" s="244"/>
      <c r="B908" s="244"/>
      <c r="C908" s="244"/>
      <c r="D908" s="244"/>
      <c r="E908" s="244"/>
      <c r="F908" s="244"/>
      <c r="G908" s="244"/>
      <c r="H908" s="244"/>
      <c r="I908" s="244"/>
      <c r="J908" s="244"/>
      <c r="K908" s="244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</row>
    <row r="909" ht="14.25" customHeight="1">
      <c r="A909" s="244"/>
      <c r="B909" s="244"/>
      <c r="C909" s="244"/>
      <c r="D909" s="244"/>
      <c r="E909" s="244"/>
      <c r="F909" s="244"/>
      <c r="G909" s="244"/>
      <c r="H909" s="244"/>
      <c r="I909" s="244"/>
      <c r="J909" s="244"/>
      <c r="K909" s="244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</row>
    <row r="910" ht="14.25" customHeight="1">
      <c r="A910" s="244"/>
      <c r="B910" s="244"/>
      <c r="C910" s="244"/>
      <c r="D910" s="244"/>
      <c r="E910" s="244"/>
      <c r="F910" s="244"/>
      <c r="G910" s="244"/>
      <c r="H910" s="244"/>
      <c r="I910" s="244"/>
      <c r="J910" s="244"/>
      <c r="K910" s="244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</row>
    <row r="911" ht="14.25" customHeight="1">
      <c r="A911" s="244"/>
      <c r="B911" s="244"/>
      <c r="C911" s="244"/>
      <c r="D911" s="244"/>
      <c r="E911" s="244"/>
      <c r="F911" s="244"/>
      <c r="G911" s="244"/>
      <c r="H911" s="244"/>
      <c r="I911" s="244"/>
      <c r="J911" s="244"/>
      <c r="K911" s="244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</row>
    <row r="912" ht="14.25" customHeight="1">
      <c r="A912" s="244"/>
      <c r="B912" s="244"/>
      <c r="C912" s="244"/>
      <c r="D912" s="244"/>
      <c r="E912" s="244"/>
      <c r="F912" s="244"/>
      <c r="G912" s="244"/>
      <c r="H912" s="244"/>
      <c r="I912" s="244"/>
      <c r="J912" s="244"/>
      <c r="K912" s="244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</row>
    <row r="913" ht="14.25" customHeight="1">
      <c r="A913" s="244"/>
      <c r="B913" s="244"/>
      <c r="C913" s="244"/>
      <c r="D913" s="244"/>
      <c r="E913" s="244"/>
      <c r="F913" s="244"/>
      <c r="G913" s="244"/>
      <c r="H913" s="244"/>
      <c r="I913" s="244"/>
      <c r="J913" s="244"/>
      <c r="K913" s="244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</row>
    <row r="914" ht="14.25" customHeight="1">
      <c r="A914" s="244"/>
      <c r="B914" s="244"/>
      <c r="C914" s="244"/>
      <c r="D914" s="244"/>
      <c r="E914" s="244"/>
      <c r="F914" s="244"/>
      <c r="G914" s="244"/>
      <c r="H914" s="244"/>
      <c r="I914" s="244"/>
      <c r="J914" s="244"/>
      <c r="K914" s="244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</row>
    <row r="915" ht="14.25" customHeight="1">
      <c r="A915" s="244"/>
      <c r="B915" s="244"/>
      <c r="C915" s="244"/>
      <c r="D915" s="244"/>
      <c r="E915" s="244"/>
      <c r="F915" s="244"/>
      <c r="G915" s="244"/>
      <c r="H915" s="244"/>
      <c r="I915" s="244"/>
      <c r="J915" s="244"/>
      <c r="K915" s="244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</row>
    <row r="916" ht="14.25" customHeight="1">
      <c r="A916" s="244"/>
      <c r="B916" s="244"/>
      <c r="C916" s="244"/>
      <c r="D916" s="244"/>
      <c r="E916" s="244"/>
      <c r="F916" s="244"/>
      <c r="G916" s="244"/>
      <c r="H916" s="244"/>
      <c r="I916" s="244"/>
      <c r="J916" s="244"/>
      <c r="K916" s="244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</row>
    <row r="917" ht="14.25" customHeight="1">
      <c r="A917" s="244"/>
      <c r="B917" s="244"/>
      <c r="C917" s="244"/>
      <c r="D917" s="244"/>
      <c r="E917" s="244"/>
      <c r="F917" s="244"/>
      <c r="G917" s="244"/>
      <c r="H917" s="244"/>
      <c r="I917" s="244"/>
      <c r="J917" s="244"/>
      <c r="K917" s="244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</row>
    <row r="918" ht="14.25" customHeight="1">
      <c r="A918" s="244"/>
      <c r="B918" s="244"/>
      <c r="C918" s="244"/>
      <c r="D918" s="244"/>
      <c r="E918" s="244"/>
      <c r="F918" s="244"/>
      <c r="G918" s="244"/>
      <c r="H918" s="244"/>
      <c r="I918" s="244"/>
      <c r="J918" s="244"/>
      <c r="K918" s="244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</row>
    <row r="919" ht="14.25" customHeight="1">
      <c r="A919" s="244"/>
      <c r="B919" s="244"/>
      <c r="C919" s="244"/>
      <c r="D919" s="244"/>
      <c r="E919" s="244"/>
      <c r="F919" s="244"/>
      <c r="G919" s="244"/>
      <c r="H919" s="244"/>
      <c r="I919" s="244"/>
      <c r="J919" s="244"/>
      <c r="K919" s="244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</row>
    <row r="920" ht="14.25" customHeight="1">
      <c r="A920" s="244"/>
      <c r="B920" s="244"/>
      <c r="C920" s="244"/>
      <c r="D920" s="244"/>
      <c r="E920" s="244"/>
      <c r="F920" s="244"/>
      <c r="G920" s="244"/>
      <c r="H920" s="244"/>
      <c r="I920" s="244"/>
      <c r="J920" s="244"/>
      <c r="K920" s="244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</row>
    <row r="921" ht="14.25" customHeight="1">
      <c r="A921" s="244"/>
      <c r="B921" s="244"/>
      <c r="C921" s="244"/>
      <c r="D921" s="244"/>
      <c r="E921" s="244"/>
      <c r="F921" s="244"/>
      <c r="G921" s="244"/>
      <c r="H921" s="244"/>
      <c r="I921" s="244"/>
      <c r="J921" s="244"/>
      <c r="K921" s="244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</row>
    <row r="922" ht="14.25" customHeight="1">
      <c r="A922" s="244"/>
      <c r="B922" s="244"/>
      <c r="C922" s="244"/>
      <c r="D922" s="244"/>
      <c r="E922" s="244"/>
      <c r="F922" s="244"/>
      <c r="G922" s="244"/>
      <c r="H922" s="244"/>
      <c r="I922" s="244"/>
      <c r="J922" s="244"/>
      <c r="K922" s="244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</row>
    <row r="923" ht="14.25" customHeight="1">
      <c r="A923" s="244"/>
      <c r="B923" s="244"/>
      <c r="C923" s="244"/>
      <c r="D923" s="244"/>
      <c r="E923" s="244"/>
      <c r="F923" s="244"/>
      <c r="G923" s="244"/>
      <c r="H923" s="244"/>
      <c r="I923" s="244"/>
      <c r="J923" s="244"/>
      <c r="K923" s="244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</row>
    <row r="924" ht="14.25" customHeight="1">
      <c r="A924" s="244"/>
      <c r="B924" s="244"/>
      <c r="C924" s="244"/>
      <c r="D924" s="244"/>
      <c r="E924" s="244"/>
      <c r="F924" s="244"/>
      <c r="G924" s="244"/>
      <c r="H924" s="244"/>
      <c r="I924" s="244"/>
      <c r="J924" s="244"/>
      <c r="K924" s="244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</row>
    <row r="925" ht="14.25" customHeight="1">
      <c r="A925" s="244"/>
      <c r="B925" s="244"/>
      <c r="C925" s="244"/>
      <c r="D925" s="244"/>
      <c r="E925" s="244"/>
      <c r="F925" s="244"/>
      <c r="G925" s="244"/>
      <c r="H925" s="244"/>
      <c r="I925" s="244"/>
      <c r="J925" s="244"/>
      <c r="K925" s="244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</row>
    <row r="926" ht="14.25" customHeight="1">
      <c r="A926" s="244"/>
      <c r="B926" s="244"/>
      <c r="C926" s="244"/>
      <c r="D926" s="244"/>
      <c r="E926" s="244"/>
      <c r="F926" s="244"/>
      <c r="G926" s="244"/>
      <c r="H926" s="244"/>
      <c r="I926" s="244"/>
      <c r="J926" s="244"/>
      <c r="K926" s="244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</row>
    <row r="927" ht="14.25" customHeight="1">
      <c r="A927" s="244"/>
      <c r="B927" s="244"/>
      <c r="C927" s="244"/>
      <c r="D927" s="244"/>
      <c r="E927" s="244"/>
      <c r="F927" s="244"/>
      <c r="G927" s="244"/>
      <c r="H927" s="244"/>
      <c r="I927" s="244"/>
      <c r="J927" s="244"/>
      <c r="K927" s="244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</row>
    <row r="928" ht="14.25" customHeight="1">
      <c r="A928" s="244"/>
      <c r="B928" s="244"/>
      <c r="C928" s="244"/>
      <c r="D928" s="244"/>
      <c r="E928" s="244"/>
      <c r="F928" s="244"/>
      <c r="G928" s="244"/>
      <c r="H928" s="244"/>
      <c r="I928" s="244"/>
      <c r="J928" s="244"/>
      <c r="K928" s="244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</row>
    <row r="929" ht="14.25" customHeight="1">
      <c r="A929" s="244"/>
      <c r="B929" s="244"/>
      <c r="C929" s="244"/>
      <c r="D929" s="244"/>
      <c r="E929" s="244"/>
      <c r="F929" s="244"/>
      <c r="G929" s="244"/>
      <c r="H929" s="244"/>
      <c r="I929" s="244"/>
      <c r="J929" s="244"/>
      <c r="K929" s="244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</row>
    <row r="930" ht="14.25" customHeight="1">
      <c r="A930" s="244"/>
      <c r="B930" s="244"/>
      <c r="C930" s="244"/>
      <c r="D930" s="244"/>
      <c r="E930" s="244"/>
      <c r="F930" s="244"/>
      <c r="G930" s="244"/>
      <c r="H930" s="244"/>
      <c r="I930" s="244"/>
      <c r="J930" s="244"/>
      <c r="K930" s="244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</row>
    <row r="931" ht="14.25" customHeight="1">
      <c r="A931" s="244"/>
      <c r="B931" s="244"/>
      <c r="C931" s="244"/>
      <c r="D931" s="244"/>
      <c r="E931" s="244"/>
      <c r="F931" s="244"/>
      <c r="G931" s="244"/>
      <c r="H931" s="244"/>
      <c r="I931" s="244"/>
      <c r="J931" s="244"/>
      <c r="K931" s="244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</row>
    <row r="932" ht="14.25" customHeight="1">
      <c r="A932" s="244"/>
      <c r="B932" s="244"/>
      <c r="C932" s="244"/>
      <c r="D932" s="244"/>
      <c r="E932" s="244"/>
      <c r="F932" s="244"/>
      <c r="G932" s="244"/>
      <c r="H932" s="244"/>
      <c r="I932" s="244"/>
      <c r="J932" s="244"/>
      <c r="K932" s="244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</row>
    <row r="933" ht="14.25" customHeight="1">
      <c r="A933" s="244"/>
      <c r="B933" s="244"/>
      <c r="C933" s="244"/>
      <c r="D933" s="244"/>
      <c r="E933" s="244"/>
      <c r="F933" s="244"/>
      <c r="G933" s="244"/>
      <c r="H933" s="244"/>
      <c r="I933" s="244"/>
      <c r="J933" s="244"/>
      <c r="K933" s="244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</row>
    <row r="934" ht="14.25" customHeight="1">
      <c r="A934" s="244"/>
      <c r="B934" s="244"/>
      <c r="C934" s="244"/>
      <c r="D934" s="244"/>
      <c r="E934" s="244"/>
      <c r="F934" s="244"/>
      <c r="G934" s="244"/>
      <c r="H934" s="244"/>
      <c r="I934" s="244"/>
      <c r="J934" s="244"/>
      <c r="K934" s="244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</row>
    <row r="935" ht="14.25" customHeight="1">
      <c r="A935" s="244"/>
      <c r="B935" s="244"/>
      <c r="C935" s="244"/>
      <c r="D935" s="244"/>
      <c r="E935" s="244"/>
      <c r="F935" s="244"/>
      <c r="G935" s="244"/>
      <c r="H935" s="244"/>
      <c r="I935" s="244"/>
      <c r="J935" s="244"/>
      <c r="K935" s="244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</row>
    <row r="936" ht="14.25" customHeight="1">
      <c r="A936" s="244"/>
      <c r="B936" s="244"/>
      <c r="C936" s="244"/>
      <c r="D936" s="244"/>
      <c r="E936" s="244"/>
      <c r="F936" s="244"/>
      <c r="G936" s="244"/>
      <c r="H936" s="244"/>
      <c r="I936" s="244"/>
      <c r="J936" s="244"/>
      <c r="K936" s="244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</row>
    <row r="937" ht="14.25" customHeight="1">
      <c r="A937" s="244"/>
      <c r="B937" s="244"/>
      <c r="C937" s="244"/>
      <c r="D937" s="244"/>
      <c r="E937" s="244"/>
      <c r="F937" s="244"/>
      <c r="G937" s="244"/>
      <c r="H937" s="244"/>
      <c r="I937" s="244"/>
      <c r="J937" s="244"/>
      <c r="K937" s="244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</row>
    <row r="938" ht="14.25" customHeight="1">
      <c r="A938" s="244"/>
      <c r="B938" s="244"/>
      <c r="C938" s="244"/>
      <c r="D938" s="244"/>
      <c r="E938" s="244"/>
      <c r="F938" s="244"/>
      <c r="G938" s="244"/>
      <c r="H938" s="244"/>
      <c r="I938" s="244"/>
      <c r="J938" s="244"/>
      <c r="K938" s="244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</row>
    <row r="939" ht="14.25" customHeight="1">
      <c r="A939" s="244"/>
      <c r="B939" s="244"/>
      <c r="C939" s="244"/>
      <c r="D939" s="244"/>
      <c r="E939" s="244"/>
      <c r="F939" s="244"/>
      <c r="G939" s="244"/>
      <c r="H939" s="244"/>
      <c r="I939" s="244"/>
      <c r="J939" s="244"/>
      <c r="K939" s="244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</row>
    <row r="940" ht="14.25" customHeight="1">
      <c r="A940" s="244"/>
      <c r="B940" s="244"/>
      <c r="C940" s="244"/>
      <c r="D940" s="244"/>
      <c r="E940" s="244"/>
      <c r="F940" s="244"/>
      <c r="G940" s="244"/>
      <c r="H940" s="244"/>
      <c r="I940" s="244"/>
      <c r="J940" s="244"/>
      <c r="K940" s="244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</row>
    <row r="941" ht="14.25" customHeight="1">
      <c r="A941" s="244"/>
      <c r="B941" s="244"/>
      <c r="C941" s="244"/>
      <c r="D941" s="244"/>
      <c r="E941" s="244"/>
      <c r="F941" s="244"/>
      <c r="G941" s="244"/>
      <c r="H941" s="244"/>
      <c r="I941" s="244"/>
      <c r="J941" s="244"/>
      <c r="K941" s="244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</row>
    <row r="942" ht="14.25" customHeight="1">
      <c r="A942" s="244"/>
      <c r="B942" s="244"/>
      <c r="C942" s="244"/>
      <c r="D942" s="244"/>
      <c r="E942" s="244"/>
      <c r="F942" s="244"/>
      <c r="G942" s="244"/>
      <c r="H942" s="244"/>
      <c r="I942" s="244"/>
      <c r="J942" s="244"/>
      <c r="K942" s="244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</row>
    <row r="943" ht="14.25" customHeight="1">
      <c r="A943" s="244"/>
      <c r="B943" s="244"/>
      <c r="C943" s="244"/>
      <c r="D943" s="244"/>
      <c r="E943" s="244"/>
      <c r="F943" s="244"/>
      <c r="G943" s="244"/>
      <c r="H943" s="244"/>
      <c r="I943" s="244"/>
      <c r="J943" s="244"/>
      <c r="K943" s="244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</row>
    <row r="944" ht="14.25" customHeight="1">
      <c r="A944" s="244"/>
      <c r="B944" s="244"/>
      <c r="C944" s="244"/>
      <c r="D944" s="244"/>
      <c r="E944" s="244"/>
      <c r="F944" s="244"/>
      <c r="G944" s="244"/>
      <c r="H944" s="244"/>
      <c r="I944" s="244"/>
      <c r="J944" s="244"/>
      <c r="K944" s="244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</row>
    <row r="945" ht="14.25" customHeight="1">
      <c r="A945" s="244"/>
      <c r="B945" s="244"/>
      <c r="C945" s="244"/>
      <c r="D945" s="244"/>
      <c r="E945" s="244"/>
      <c r="F945" s="244"/>
      <c r="G945" s="244"/>
      <c r="H945" s="244"/>
      <c r="I945" s="244"/>
      <c r="J945" s="244"/>
      <c r="K945" s="244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</row>
    <row r="946" ht="14.25" customHeight="1">
      <c r="A946" s="244"/>
      <c r="B946" s="244"/>
      <c r="C946" s="244"/>
      <c r="D946" s="244"/>
      <c r="E946" s="244"/>
      <c r="F946" s="244"/>
      <c r="G946" s="244"/>
      <c r="H946" s="244"/>
      <c r="I946" s="244"/>
      <c r="J946" s="244"/>
      <c r="K946" s="244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</row>
    <row r="947" ht="14.25" customHeight="1">
      <c r="A947" s="244"/>
      <c r="B947" s="244"/>
      <c r="C947" s="244"/>
      <c r="D947" s="244"/>
      <c r="E947" s="244"/>
      <c r="F947" s="244"/>
      <c r="G947" s="244"/>
      <c r="H947" s="244"/>
      <c r="I947" s="244"/>
      <c r="J947" s="244"/>
      <c r="K947" s="244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</row>
    <row r="948" ht="14.25" customHeight="1">
      <c r="A948" s="244"/>
      <c r="B948" s="244"/>
      <c r="C948" s="244"/>
      <c r="D948" s="244"/>
      <c r="E948" s="244"/>
      <c r="F948" s="244"/>
      <c r="G948" s="244"/>
      <c r="H948" s="244"/>
      <c r="I948" s="244"/>
      <c r="J948" s="244"/>
      <c r="K948" s="244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</row>
    <row r="949" ht="14.25" customHeight="1">
      <c r="A949" s="244"/>
      <c r="B949" s="244"/>
      <c r="C949" s="244"/>
      <c r="D949" s="244"/>
      <c r="E949" s="244"/>
      <c r="F949" s="244"/>
      <c r="G949" s="244"/>
      <c r="H949" s="244"/>
      <c r="I949" s="244"/>
      <c r="J949" s="244"/>
      <c r="K949" s="244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</row>
    <row r="950" ht="14.25" customHeight="1">
      <c r="A950" s="244"/>
      <c r="B950" s="244"/>
      <c r="C950" s="244"/>
      <c r="D950" s="244"/>
      <c r="E950" s="244"/>
      <c r="F950" s="244"/>
      <c r="G950" s="244"/>
      <c r="H950" s="244"/>
      <c r="I950" s="244"/>
      <c r="J950" s="244"/>
      <c r="K950" s="244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</row>
    <row r="951" ht="14.25" customHeight="1">
      <c r="A951" s="244"/>
      <c r="B951" s="244"/>
      <c r="C951" s="244"/>
      <c r="D951" s="244"/>
      <c r="E951" s="244"/>
      <c r="F951" s="244"/>
      <c r="G951" s="244"/>
      <c r="H951" s="244"/>
      <c r="I951" s="244"/>
      <c r="J951" s="244"/>
      <c r="K951" s="244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</row>
    <row r="952" ht="14.25" customHeight="1">
      <c r="A952" s="244"/>
      <c r="B952" s="244"/>
      <c r="C952" s="244"/>
      <c r="D952" s="244"/>
      <c r="E952" s="244"/>
      <c r="F952" s="244"/>
      <c r="G952" s="244"/>
      <c r="H952" s="244"/>
      <c r="I952" s="244"/>
      <c r="J952" s="244"/>
      <c r="K952" s="244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</row>
    <row r="953" ht="14.25" customHeight="1">
      <c r="A953" s="244"/>
      <c r="B953" s="244"/>
      <c r="C953" s="244"/>
      <c r="D953" s="244"/>
      <c r="E953" s="244"/>
      <c r="F953" s="244"/>
      <c r="G953" s="244"/>
      <c r="H953" s="244"/>
      <c r="I953" s="244"/>
      <c r="J953" s="244"/>
      <c r="K953" s="244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</row>
    <row r="954" ht="14.25" customHeight="1">
      <c r="A954" s="244"/>
      <c r="B954" s="244"/>
      <c r="C954" s="244"/>
      <c r="D954" s="244"/>
      <c r="E954" s="244"/>
      <c r="F954" s="244"/>
      <c r="G954" s="244"/>
      <c r="H954" s="244"/>
      <c r="I954" s="244"/>
      <c r="J954" s="244"/>
      <c r="K954" s="244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</row>
    <row r="955" ht="14.25" customHeight="1">
      <c r="A955" s="244"/>
      <c r="B955" s="244"/>
      <c r="C955" s="244"/>
      <c r="D955" s="244"/>
      <c r="E955" s="244"/>
      <c r="F955" s="244"/>
      <c r="G955" s="244"/>
      <c r="H955" s="244"/>
      <c r="I955" s="244"/>
      <c r="J955" s="244"/>
      <c r="K955" s="244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</row>
    <row r="956" ht="14.25" customHeight="1">
      <c r="A956" s="244"/>
      <c r="B956" s="244"/>
      <c r="C956" s="244"/>
      <c r="D956" s="244"/>
      <c r="E956" s="244"/>
      <c r="F956" s="244"/>
      <c r="G956" s="244"/>
      <c r="H956" s="244"/>
      <c r="I956" s="244"/>
      <c r="J956" s="244"/>
      <c r="K956" s="244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</row>
    <row r="957" ht="14.25" customHeight="1">
      <c r="A957" s="244"/>
      <c r="B957" s="244"/>
      <c r="C957" s="244"/>
      <c r="D957" s="244"/>
      <c r="E957" s="244"/>
      <c r="F957" s="244"/>
      <c r="G957" s="244"/>
      <c r="H957" s="244"/>
      <c r="I957" s="244"/>
      <c r="J957" s="244"/>
      <c r="K957" s="244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</row>
    <row r="958" ht="14.25" customHeight="1">
      <c r="A958" s="244"/>
      <c r="B958" s="244"/>
      <c r="C958" s="244"/>
      <c r="D958" s="244"/>
      <c r="E958" s="244"/>
      <c r="F958" s="244"/>
      <c r="G958" s="244"/>
      <c r="H958" s="244"/>
      <c r="I958" s="244"/>
      <c r="J958" s="244"/>
      <c r="K958" s="244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</row>
    <row r="959" ht="14.25" customHeight="1">
      <c r="A959" s="244"/>
      <c r="B959" s="244"/>
      <c r="C959" s="244"/>
      <c r="D959" s="244"/>
      <c r="E959" s="244"/>
      <c r="F959" s="244"/>
      <c r="G959" s="244"/>
      <c r="H959" s="244"/>
      <c r="I959" s="244"/>
      <c r="J959" s="244"/>
      <c r="K959" s="244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</row>
    <row r="960" ht="14.25" customHeight="1">
      <c r="A960" s="244"/>
      <c r="B960" s="244"/>
      <c r="C960" s="244"/>
      <c r="D960" s="244"/>
      <c r="E960" s="244"/>
      <c r="F960" s="244"/>
      <c r="G960" s="244"/>
      <c r="H960" s="244"/>
      <c r="I960" s="244"/>
      <c r="J960" s="244"/>
      <c r="K960" s="244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</row>
    <row r="961" ht="14.25" customHeight="1">
      <c r="A961" s="244"/>
      <c r="B961" s="244"/>
      <c r="C961" s="244"/>
      <c r="D961" s="244"/>
      <c r="E961" s="244"/>
      <c r="F961" s="244"/>
      <c r="G961" s="244"/>
      <c r="H961" s="244"/>
      <c r="I961" s="244"/>
      <c r="J961" s="244"/>
      <c r="K961" s="244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</row>
    <row r="962" ht="14.25" customHeight="1">
      <c r="A962" s="244"/>
      <c r="B962" s="244"/>
      <c r="C962" s="244"/>
      <c r="D962" s="244"/>
      <c r="E962" s="244"/>
      <c r="F962" s="244"/>
      <c r="G962" s="244"/>
      <c r="H962" s="244"/>
      <c r="I962" s="244"/>
      <c r="J962" s="244"/>
      <c r="K962" s="244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</row>
    <row r="963" ht="14.25" customHeight="1">
      <c r="A963" s="244"/>
      <c r="B963" s="244"/>
      <c r="C963" s="244"/>
      <c r="D963" s="244"/>
      <c r="E963" s="244"/>
      <c r="F963" s="244"/>
      <c r="G963" s="244"/>
      <c r="H963" s="244"/>
      <c r="I963" s="244"/>
      <c r="J963" s="244"/>
      <c r="K963" s="244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</row>
    <row r="964" ht="14.25" customHeight="1">
      <c r="A964" s="244"/>
      <c r="B964" s="244"/>
      <c r="C964" s="244"/>
      <c r="D964" s="244"/>
      <c r="E964" s="244"/>
      <c r="F964" s="244"/>
      <c r="G964" s="244"/>
      <c r="H964" s="244"/>
      <c r="I964" s="244"/>
      <c r="J964" s="244"/>
      <c r="K964" s="244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</row>
    <row r="965" ht="14.25" customHeight="1">
      <c r="A965" s="244"/>
      <c r="B965" s="244"/>
      <c r="C965" s="244"/>
      <c r="D965" s="244"/>
      <c r="E965" s="244"/>
      <c r="F965" s="244"/>
      <c r="G965" s="244"/>
      <c r="H965" s="244"/>
      <c r="I965" s="244"/>
      <c r="J965" s="244"/>
      <c r="K965" s="244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</row>
    <row r="966" ht="14.25" customHeight="1">
      <c r="A966" s="244"/>
      <c r="B966" s="244"/>
      <c r="C966" s="244"/>
      <c r="D966" s="244"/>
      <c r="E966" s="244"/>
      <c r="F966" s="244"/>
      <c r="G966" s="244"/>
      <c r="H966" s="244"/>
      <c r="I966" s="244"/>
      <c r="J966" s="244"/>
      <c r="K966" s="244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</row>
    <row r="967" ht="14.25" customHeight="1">
      <c r="A967" s="244"/>
      <c r="B967" s="244"/>
      <c r="C967" s="244"/>
      <c r="D967" s="244"/>
      <c r="E967" s="244"/>
      <c r="F967" s="244"/>
      <c r="G967" s="244"/>
      <c r="H967" s="244"/>
      <c r="I967" s="244"/>
      <c r="J967" s="244"/>
      <c r="K967" s="244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</row>
    <row r="968" ht="14.25" customHeight="1">
      <c r="A968" s="244"/>
      <c r="B968" s="244"/>
      <c r="C968" s="244"/>
      <c r="D968" s="244"/>
      <c r="E968" s="244"/>
      <c r="F968" s="244"/>
      <c r="G968" s="244"/>
      <c r="H968" s="244"/>
      <c r="I968" s="244"/>
      <c r="J968" s="244"/>
      <c r="K968" s="244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</row>
    <row r="969" ht="14.25" customHeight="1">
      <c r="A969" s="244"/>
      <c r="B969" s="244"/>
      <c r="C969" s="244"/>
      <c r="D969" s="244"/>
      <c r="E969" s="244"/>
      <c r="F969" s="244"/>
      <c r="G969" s="244"/>
      <c r="H969" s="244"/>
      <c r="I969" s="244"/>
      <c r="J969" s="244"/>
      <c r="K969" s="244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</row>
    <row r="970" ht="14.25" customHeight="1">
      <c r="A970" s="244"/>
      <c r="B970" s="244"/>
      <c r="C970" s="244"/>
      <c r="D970" s="244"/>
      <c r="E970" s="244"/>
      <c r="F970" s="244"/>
      <c r="G970" s="244"/>
      <c r="H970" s="244"/>
      <c r="I970" s="244"/>
      <c r="J970" s="244"/>
      <c r="K970" s="244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</row>
    <row r="971" ht="14.25" customHeight="1">
      <c r="A971" s="244"/>
      <c r="B971" s="244"/>
      <c r="C971" s="244"/>
      <c r="D971" s="244"/>
      <c r="E971" s="244"/>
      <c r="F971" s="244"/>
      <c r="G971" s="244"/>
      <c r="H971" s="244"/>
      <c r="I971" s="244"/>
      <c r="J971" s="244"/>
      <c r="K971" s="244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</row>
    <row r="972" ht="14.25" customHeight="1">
      <c r="A972" s="244"/>
      <c r="B972" s="244"/>
      <c r="C972" s="244"/>
      <c r="D972" s="244"/>
      <c r="E972" s="244"/>
      <c r="F972" s="244"/>
      <c r="G972" s="244"/>
      <c r="H972" s="244"/>
      <c r="I972" s="244"/>
      <c r="J972" s="244"/>
      <c r="K972" s="244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</row>
    <row r="973" ht="14.25" customHeight="1">
      <c r="A973" s="244"/>
      <c r="B973" s="244"/>
      <c r="C973" s="244"/>
      <c r="D973" s="244"/>
      <c r="E973" s="244"/>
      <c r="F973" s="244"/>
      <c r="G973" s="244"/>
      <c r="H973" s="244"/>
      <c r="I973" s="244"/>
      <c r="J973" s="244"/>
      <c r="K973" s="244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</row>
    <row r="974" ht="14.25" customHeight="1">
      <c r="A974" s="244"/>
      <c r="B974" s="244"/>
      <c r="C974" s="244"/>
      <c r="D974" s="244"/>
      <c r="E974" s="244"/>
      <c r="F974" s="244"/>
      <c r="G974" s="244"/>
      <c r="H974" s="244"/>
      <c r="I974" s="244"/>
      <c r="J974" s="244"/>
      <c r="K974" s="244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</row>
    <row r="975" ht="14.25" customHeight="1">
      <c r="A975" s="244"/>
      <c r="B975" s="244"/>
      <c r="C975" s="244"/>
      <c r="D975" s="244"/>
      <c r="E975" s="244"/>
      <c r="F975" s="244"/>
      <c r="G975" s="244"/>
      <c r="H975" s="244"/>
      <c r="I975" s="244"/>
      <c r="J975" s="244"/>
      <c r="K975" s="244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</row>
    <row r="976" ht="14.25" customHeight="1">
      <c r="A976" s="244"/>
      <c r="B976" s="244"/>
      <c r="C976" s="244"/>
      <c r="D976" s="244"/>
      <c r="E976" s="244"/>
      <c r="F976" s="244"/>
      <c r="G976" s="244"/>
      <c r="H976" s="244"/>
      <c r="I976" s="244"/>
      <c r="J976" s="244"/>
      <c r="K976" s="244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</row>
    <row r="977" ht="14.25" customHeight="1">
      <c r="A977" s="244"/>
      <c r="B977" s="244"/>
      <c r="C977" s="244"/>
      <c r="D977" s="244"/>
      <c r="E977" s="244"/>
      <c r="F977" s="244"/>
      <c r="G977" s="244"/>
      <c r="H977" s="244"/>
      <c r="I977" s="244"/>
      <c r="J977" s="244"/>
      <c r="K977" s="244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</row>
    <row r="978" ht="14.25" customHeight="1">
      <c r="A978" s="244"/>
      <c r="B978" s="244"/>
      <c r="C978" s="244"/>
      <c r="D978" s="244"/>
      <c r="E978" s="244"/>
      <c r="F978" s="244"/>
      <c r="G978" s="244"/>
      <c r="H978" s="244"/>
      <c r="I978" s="244"/>
      <c r="J978" s="244"/>
      <c r="K978" s="244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</row>
    <row r="979" ht="14.25" customHeight="1">
      <c r="A979" s="244"/>
      <c r="B979" s="244"/>
      <c r="C979" s="244"/>
      <c r="D979" s="244"/>
      <c r="E979" s="244"/>
      <c r="F979" s="244"/>
      <c r="G979" s="244"/>
      <c r="H979" s="244"/>
      <c r="I979" s="244"/>
      <c r="J979" s="244"/>
      <c r="K979" s="244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</row>
    <row r="980" ht="14.25" customHeight="1">
      <c r="A980" s="244"/>
      <c r="B980" s="244"/>
      <c r="C980" s="244"/>
      <c r="D980" s="244"/>
      <c r="E980" s="244"/>
      <c r="F980" s="244"/>
      <c r="G980" s="244"/>
      <c r="H980" s="244"/>
      <c r="I980" s="244"/>
      <c r="J980" s="244"/>
      <c r="K980" s="244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</row>
    <row r="981" ht="14.25" customHeight="1">
      <c r="A981" s="244"/>
      <c r="B981" s="244"/>
      <c r="C981" s="244"/>
      <c r="D981" s="244"/>
      <c r="E981" s="244"/>
      <c r="F981" s="244"/>
      <c r="G981" s="244"/>
      <c r="H981" s="244"/>
      <c r="I981" s="244"/>
      <c r="J981" s="244"/>
      <c r="K981" s="244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</row>
    <row r="982" ht="14.25" customHeight="1">
      <c r="A982" s="244"/>
      <c r="B982" s="244"/>
      <c r="C982" s="244"/>
      <c r="D982" s="244"/>
      <c r="E982" s="244"/>
      <c r="F982" s="244"/>
      <c r="G982" s="244"/>
      <c r="H982" s="244"/>
      <c r="I982" s="244"/>
      <c r="J982" s="244"/>
      <c r="K982" s="244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</row>
    <row r="983" ht="14.25" customHeight="1">
      <c r="A983" s="244"/>
      <c r="B983" s="244"/>
      <c r="C983" s="244"/>
      <c r="D983" s="244"/>
      <c r="E983" s="244"/>
      <c r="F983" s="244"/>
      <c r="G983" s="244"/>
      <c r="H983" s="244"/>
      <c r="I983" s="244"/>
      <c r="J983" s="244"/>
      <c r="K983" s="244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  <c r="AA983" s="245"/>
    </row>
    <row r="984" ht="14.25" customHeight="1">
      <c r="A984" s="244"/>
      <c r="B984" s="244"/>
      <c r="C984" s="244"/>
      <c r="D984" s="244"/>
      <c r="E984" s="244"/>
      <c r="F984" s="244"/>
      <c r="G984" s="244"/>
      <c r="H984" s="244"/>
      <c r="I984" s="244"/>
      <c r="J984" s="244"/>
      <c r="K984" s="244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  <c r="AA984" s="245"/>
    </row>
    <row r="985" ht="14.25" customHeight="1">
      <c r="A985" s="244"/>
      <c r="B985" s="244"/>
      <c r="C985" s="244"/>
      <c r="D985" s="244"/>
      <c r="E985" s="244"/>
      <c r="F985" s="244"/>
      <c r="G985" s="244"/>
      <c r="H985" s="244"/>
      <c r="I985" s="244"/>
      <c r="J985" s="244"/>
      <c r="K985" s="244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  <c r="AA985" s="245"/>
    </row>
    <row r="986" ht="14.25" customHeight="1">
      <c r="A986" s="244"/>
      <c r="B986" s="244"/>
      <c r="C986" s="244"/>
      <c r="D986" s="244"/>
      <c r="E986" s="244"/>
      <c r="F986" s="244"/>
      <c r="G986" s="244"/>
      <c r="H986" s="244"/>
      <c r="I986" s="244"/>
      <c r="J986" s="244"/>
      <c r="K986" s="244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  <c r="AA986" s="245"/>
    </row>
    <row r="987" ht="14.25" customHeight="1">
      <c r="A987" s="244"/>
      <c r="B987" s="244"/>
      <c r="C987" s="244"/>
      <c r="D987" s="244"/>
      <c r="E987" s="244"/>
      <c r="F987" s="244"/>
      <c r="G987" s="244"/>
      <c r="H987" s="244"/>
      <c r="I987" s="244"/>
      <c r="J987" s="244"/>
      <c r="K987" s="244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  <c r="AA987" s="245"/>
    </row>
    <row r="988" ht="14.25" customHeight="1">
      <c r="A988" s="244"/>
      <c r="B988" s="244"/>
      <c r="C988" s="244"/>
      <c r="D988" s="244"/>
      <c r="E988" s="244"/>
      <c r="F988" s="244"/>
      <c r="G988" s="244"/>
      <c r="H988" s="244"/>
      <c r="I988" s="244"/>
      <c r="J988" s="244"/>
      <c r="K988" s="244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  <c r="AA988" s="245"/>
    </row>
    <row r="989" ht="14.25" customHeight="1">
      <c r="A989" s="244"/>
      <c r="B989" s="244"/>
      <c r="C989" s="244"/>
      <c r="D989" s="244"/>
      <c r="E989" s="244"/>
      <c r="F989" s="244"/>
      <c r="G989" s="244"/>
      <c r="H989" s="244"/>
      <c r="I989" s="244"/>
      <c r="J989" s="244"/>
      <c r="K989" s="244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  <c r="AA989" s="245"/>
    </row>
    <row r="990" ht="14.25" customHeight="1">
      <c r="A990" s="244"/>
      <c r="B990" s="244"/>
      <c r="C990" s="244"/>
      <c r="D990" s="244"/>
      <c r="E990" s="244"/>
      <c r="F990" s="244"/>
      <c r="G990" s="244"/>
      <c r="H990" s="244"/>
      <c r="I990" s="244"/>
      <c r="J990" s="244"/>
      <c r="K990" s="244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  <c r="AA990" s="245"/>
    </row>
    <row r="991" ht="14.25" customHeight="1">
      <c r="A991" s="244"/>
      <c r="B991" s="244"/>
      <c r="C991" s="244"/>
      <c r="D991" s="244"/>
      <c r="E991" s="244"/>
      <c r="F991" s="244"/>
      <c r="G991" s="244"/>
      <c r="H991" s="244"/>
      <c r="I991" s="244"/>
      <c r="J991" s="244"/>
      <c r="K991" s="244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  <c r="AA991" s="245"/>
    </row>
    <row r="992" ht="14.25" customHeight="1">
      <c r="A992" s="244"/>
      <c r="B992" s="244"/>
      <c r="C992" s="244"/>
      <c r="D992" s="244"/>
      <c r="E992" s="244"/>
      <c r="F992" s="244"/>
      <c r="G992" s="244"/>
      <c r="H992" s="244"/>
      <c r="I992" s="244"/>
      <c r="J992" s="244"/>
      <c r="K992" s="244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  <c r="AA992" s="245"/>
    </row>
    <row r="993" ht="14.25" customHeight="1">
      <c r="A993" s="244"/>
      <c r="B993" s="244"/>
      <c r="C993" s="244"/>
      <c r="D993" s="244"/>
      <c r="E993" s="244"/>
      <c r="F993" s="244"/>
      <c r="G993" s="244"/>
      <c r="H993" s="244"/>
      <c r="I993" s="244"/>
      <c r="J993" s="244"/>
      <c r="K993" s="244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  <c r="AA993" s="245"/>
    </row>
    <row r="994" ht="14.25" customHeight="1">
      <c r="A994" s="244"/>
      <c r="B994" s="244"/>
      <c r="C994" s="244"/>
      <c r="D994" s="244"/>
      <c r="E994" s="244"/>
      <c r="F994" s="244"/>
      <c r="G994" s="244"/>
      <c r="H994" s="244"/>
      <c r="I994" s="244"/>
      <c r="J994" s="244"/>
      <c r="K994" s="244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  <c r="AA994" s="245"/>
    </row>
    <row r="995" ht="14.25" customHeight="1">
      <c r="A995" s="244"/>
      <c r="B995" s="244"/>
      <c r="C995" s="244"/>
      <c r="D995" s="244"/>
      <c r="E995" s="244"/>
      <c r="F995" s="244"/>
      <c r="G995" s="244"/>
      <c r="H995" s="244"/>
      <c r="I995" s="244"/>
      <c r="J995" s="244"/>
      <c r="K995" s="244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  <c r="AA995" s="245"/>
    </row>
    <row r="996" ht="14.25" customHeight="1">
      <c r="A996" s="244"/>
      <c r="B996" s="244"/>
      <c r="C996" s="244"/>
      <c r="D996" s="244"/>
      <c r="E996" s="244"/>
      <c r="F996" s="244"/>
      <c r="G996" s="244"/>
      <c r="H996" s="244"/>
      <c r="I996" s="244"/>
      <c r="J996" s="244"/>
      <c r="K996" s="244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  <c r="AA996" s="245"/>
    </row>
    <row r="997" ht="14.25" customHeight="1">
      <c r="A997" s="244"/>
      <c r="B997" s="244"/>
      <c r="C997" s="244"/>
      <c r="D997" s="244"/>
      <c r="E997" s="244"/>
      <c r="F997" s="244"/>
      <c r="G997" s="244"/>
      <c r="H997" s="244"/>
      <c r="I997" s="244"/>
      <c r="J997" s="244"/>
      <c r="K997" s="244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  <c r="AA997" s="245"/>
    </row>
    <row r="998" ht="14.25" customHeight="1">
      <c r="A998" s="244"/>
      <c r="B998" s="244"/>
      <c r="C998" s="244"/>
      <c r="D998" s="244"/>
      <c r="E998" s="244"/>
      <c r="F998" s="244"/>
      <c r="G998" s="244"/>
      <c r="H998" s="244"/>
      <c r="I998" s="244"/>
      <c r="J998" s="244"/>
      <c r="K998" s="244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  <c r="AA998" s="245"/>
    </row>
    <row r="999" ht="14.25" customHeight="1">
      <c r="A999" s="244"/>
      <c r="B999" s="244"/>
      <c r="C999" s="244"/>
      <c r="D999" s="244"/>
      <c r="E999" s="244"/>
      <c r="F999" s="244"/>
      <c r="G999" s="244"/>
      <c r="H999" s="244"/>
      <c r="I999" s="244"/>
      <c r="J999" s="244"/>
      <c r="K999" s="244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  <c r="AA999" s="245"/>
    </row>
    <row r="1000" ht="14.25" customHeight="1">
      <c r="A1000" s="244"/>
      <c r="B1000" s="244"/>
      <c r="C1000" s="244"/>
      <c r="D1000" s="244"/>
      <c r="E1000" s="244"/>
      <c r="F1000" s="244"/>
      <c r="G1000" s="244"/>
      <c r="H1000" s="244"/>
      <c r="I1000" s="244"/>
      <c r="J1000" s="244"/>
      <c r="K1000" s="244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  <c r="AA1000" s="245"/>
    </row>
    <row r="1001" ht="14.25" customHeight="1">
      <c r="A1001" s="244"/>
      <c r="B1001" s="244"/>
      <c r="C1001" s="244"/>
      <c r="D1001" s="244"/>
      <c r="E1001" s="244"/>
      <c r="F1001" s="244"/>
      <c r="G1001" s="244"/>
      <c r="H1001" s="244"/>
      <c r="I1001" s="244"/>
      <c r="J1001" s="244"/>
      <c r="K1001" s="244"/>
      <c r="L1001" s="245"/>
      <c r="M1001" s="245"/>
      <c r="N1001" s="245"/>
      <c r="O1001" s="245"/>
      <c r="P1001" s="245"/>
      <c r="Q1001" s="245"/>
      <c r="R1001" s="245"/>
      <c r="S1001" s="245"/>
      <c r="T1001" s="245"/>
      <c r="U1001" s="245"/>
      <c r="V1001" s="245"/>
      <c r="W1001" s="245"/>
      <c r="X1001" s="245"/>
      <c r="Y1001" s="245"/>
      <c r="Z1001" s="245"/>
      <c r="AA1001" s="245"/>
    </row>
    <row r="1002" ht="14.25" customHeight="1">
      <c r="A1002" s="244"/>
      <c r="B1002" s="244"/>
      <c r="C1002" s="244"/>
      <c r="D1002" s="244"/>
      <c r="E1002" s="244"/>
      <c r="F1002" s="244"/>
      <c r="G1002" s="244"/>
      <c r="H1002" s="244"/>
      <c r="I1002" s="244"/>
      <c r="J1002" s="244"/>
      <c r="K1002" s="244"/>
      <c r="L1002" s="245"/>
      <c r="M1002" s="245"/>
      <c r="N1002" s="245"/>
      <c r="O1002" s="245"/>
      <c r="P1002" s="245"/>
      <c r="Q1002" s="245"/>
      <c r="R1002" s="245"/>
      <c r="S1002" s="245"/>
      <c r="T1002" s="245"/>
      <c r="U1002" s="245"/>
      <c r="V1002" s="245"/>
      <c r="W1002" s="245"/>
      <c r="X1002" s="245"/>
      <c r="Y1002" s="245"/>
      <c r="Z1002" s="245"/>
      <c r="AA1002" s="245"/>
    </row>
    <row r="1003" ht="14.25" customHeight="1">
      <c r="A1003" s="244"/>
      <c r="B1003" s="244"/>
      <c r="C1003" s="244"/>
      <c r="D1003" s="244"/>
      <c r="E1003" s="244"/>
      <c r="F1003" s="244"/>
      <c r="G1003" s="244"/>
      <c r="H1003" s="244"/>
      <c r="I1003" s="244"/>
      <c r="J1003" s="244"/>
      <c r="K1003" s="244"/>
      <c r="L1003" s="245"/>
      <c r="M1003" s="245"/>
      <c r="N1003" s="245"/>
      <c r="O1003" s="245"/>
      <c r="P1003" s="245"/>
      <c r="Q1003" s="245"/>
      <c r="R1003" s="245"/>
      <c r="S1003" s="245"/>
      <c r="T1003" s="245"/>
      <c r="U1003" s="245"/>
      <c r="V1003" s="245"/>
      <c r="W1003" s="245"/>
      <c r="X1003" s="245"/>
      <c r="Y1003" s="245"/>
      <c r="Z1003" s="245"/>
      <c r="AA1003" s="245"/>
    </row>
    <row r="1004" ht="14.25" customHeight="1">
      <c r="A1004" s="244"/>
      <c r="B1004" s="244"/>
      <c r="C1004" s="244"/>
      <c r="D1004" s="244"/>
      <c r="E1004" s="244"/>
      <c r="F1004" s="244"/>
      <c r="G1004" s="244"/>
      <c r="H1004" s="244"/>
      <c r="I1004" s="244"/>
      <c r="J1004" s="244"/>
      <c r="K1004" s="244"/>
      <c r="L1004" s="245"/>
      <c r="M1004" s="245"/>
      <c r="N1004" s="245"/>
      <c r="O1004" s="245"/>
      <c r="P1004" s="245"/>
      <c r="Q1004" s="245"/>
      <c r="R1004" s="245"/>
      <c r="S1004" s="245"/>
      <c r="T1004" s="245"/>
      <c r="U1004" s="245"/>
      <c r="V1004" s="245"/>
      <c r="W1004" s="245"/>
      <c r="X1004" s="245"/>
      <c r="Y1004" s="245"/>
      <c r="Z1004" s="245"/>
      <c r="AA1004" s="245"/>
    </row>
    <row r="1005" ht="14.25" customHeight="1">
      <c r="A1005" s="244"/>
      <c r="B1005" s="244"/>
      <c r="C1005" s="244"/>
      <c r="D1005" s="244"/>
      <c r="E1005" s="244"/>
      <c r="F1005" s="244"/>
      <c r="G1005" s="244"/>
      <c r="H1005" s="244"/>
      <c r="I1005" s="244"/>
      <c r="J1005" s="244"/>
      <c r="K1005" s="244"/>
      <c r="L1005" s="245"/>
      <c r="M1005" s="245"/>
      <c r="N1005" s="245"/>
      <c r="O1005" s="245"/>
      <c r="P1005" s="245"/>
      <c r="Q1005" s="245"/>
      <c r="R1005" s="245"/>
      <c r="S1005" s="245"/>
      <c r="T1005" s="245"/>
      <c r="U1005" s="245"/>
      <c r="V1005" s="245"/>
      <c r="W1005" s="245"/>
      <c r="X1005" s="245"/>
      <c r="Y1005" s="245"/>
      <c r="Z1005" s="245"/>
      <c r="AA1005" s="245"/>
    </row>
    <row r="1006" ht="14.25" customHeight="1">
      <c r="A1006" s="244"/>
      <c r="B1006" s="244"/>
      <c r="C1006" s="244"/>
      <c r="D1006" s="244"/>
      <c r="E1006" s="244"/>
      <c r="F1006" s="244"/>
      <c r="G1006" s="244"/>
      <c r="H1006" s="244"/>
      <c r="I1006" s="244"/>
      <c r="J1006" s="244"/>
      <c r="K1006" s="244"/>
      <c r="L1006" s="245"/>
      <c r="M1006" s="245"/>
      <c r="N1006" s="245"/>
      <c r="O1006" s="245"/>
      <c r="P1006" s="245"/>
      <c r="Q1006" s="245"/>
      <c r="R1006" s="245"/>
      <c r="S1006" s="245"/>
      <c r="T1006" s="245"/>
      <c r="U1006" s="245"/>
      <c r="V1006" s="245"/>
      <c r="W1006" s="245"/>
      <c r="X1006" s="245"/>
      <c r="Y1006" s="245"/>
      <c r="Z1006" s="245"/>
      <c r="AA1006" s="245"/>
    </row>
    <row r="1007" ht="14.25" customHeight="1">
      <c r="A1007" s="244"/>
      <c r="B1007" s="244"/>
      <c r="C1007" s="244"/>
      <c r="D1007" s="244"/>
      <c r="E1007" s="244"/>
      <c r="F1007" s="244"/>
      <c r="G1007" s="244"/>
      <c r="H1007" s="244"/>
      <c r="I1007" s="244"/>
      <c r="J1007" s="244"/>
      <c r="K1007" s="244"/>
      <c r="L1007" s="245"/>
      <c r="M1007" s="245"/>
      <c r="N1007" s="245"/>
      <c r="O1007" s="245"/>
      <c r="P1007" s="245"/>
      <c r="Q1007" s="245"/>
      <c r="R1007" s="245"/>
      <c r="S1007" s="245"/>
      <c r="T1007" s="245"/>
      <c r="U1007" s="245"/>
      <c r="V1007" s="245"/>
      <c r="W1007" s="245"/>
      <c r="X1007" s="245"/>
      <c r="Y1007" s="245"/>
      <c r="Z1007" s="245"/>
      <c r="AA1007" s="245"/>
    </row>
    <row r="1008" ht="14.25" customHeight="1">
      <c r="A1008" s="244"/>
      <c r="B1008" s="244"/>
      <c r="C1008" s="244"/>
      <c r="D1008" s="244"/>
      <c r="E1008" s="244"/>
      <c r="F1008" s="244"/>
      <c r="G1008" s="244"/>
      <c r="H1008" s="244"/>
      <c r="I1008" s="244"/>
      <c r="J1008" s="244"/>
      <c r="K1008" s="244"/>
      <c r="L1008" s="245"/>
      <c r="M1008" s="245"/>
      <c r="N1008" s="245"/>
      <c r="O1008" s="245"/>
      <c r="P1008" s="245"/>
      <c r="Q1008" s="245"/>
      <c r="R1008" s="245"/>
      <c r="S1008" s="245"/>
      <c r="T1008" s="245"/>
      <c r="U1008" s="245"/>
      <c r="V1008" s="245"/>
      <c r="W1008" s="245"/>
      <c r="X1008" s="245"/>
      <c r="Y1008" s="245"/>
      <c r="Z1008" s="245"/>
      <c r="AA1008" s="245"/>
    </row>
    <row r="1009" ht="14.25" customHeight="1">
      <c r="A1009" s="244"/>
      <c r="B1009" s="244"/>
      <c r="C1009" s="244"/>
      <c r="D1009" s="244"/>
      <c r="E1009" s="244"/>
      <c r="F1009" s="244"/>
      <c r="G1009" s="244"/>
      <c r="H1009" s="244"/>
      <c r="I1009" s="244"/>
      <c r="J1009" s="244"/>
      <c r="K1009" s="244"/>
      <c r="L1009" s="245"/>
      <c r="M1009" s="245"/>
      <c r="N1009" s="245"/>
      <c r="O1009" s="245"/>
      <c r="P1009" s="245"/>
      <c r="Q1009" s="245"/>
      <c r="R1009" s="245"/>
      <c r="S1009" s="245"/>
      <c r="T1009" s="245"/>
      <c r="U1009" s="245"/>
      <c r="V1009" s="245"/>
      <c r="W1009" s="245"/>
      <c r="X1009" s="245"/>
      <c r="Y1009" s="245"/>
      <c r="Z1009" s="245"/>
      <c r="AA1009" s="245"/>
    </row>
    <row r="1010" ht="14.25" customHeight="1">
      <c r="A1010" s="244"/>
      <c r="B1010" s="244"/>
      <c r="C1010" s="244"/>
      <c r="D1010" s="244"/>
      <c r="E1010" s="244"/>
      <c r="F1010" s="244"/>
      <c r="G1010" s="244"/>
      <c r="H1010" s="244"/>
      <c r="I1010" s="244"/>
      <c r="J1010" s="244"/>
      <c r="K1010" s="244"/>
      <c r="L1010" s="245"/>
      <c r="M1010" s="245"/>
      <c r="N1010" s="245"/>
      <c r="O1010" s="245"/>
      <c r="P1010" s="245"/>
      <c r="Q1010" s="245"/>
      <c r="R1010" s="245"/>
      <c r="S1010" s="245"/>
      <c r="T1010" s="245"/>
      <c r="U1010" s="245"/>
      <c r="V1010" s="245"/>
      <c r="W1010" s="245"/>
      <c r="X1010" s="245"/>
      <c r="Y1010" s="245"/>
      <c r="Z1010" s="245"/>
      <c r="AA1010" s="245"/>
    </row>
    <row r="1011" ht="14.25" customHeight="1">
      <c r="A1011" s="244"/>
      <c r="B1011" s="244"/>
      <c r="C1011" s="244"/>
      <c r="D1011" s="244"/>
      <c r="E1011" s="244"/>
      <c r="F1011" s="244"/>
      <c r="G1011" s="244"/>
      <c r="H1011" s="244"/>
      <c r="I1011" s="244"/>
      <c r="J1011" s="244"/>
      <c r="K1011" s="244"/>
      <c r="L1011" s="245"/>
      <c r="M1011" s="245"/>
      <c r="N1011" s="245"/>
      <c r="O1011" s="245"/>
      <c r="P1011" s="245"/>
      <c r="Q1011" s="245"/>
      <c r="R1011" s="245"/>
      <c r="S1011" s="245"/>
      <c r="T1011" s="245"/>
      <c r="U1011" s="245"/>
      <c r="V1011" s="245"/>
      <c r="W1011" s="245"/>
      <c r="X1011" s="245"/>
      <c r="Y1011" s="245"/>
      <c r="Z1011" s="245"/>
      <c r="AA1011" s="245"/>
    </row>
    <row r="1012" ht="14.25" customHeight="1">
      <c r="A1012" s="244"/>
      <c r="B1012" s="244"/>
      <c r="C1012" s="244"/>
      <c r="D1012" s="244"/>
      <c r="E1012" s="244"/>
      <c r="F1012" s="244"/>
      <c r="G1012" s="244"/>
      <c r="H1012" s="244"/>
      <c r="I1012" s="244"/>
      <c r="J1012" s="244"/>
      <c r="K1012" s="244"/>
      <c r="L1012" s="245"/>
      <c r="M1012" s="245"/>
      <c r="N1012" s="245"/>
      <c r="O1012" s="245"/>
      <c r="P1012" s="245"/>
      <c r="Q1012" s="245"/>
      <c r="R1012" s="245"/>
      <c r="S1012" s="245"/>
      <c r="T1012" s="245"/>
      <c r="U1012" s="245"/>
      <c r="V1012" s="245"/>
      <c r="W1012" s="245"/>
      <c r="X1012" s="245"/>
      <c r="Y1012" s="245"/>
      <c r="Z1012" s="245"/>
      <c r="AA1012" s="245"/>
    </row>
    <row r="1013" ht="14.25" customHeight="1">
      <c r="A1013" s="244"/>
      <c r="B1013" s="244"/>
      <c r="C1013" s="244"/>
      <c r="D1013" s="244"/>
      <c r="E1013" s="244"/>
      <c r="F1013" s="244"/>
      <c r="G1013" s="244"/>
      <c r="H1013" s="244"/>
      <c r="I1013" s="244"/>
      <c r="J1013" s="244"/>
      <c r="K1013" s="244"/>
      <c r="L1013" s="245"/>
      <c r="M1013" s="245"/>
      <c r="N1013" s="245"/>
      <c r="O1013" s="245"/>
      <c r="P1013" s="245"/>
      <c r="Q1013" s="245"/>
      <c r="R1013" s="245"/>
      <c r="S1013" s="245"/>
      <c r="T1013" s="245"/>
      <c r="U1013" s="245"/>
      <c r="V1013" s="245"/>
      <c r="W1013" s="245"/>
      <c r="X1013" s="245"/>
      <c r="Y1013" s="245"/>
      <c r="Z1013" s="245"/>
      <c r="AA1013" s="245"/>
    </row>
    <row r="1014" ht="14.25" customHeight="1">
      <c r="A1014" s="244"/>
      <c r="B1014" s="244"/>
      <c r="C1014" s="244"/>
      <c r="D1014" s="244"/>
      <c r="E1014" s="244"/>
      <c r="F1014" s="244"/>
      <c r="G1014" s="244"/>
      <c r="H1014" s="244"/>
      <c r="I1014" s="244"/>
      <c r="J1014" s="244"/>
      <c r="K1014" s="244"/>
      <c r="L1014" s="245"/>
      <c r="M1014" s="245"/>
      <c r="N1014" s="245"/>
      <c r="O1014" s="245"/>
      <c r="P1014" s="245"/>
      <c r="Q1014" s="245"/>
      <c r="R1014" s="245"/>
      <c r="S1014" s="245"/>
      <c r="T1014" s="245"/>
      <c r="U1014" s="245"/>
      <c r="V1014" s="245"/>
      <c r="W1014" s="245"/>
      <c r="X1014" s="245"/>
      <c r="Y1014" s="245"/>
      <c r="Z1014" s="245"/>
      <c r="AA1014" s="245"/>
    </row>
    <row r="1015" ht="14.25" customHeight="1">
      <c r="A1015" s="244"/>
      <c r="B1015" s="244"/>
      <c r="C1015" s="244"/>
      <c r="D1015" s="244"/>
      <c r="E1015" s="244"/>
      <c r="F1015" s="244"/>
      <c r="G1015" s="244"/>
      <c r="H1015" s="244"/>
      <c r="I1015" s="244"/>
      <c r="J1015" s="244"/>
      <c r="K1015" s="244"/>
      <c r="L1015" s="245"/>
      <c r="M1015" s="245"/>
      <c r="N1015" s="245"/>
      <c r="O1015" s="245"/>
      <c r="P1015" s="245"/>
      <c r="Q1015" s="245"/>
      <c r="R1015" s="245"/>
      <c r="S1015" s="245"/>
      <c r="T1015" s="245"/>
      <c r="U1015" s="245"/>
      <c r="V1015" s="245"/>
      <c r="W1015" s="245"/>
      <c r="X1015" s="245"/>
      <c r="Y1015" s="245"/>
      <c r="Z1015" s="245"/>
      <c r="AA1015" s="245"/>
    </row>
    <row r="1016" ht="14.25" customHeight="1">
      <c r="A1016" s="244"/>
      <c r="B1016" s="244"/>
      <c r="C1016" s="244"/>
      <c r="D1016" s="244"/>
      <c r="E1016" s="244"/>
      <c r="F1016" s="244"/>
      <c r="G1016" s="244"/>
      <c r="H1016" s="244"/>
      <c r="I1016" s="244"/>
      <c r="J1016" s="244"/>
      <c r="K1016" s="244"/>
      <c r="L1016" s="245"/>
      <c r="M1016" s="245"/>
      <c r="N1016" s="245"/>
      <c r="O1016" s="245"/>
      <c r="P1016" s="245"/>
      <c r="Q1016" s="245"/>
      <c r="R1016" s="245"/>
      <c r="S1016" s="245"/>
      <c r="T1016" s="245"/>
      <c r="U1016" s="245"/>
      <c r="V1016" s="245"/>
      <c r="W1016" s="245"/>
      <c r="X1016" s="245"/>
      <c r="Y1016" s="245"/>
      <c r="Z1016" s="245"/>
      <c r="AA1016" s="245"/>
    </row>
    <row r="1017" ht="14.25" customHeight="1">
      <c r="A1017" s="244"/>
      <c r="B1017" s="244"/>
      <c r="C1017" s="244"/>
      <c r="D1017" s="244"/>
      <c r="E1017" s="244"/>
      <c r="F1017" s="244"/>
      <c r="G1017" s="244"/>
      <c r="H1017" s="244"/>
      <c r="I1017" s="244"/>
      <c r="J1017" s="244"/>
      <c r="K1017" s="244"/>
      <c r="L1017" s="245"/>
      <c r="M1017" s="245"/>
      <c r="N1017" s="245"/>
      <c r="O1017" s="245"/>
      <c r="P1017" s="245"/>
      <c r="Q1017" s="245"/>
      <c r="R1017" s="245"/>
      <c r="S1017" s="245"/>
      <c r="T1017" s="245"/>
      <c r="U1017" s="245"/>
      <c r="V1017" s="245"/>
      <c r="W1017" s="245"/>
      <c r="X1017" s="245"/>
      <c r="Y1017" s="245"/>
      <c r="Z1017" s="245"/>
      <c r="AA1017" s="245"/>
    </row>
    <row r="1018" ht="14.25" customHeight="1">
      <c r="A1018" s="244"/>
      <c r="B1018" s="244"/>
      <c r="C1018" s="244"/>
      <c r="D1018" s="244"/>
      <c r="E1018" s="244"/>
      <c r="F1018" s="244"/>
      <c r="G1018" s="244"/>
      <c r="H1018" s="244"/>
      <c r="I1018" s="244"/>
      <c r="J1018" s="244"/>
      <c r="K1018" s="244"/>
      <c r="L1018" s="245"/>
      <c r="M1018" s="245"/>
      <c r="N1018" s="245"/>
      <c r="O1018" s="245"/>
      <c r="P1018" s="245"/>
      <c r="Q1018" s="245"/>
      <c r="R1018" s="245"/>
      <c r="S1018" s="245"/>
      <c r="T1018" s="245"/>
      <c r="U1018" s="245"/>
      <c r="V1018" s="245"/>
      <c r="W1018" s="245"/>
      <c r="X1018" s="245"/>
      <c r="Y1018" s="245"/>
      <c r="Z1018" s="245"/>
      <c r="AA1018" s="245"/>
    </row>
    <row r="1019" ht="14.25" customHeight="1">
      <c r="A1019" s="244"/>
      <c r="B1019" s="244"/>
      <c r="C1019" s="244"/>
      <c r="D1019" s="244"/>
      <c r="E1019" s="244"/>
      <c r="F1019" s="244"/>
      <c r="G1019" s="244"/>
      <c r="H1019" s="244"/>
      <c r="I1019" s="244"/>
      <c r="J1019" s="244"/>
      <c r="K1019" s="244"/>
      <c r="L1019" s="245"/>
      <c r="M1019" s="245"/>
      <c r="N1019" s="245"/>
      <c r="O1019" s="245"/>
      <c r="P1019" s="245"/>
      <c r="Q1019" s="245"/>
      <c r="R1019" s="245"/>
      <c r="S1019" s="245"/>
      <c r="T1019" s="245"/>
      <c r="U1019" s="245"/>
      <c r="V1019" s="245"/>
      <c r="W1019" s="245"/>
      <c r="X1019" s="245"/>
      <c r="Y1019" s="245"/>
      <c r="Z1019" s="245"/>
      <c r="AA1019" s="245"/>
    </row>
    <row r="1020" ht="14.25" customHeight="1">
      <c r="A1020" s="244"/>
      <c r="B1020" s="244"/>
      <c r="C1020" s="244"/>
      <c r="D1020" s="244"/>
      <c r="E1020" s="244"/>
      <c r="F1020" s="244"/>
      <c r="G1020" s="244"/>
      <c r="H1020" s="244"/>
      <c r="I1020" s="244"/>
      <c r="J1020" s="244"/>
      <c r="K1020" s="244"/>
      <c r="L1020" s="245"/>
      <c r="M1020" s="245"/>
      <c r="N1020" s="245"/>
      <c r="O1020" s="245"/>
      <c r="P1020" s="245"/>
      <c r="Q1020" s="245"/>
      <c r="R1020" s="245"/>
      <c r="S1020" s="245"/>
      <c r="T1020" s="245"/>
      <c r="U1020" s="245"/>
      <c r="V1020" s="245"/>
      <c r="W1020" s="245"/>
      <c r="X1020" s="245"/>
      <c r="Y1020" s="245"/>
      <c r="Z1020" s="245"/>
      <c r="AA1020" s="245"/>
    </row>
    <row r="1021" ht="14.25" customHeight="1">
      <c r="A1021" s="244"/>
      <c r="B1021" s="244"/>
      <c r="C1021" s="244"/>
      <c r="D1021" s="244"/>
      <c r="E1021" s="244"/>
      <c r="F1021" s="244"/>
      <c r="G1021" s="244"/>
      <c r="H1021" s="244"/>
      <c r="I1021" s="244"/>
      <c r="J1021" s="244"/>
      <c r="K1021" s="244"/>
      <c r="L1021" s="245"/>
      <c r="M1021" s="245"/>
      <c r="N1021" s="245"/>
      <c r="O1021" s="245"/>
      <c r="P1021" s="245"/>
      <c r="Q1021" s="245"/>
      <c r="R1021" s="245"/>
      <c r="S1021" s="245"/>
      <c r="T1021" s="245"/>
      <c r="U1021" s="245"/>
      <c r="V1021" s="245"/>
      <c r="W1021" s="245"/>
      <c r="X1021" s="245"/>
      <c r="Y1021" s="245"/>
      <c r="Z1021" s="245"/>
      <c r="AA1021" s="245"/>
    </row>
    <row r="1022" ht="14.25" customHeight="1">
      <c r="A1022" s="244"/>
      <c r="B1022" s="244"/>
      <c r="C1022" s="244"/>
      <c r="D1022" s="244"/>
      <c r="E1022" s="244"/>
      <c r="F1022" s="244"/>
      <c r="G1022" s="244"/>
      <c r="H1022" s="244"/>
      <c r="I1022" s="244"/>
      <c r="J1022" s="244"/>
      <c r="K1022" s="244"/>
      <c r="L1022" s="245"/>
      <c r="M1022" s="245"/>
      <c r="N1022" s="245"/>
      <c r="O1022" s="245"/>
      <c r="P1022" s="245"/>
      <c r="Q1022" s="245"/>
      <c r="R1022" s="245"/>
      <c r="S1022" s="245"/>
      <c r="T1022" s="245"/>
      <c r="U1022" s="245"/>
      <c r="V1022" s="245"/>
      <c r="W1022" s="245"/>
      <c r="X1022" s="245"/>
      <c r="Y1022" s="245"/>
      <c r="Z1022" s="245"/>
      <c r="AA1022" s="245"/>
    </row>
  </sheetData>
  <mergeCells count="30">
    <mergeCell ref="A1:H1"/>
    <mergeCell ref="A9:M9"/>
    <mergeCell ref="A17:M17"/>
    <mergeCell ref="A50:M50"/>
    <mergeCell ref="A62:M62"/>
    <mergeCell ref="B63:M63"/>
    <mergeCell ref="B64:M64"/>
    <mergeCell ref="B65:M65"/>
    <mergeCell ref="B66:M66"/>
    <mergeCell ref="B67:M67"/>
    <mergeCell ref="B68:M68"/>
    <mergeCell ref="B69:M69"/>
    <mergeCell ref="B70:M70"/>
    <mergeCell ref="B71:M71"/>
    <mergeCell ref="B72:M72"/>
    <mergeCell ref="B73:M73"/>
    <mergeCell ref="B74:M74"/>
    <mergeCell ref="B75:M75"/>
    <mergeCell ref="B76:M76"/>
    <mergeCell ref="B77:M77"/>
    <mergeCell ref="B78:M78"/>
    <mergeCell ref="B86:M86"/>
    <mergeCell ref="B87:M87"/>
    <mergeCell ref="B79:M79"/>
    <mergeCell ref="B80:M80"/>
    <mergeCell ref="B81:M81"/>
    <mergeCell ref="B82:M82"/>
    <mergeCell ref="B83:M83"/>
    <mergeCell ref="B84:M84"/>
    <mergeCell ref="B85:M85"/>
  </mergeCells>
  <dataValidations>
    <dataValidation type="list" allowBlank="1" sqref="A19:A47 B52:B59">
      <formula1>"📌 ЗАДАЧА,📦 ПРОЕКТ,🔬 ГИПОТЕЗА,💡 ИДЕЯ"</formula1>
    </dataValidation>
    <dataValidation type="list" allowBlank="1" sqref="J38">
      <formula1>"⏸️ Не начато,🔄 В работе,✅ Выполнено,⏸️ На паузе,❌ Отменено,⚠️ Требует решения,Частично выполнено"</formula1>
    </dataValidation>
    <dataValidation type="list" allowBlank="1" sqref="F11:F15">
      <formula1>"On track,Опаздываем,Выполнено,Не начато,Требует внимания"</formula1>
    </dataValidation>
    <dataValidation type="list" allowBlank="1" sqref="H30">
      <formula1>"⏸️ Не начато,🔄 В работе,✅ Выполнено,⏸️ На паузе,❌ Отменено,⚠️ Требует решения,Работает пока с Трекером"</formula1>
    </dataValidation>
    <dataValidation type="list" allowBlank="1" sqref="E52:E59">
      <formula1>"High,Medium,Low"</formula1>
    </dataValidation>
    <dataValidation type="list" allowBlank="1" sqref="B19:B47 D52:D59">
      <formula1>"Привлечено 65k лидов,CAC,Стабильная система запусков:,Доходимость вебинаров увеличена 2,Кликабельность баннеров доведена"</formula1>
    </dataValidation>
    <dataValidation type="list" allowBlank="1" sqref="F19:I26 F27:J27 F28:I29 F30:G30 I30 F31:I32 F33:J33 F34:I34 F35:J35 F36:I36 F37:J37 F38:I38 F39:J39 F40:I47">
      <formula1>"⏸️ Не начато,🔄 В работе,✅ Выполнено,⏸️ На паузе,❌ Отменено,⚠️ Требует решения"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0"/>
    <col customWidth="1" min="3" max="3" width="47.0"/>
    <col customWidth="1" min="4" max="4" width="25.86"/>
    <col customWidth="1" min="5" max="5" width="19.57"/>
    <col customWidth="1" min="6" max="6" width="19.71"/>
    <col customWidth="1" min="7" max="7" width="17.29"/>
    <col customWidth="1" min="8" max="8" width="22.57"/>
    <col customWidth="1" min="9" max="9" width="15.29"/>
    <col customWidth="1" min="10" max="10" width="25.0"/>
    <col customWidth="1" min="11" max="11" width="8.71"/>
    <col customWidth="1" min="12" max="12" width="11.86"/>
    <col customWidth="1" min="13" max="26" width="8.71"/>
  </cols>
  <sheetData>
    <row r="1" ht="21.0" customHeight="1">
      <c r="A1" s="279" t="s">
        <v>1337</v>
      </c>
      <c r="B1" s="206"/>
      <c r="C1" s="206"/>
      <c r="D1" s="206"/>
      <c r="E1" s="206"/>
      <c r="F1" s="206"/>
      <c r="G1" s="206"/>
      <c r="H1" s="207"/>
      <c r="I1" s="208"/>
      <c r="J1" s="208"/>
    </row>
    <row r="2" ht="14.25" customHeight="1">
      <c r="A2" s="209" t="s">
        <v>991</v>
      </c>
      <c r="B2" s="229" t="s">
        <v>905</v>
      </c>
      <c r="C2" s="208"/>
      <c r="D2" s="208"/>
      <c r="E2" s="208"/>
      <c r="F2" s="208"/>
      <c r="G2" s="208"/>
      <c r="H2" s="208"/>
      <c r="I2" s="208"/>
      <c r="J2" s="208"/>
    </row>
    <row r="3" ht="14.25" customHeight="1">
      <c r="A3" s="209" t="s">
        <v>992</v>
      </c>
      <c r="B3" s="229" t="s">
        <v>64</v>
      </c>
      <c r="C3" s="208"/>
      <c r="D3" s="208"/>
      <c r="E3" s="208"/>
      <c r="F3" s="208"/>
      <c r="G3" s="208"/>
      <c r="H3" s="208"/>
      <c r="I3" s="208"/>
      <c r="J3" s="208"/>
    </row>
    <row r="4" ht="14.25" customHeight="1">
      <c r="A4" s="209" t="s">
        <v>993</v>
      </c>
      <c r="B4" s="229" t="s">
        <v>906</v>
      </c>
      <c r="C4" s="208"/>
      <c r="D4" s="208"/>
      <c r="E4" s="208"/>
      <c r="F4" s="208"/>
      <c r="G4" s="208"/>
      <c r="H4" s="208"/>
      <c r="I4" s="208"/>
      <c r="J4" s="208"/>
    </row>
    <row r="5" ht="14.25" customHeight="1">
      <c r="A5" s="209" t="s">
        <v>994</v>
      </c>
      <c r="B5" s="229" t="s">
        <v>882</v>
      </c>
      <c r="C5" s="208"/>
      <c r="D5" s="208"/>
      <c r="E5" s="208"/>
      <c r="F5" s="208"/>
      <c r="G5" s="208"/>
      <c r="H5" s="208"/>
      <c r="I5" s="208"/>
      <c r="J5" s="208"/>
    </row>
    <row r="6" ht="14.25" customHeight="1">
      <c r="A6" s="280" t="s">
        <v>995</v>
      </c>
      <c r="B6" s="281" t="s">
        <v>1338</v>
      </c>
      <c r="C6" s="282" t="s">
        <v>1339</v>
      </c>
      <c r="D6" s="283" t="s">
        <v>1340</v>
      </c>
      <c r="E6" s="208"/>
      <c r="F6" s="208"/>
      <c r="G6" s="208"/>
      <c r="H6" s="208"/>
      <c r="I6" s="208"/>
      <c r="J6" s="208"/>
    </row>
    <row r="7" ht="14.25" customHeight="1">
      <c r="A7" s="280" t="s">
        <v>997</v>
      </c>
      <c r="B7" s="281" t="s">
        <v>1075</v>
      </c>
      <c r="C7" s="284" t="s">
        <v>1341</v>
      </c>
      <c r="D7" s="208"/>
      <c r="E7" s="208"/>
      <c r="F7" s="208"/>
      <c r="G7" s="208"/>
      <c r="H7" s="208"/>
      <c r="I7" s="208"/>
      <c r="J7" s="208"/>
    </row>
    <row r="8" ht="14.25" customHeight="1">
      <c r="A8" s="208"/>
      <c r="B8" s="208"/>
      <c r="C8" s="208"/>
      <c r="D8" s="208"/>
      <c r="E8" s="208"/>
      <c r="F8" s="208"/>
      <c r="G8" s="208"/>
      <c r="H8" s="208"/>
      <c r="I8" s="208"/>
      <c r="J8" s="208"/>
    </row>
    <row r="9" ht="15.0" customHeight="1">
      <c r="A9" s="285" t="s">
        <v>999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7"/>
    </row>
    <row r="10" ht="28.5" customHeight="1">
      <c r="A10" s="233" t="s">
        <v>914</v>
      </c>
      <c r="B10" s="233" t="s">
        <v>1000</v>
      </c>
      <c r="C10" s="233" t="s">
        <v>915</v>
      </c>
      <c r="D10" s="233" t="s">
        <v>916</v>
      </c>
      <c r="E10" s="233" t="s">
        <v>917</v>
      </c>
      <c r="F10" s="233" t="s">
        <v>1001</v>
      </c>
      <c r="G10" s="233" t="s">
        <v>22</v>
      </c>
      <c r="H10" s="233" t="s">
        <v>1002</v>
      </c>
      <c r="I10" s="208"/>
      <c r="J10" s="208"/>
    </row>
    <row r="11" ht="57.0" customHeight="1">
      <c r="A11" s="213" t="s">
        <v>952</v>
      </c>
      <c r="B11" s="213" t="s">
        <v>1342</v>
      </c>
      <c r="C11" s="213" t="s">
        <v>297</v>
      </c>
      <c r="D11" s="234" t="s">
        <v>1343</v>
      </c>
      <c r="E11" s="213"/>
      <c r="F11" s="234" t="s">
        <v>1084</v>
      </c>
      <c r="G11" s="213" t="s">
        <v>29</v>
      </c>
      <c r="H11" s="213"/>
      <c r="I11" s="208"/>
      <c r="J11" s="208"/>
    </row>
    <row r="12" ht="28.5" customHeight="1">
      <c r="A12" s="213" t="s">
        <v>953</v>
      </c>
      <c r="B12" s="213" t="s">
        <v>1344</v>
      </c>
      <c r="C12" s="213" t="s">
        <v>299</v>
      </c>
      <c r="D12" s="234" t="s">
        <v>1345</v>
      </c>
      <c r="E12" s="213"/>
      <c r="F12" s="234" t="s">
        <v>1084</v>
      </c>
      <c r="G12" s="213" t="s">
        <v>29</v>
      </c>
      <c r="H12" s="213"/>
      <c r="I12" s="208"/>
      <c r="J12" s="208"/>
    </row>
    <row r="13" ht="42.75" customHeight="1">
      <c r="A13" s="213" t="s">
        <v>954</v>
      </c>
      <c r="B13" s="213" t="s">
        <v>1346</v>
      </c>
      <c r="C13" s="213" t="s">
        <v>300</v>
      </c>
      <c r="D13" s="213"/>
      <c r="E13" s="213"/>
      <c r="F13" s="234" t="s">
        <v>1078</v>
      </c>
      <c r="G13" s="213" t="s">
        <v>29</v>
      </c>
      <c r="H13" s="213"/>
      <c r="I13" s="208"/>
      <c r="J13" s="208"/>
    </row>
    <row r="14" ht="28.5" customHeight="1">
      <c r="A14" s="213" t="s">
        <v>955</v>
      </c>
      <c r="B14" s="213" t="s">
        <v>1347</v>
      </c>
      <c r="C14" s="213" t="s">
        <v>301</v>
      </c>
      <c r="D14" s="213"/>
      <c r="E14" s="213" t="s">
        <v>302</v>
      </c>
      <c r="F14" s="234" t="s">
        <v>1206</v>
      </c>
      <c r="G14" s="213" t="s">
        <v>29</v>
      </c>
      <c r="H14" s="213"/>
      <c r="I14" s="208"/>
      <c r="J14" s="208"/>
    </row>
    <row r="15" ht="14.25" customHeight="1">
      <c r="A15" s="208"/>
      <c r="B15" s="208"/>
      <c r="C15" s="208"/>
      <c r="D15" s="208"/>
      <c r="E15" s="208"/>
      <c r="F15" s="208"/>
      <c r="G15" s="208"/>
      <c r="H15" s="208"/>
      <c r="I15" s="208"/>
      <c r="J15" s="208"/>
    </row>
    <row r="16" ht="15.0" customHeight="1">
      <c r="A16" s="218" t="s">
        <v>1014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7"/>
    </row>
    <row r="17" ht="14.25" customHeight="1">
      <c r="A17" s="235" t="s">
        <v>32</v>
      </c>
      <c r="B17" s="235" t="s">
        <v>1015</v>
      </c>
      <c r="C17" s="235" t="s">
        <v>1016</v>
      </c>
      <c r="D17" s="235" t="s">
        <v>23</v>
      </c>
      <c r="E17" s="235" t="s">
        <v>22</v>
      </c>
      <c r="F17" s="235" t="s">
        <v>1017</v>
      </c>
      <c r="G17" s="235" t="s">
        <v>1018</v>
      </c>
      <c r="H17" s="235" t="s">
        <v>1019</v>
      </c>
      <c r="I17" s="235" t="s">
        <v>1020</v>
      </c>
      <c r="J17" s="235" t="s">
        <v>1021</v>
      </c>
    </row>
    <row r="18" ht="14.25" customHeight="1">
      <c r="A18" s="213" t="s">
        <v>1022</v>
      </c>
      <c r="B18" s="213" t="s">
        <v>1348</v>
      </c>
      <c r="C18" s="213" t="s">
        <v>1349</v>
      </c>
      <c r="D18" s="213" t="s">
        <v>298</v>
      </c>
      <c r="E18" s="213" t="s">
        <v>1350</v>
      </c>
      <c r="F18" s="213" t="s">
        <v>1045</v>
      </c>
      <c r="G18" s="234" t="s">
        <v>1102</v>
      </c>
      <c r="H18" s="234" t="s">
        <v>1047</v>
      </c>
      <c r="I18" s="213"/>
      <c r="J18" s="213" t="s">
        <v>1351</v>
      </c>
    </row>
    <row r="19" ht="14.25" customHeight="1">
      <c r="A19" s="213" t="s">
        <v>1023</v>
      </c>
      <c r="B19" s="213" t="s">
        <v>952</v>
      </c>
      <c r="C19" s="213" t="s">
        <v>1352</v>
      </c>
      <c r="D19" s="213" t="s">
        <v>298</v>
      </c>
      <c r="E19" s="213" t="s">
        <v>1220</v>
      </c>
      <c r="F19" s="213" t="s">
        <v>1045</v>
      </c>
      <c r="G19" s="234" t="s">
        <v>1045</v>
      </c>
      <c r="H19" s="234" t="s">
        <v>1045</v>
      </c>
      <c r="I19" s="213"/>
      <c r="J19" s="213" t="s">
        <v>1353</v>
      </c>
      <c r="K19" s="169" t="s">
        <v>1354</v>
      </c>
      <c r="L19" s="169" t="s">
        <v>1355</v>
      </c>
    </row>
    <row r="20" ht="14.25" customHeight="1">
      <c r="A20" s="213" t="s">
        <v>1024</v>
      </c>
      <c r="B20" s="213" t="s">
        <v>954</v>
      </c>
      <c r="C20" s="213" t="s">
        <v>1356</v>
      </c>
      <c r="D20" s="213" t="s">
        <v>298</v>
      </c>
      <c r="E20" s="213" t="s">
        <v>29</v>
      </c>
      <c r="F20" s="213" t="s">
        <v>1045</v>
      </c>
      <c r="G20" s="234" t="s">
        <v>1043</v>
      </c>
      <c r="H20" s="213"/>
      <c r="I20" s="213"/>
      <c r="J20" s="213" t="s">
        <v>1357</v>
      </c>
    </row>
    <row r="21" ht="14.25" customHeight="1">
      <c r="A21" s="213" t="s">
        <v>1024</v>
      </c>
      <c r="B21" s="213" t="s">
        <v>955</v>
      </c>
      <c r="C21" s="213" t="s">
        <v>1358</v>
      </c>
      <c r="D21" s="213" t="s">
        <v>298</v>
      </c>
      <c r="E21" s="213" t="s">
        <v>29</v>
      </c>
      <c r="F21" s="213" t="s">
        <v>1039</v>
      </c>
      <c r="G21" s="234" t="s">
        <v>1102</v>
      </c>
      <c r="H21" s="213"/>
      <c r="I21" s="213"/>
      <c r="J21" s="213" t="s">
        <v>1359</v>
      </c>
    </row>
    <row r="22" ht="14.25" customHeight="1">
      <c r="A22" s="234" t="s">
        <v>1024</v>
      </c>
      <c r="B22" s="234" t="s">
        <v>1342</v>
      </c>
      <c r="C22" s="234" t="s">
        <v>1360</v>
      </c>
      <c r="D22" s="234" t="s">
        <v>1361</v>
      </c>
      <c r="E22" s="234">
        <v>20.02</v>
      </c>
      <c r="F22" s="213"/>
      <c r="G22" s="234" t="s">
        <v>1045</v>
      </c>
      <c r="H22" s="234" t="s">
        <v>1043</v>
      </c>
      <c r="I22" s="213"/>
      <c r="J22" s="213"/>
    </row>
    <row r="23" ht="14.25" customHeight="1">
      <c r="A23" s="234" t="s">
        <v>1022</v>
      </c>
      <c r="B23" s="234" t="s">
        <v>1342</v>
      </c>
      <c r="C23" s="234" t="s">
        <v>1362</v>
      </c>
      <c r="D23" s="213" t="s">
        <v>298</v>
      </c>
      <c r="E23" s="234" t="s">
        <v>1363</v>
      </c>
      <c r="F23" s="213"/>
      <c r="G23" s="234" t="s">
        <v>1045</v>
      </c>
      <c r="H23" s="234" t="s">
        <v>1045</v>
      </c>
      <c r="I23" s="213"/>
      <c r="J23" s="213"/>
    </row>
    <row r="24" ht="14.25" customHeight="1">
      <c r="A24" s="234" t="s">
        <v>1022</v>
      </c>
      <c r="B24" s="234" t="s">
        <v>1342</v>
      </c>
      <c r="C24" s="234" t="s">
        <v>1364</v>
      </c>
      <c r="D24" s="213" t="s">
        <v>298</v>
      </c>
      <c r="E24" s="234" t="s">
        <v>1365</v>
      </c>
      <c r="F24" s="213"/>
      <c r="G24" s="234" t="s">
        <v>1045</v>
      </c>
      <c r="H24" s="234" t="s">
        <v>1045</v>
      </c>
      <c r="I24" s="213"/>
      <c r="J24" s="213"/>
    </row>
    <row r="25" ht="14.25" customHeight="1">
      <c r="A25" s="234" t="s">
        <v>1022</v>
      </c>
      <c r="B25" s="234" t="s">
        <v>1342</v>
      </c>
      <c r="C25" s="234" t="s">
        <v>1366</v>
      </c>
      <c r="D25" s="213" t="s">
        <v>298</v>
      </c>
      <c r="E25" s="234" t="s">
        <v>1367</v>
      </c>
      <c r="F25" s="213"/>
      <c r="G25" s="213"/>
      <c r="H25" s="213"/>
      <c r="I25" s="213"/>
      <c r="J25" s="234" t="s">
        <v>1368</v>
      </c>
    </row>
    <row r="26" ht="14.25" customHeight="1">
      <c r="A26" s="234" t="s">
        <v>1022</v>
      </c>
      <c r="B26" s="234" t="s">
        <v>1342</v>
      </c>
      <c r="C26" s="234" t="s">
        <v>1369</v>
      </c>
      <c r="D26" s="213" t="s">
        <v>298</v>
      </c>
      <c r="E26" s="234" t="s">
        <v>1370</v>
      </c>
      <c r="F26" s="213"/>
      <c r="G26" s="213"/>
      <c r="H26" s="213"/>
      <c r="I26" s="213"/>
      <c r="J26" s="213"/>
    </row>
    <row r="27" ht="14.25" customHeight="1">
      <c r="A27" s="234" t="s">
        <v>1024</v>
      </c>
      <c r="B27" s="234" t="s">
        <v>1344</v>
      </c>
      <c r="C27" s="234" t="s">
        <v>1371</v>
      </c>
      <c r="D27" s="213" t="s">
        <v>298</v>
      </c>
      <c r="E27" s="234" t="s">
        <v>1260</v>
      </c>
      <c r="F27" s="213"/>
      <c r="G27" s="213"/>
      <c r="H27" s="213"/>
      <c r="I27" s="213"/>
      <c r="J27" s="213"/>
    </row>
    <row r="28" ht="14.25" customHeight="1">
      <c r="A28" s="234" t="s">
        <v>1024</v>
      </c>
      <c r="B28" s="234" t="s">
        <v>1344</v>
      </c>
      <c r="C28" s="234" t="s">
        <v>1372</v>
      </c>
      <c r="D28" s="213" t="s">
        <v>298</v>
      </c>
      <c r="E28" s="234" t="s">
        <v>1260</v>
      </c>
      <c r="F28" s="213"/>
      <c r="G28" s="213"/>
      <c r="H28" s="213"/>
      <c r="I28" s="213"/>
      <c r="J28" s="213"/>
    </row>
    <row r="29" ht="14.25" customHeight="1">
      <c r="A29" s="213"/>
      <c r="B29" s="213"/>
      <c r="C29" s="213"/>
      <c r="D29" s="213"/>
      <c r="E29" s="213"/>
      <c r="F29" s="213"/>
      <c r="G29" s="213"/>
      <c r="H29" s="213"/>
      <c r="I29" s="213"/>
      <c r="J29" s="213"/>
    </row>
    <row r="30" ht="14.25" customHeight="1">
      <c r="A30" s="213"/>
      <c r="B30" s="213"/>
      <c r="C30" s="213"/>
      <c r="D30" s="213"/>
      <c r="E30" s="213"/>
      <c r="F30" s="213"/>
      <c r="G30" s="213"/>
      <c r="H30" s="213"/>
      <c r="I30" s="213"/>
      <c r="J30" s="213"/>
    </row>
    <row r="31" ht="14.25" customHeight="1">
      <c r="A31" s="213"/>
      <c r="B31" s="213"/>
      <c r="C31" s="213"/>
      <c r="D31" s="213"/>
      <c r="E31" s="213"/>
      <c r="F31" s="213"/>
      <c r="G31" s="213"/>
      <c r="H31" s="213"/>
      <c r="I31" s="213"/>
      <c r="J31" s="213"/>
    </row>
    <row r="32" ht="14.25" customHeight="1">
      <c r="A32" s="213"/>
      <c r="B32" s="213"/>
      <c r="C32" s="213"/>
      <c r="D32" s="213"/>
      <c r="E32" s="213"/>
      <c r="F32" s="213"/>
      <c r="G32" s="213"/>
      <c r="H32" s="213"/>
      <c r="I32" s="213"/>
      <c r="J32" s="213"/>
    </row>
    <row r="33" ht="14.25" customHeight="1">
      <c r="A33" s="213"/>
      <c r="B33" s="213"/>
      <c r="C33" s="213"/>
      <c r="D33" s="213"/>
      <c r="E33" s="213"/>
      <c r="F33" s="213"/>
      <c r="G33" s="213"/>
      <c r="H33" s="213"/>
      <c r="I33" s="213"/>
      <c r="J33" s="213"/>
    </row>
    <row r="34" ht="14.25" customHeight="1">
      <c r="A34" s="213" t="s">
        <v>1022</v>
      </c>
      <c r="B34" s="213"/>
      <c r="C34" s="213"/>
      <c r="D34" s="213"/>
      <c r="E34" s="213"/>
      <c r="F34" s="213"/>
      <c r="G34" s="213"/>
      <c r="H34" s="213"/>
      <c r="I34" s="213"/>
      <c r="J34" s="213"/>
    </row>
    <row r="35" ht="14.25" customHeight="1">
      <c r="A35" s="213" t="s">
        <v>1024</v>
      </c>
      <c r="B35" s="213"/>
      <c r="C35" s="213"/>
      <c r="D35" s="213"/>
      <c r="E35" s="213"/>
      <c r="F35" s="213"/>
      <c r="G35" s="213"/>
      <c r="H35" s="213"/>
      <c r="I35" s="213"/>
      <c r="J35" s="213"/>
    </row>
    <row r="36" ht="14.25" customHeight="1">
      <c r="A36" s="213" t="s">
        <v>1025</v>
      </c>
      <c r="B36" s="213"/>
      <c r="C36" s="213"/>
      <c r="D36" s="213"/>
      <c r="E36" s="213"/>
      <c r="F36" s="213"/>
      <c r="G36" s="213"/>
      <c r="H36" s="213"/>
      <c r="I36" s="213"/>
      <c r="J36" s="213"/>
    </row>
    <row r="37" ht="14.25" customHeight="1">
      <c r="A37" s="208"/>
      <c r="B37" s="208"/>
      <c r="C37" s="208"/>
      <c r="D37" s="208"/>
      <c r="E37" s="208"/>
      <c r="F37" s="208"/>
      <c r="G37" s="208"/>
      <c r="H37" s="208"/>
      <c r="I37" s="208"/>
      <c r="J37" s="208"/>
    </row>
    <row r="38" ht="14.25" customHeight="1">
      <c r="A38" s="208"/>
      <c r="B38" s="208"/>
      <c r="C38" s="208"/>
      <c r="D38" s="208"/>
      <c r="E38" s="208"/>
      <c r="F38" s="208"/>
      <c r="G38" s="208"/>
      <c r="H38" s="208"/>
      <c r="I38" s="208"/>
      <c r="J38" s="208"/>
    </row>
    <row r="39" ht="14.25" customHeight="1">
      <c r="A39" s="236" t="s">
        <v>1026</v>
      </c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7"/>
    </row>
    <row r="40" ht="24.0" customHeight="1">
      <c r="A40" s="237" t="s">
        <v>377</v>
      </c>
      <c r="B40" s="237" t="s">
        <v>32</v>
      </c>
      <c r="C40" s="237" t="s">
        <v>1027</v>
      </c>
      <c r="D40" s="237" t="s">
        <v>1028</v>
      </c>
      <c r="E40" s="237" t="s">
        <v>154</v>
      </c>
      <c r="F40" s="237" t="s">
        <v>1029</v>
      </c>
      <c r="G40" s="237" t="s">
        <v>381</v>
      </c>
      <c r="H40" s="208"/>
      <c r="I40" s="208"/>
      <c r="J40" s="208"/>
    </row>
    <row r="41" ht="14.25" customHeight="1">
      <c r="A41" s="238" t="s">
        <v>1116</v>
      </c>
      <c r="B41" s="238" t="s">
        <v>1022</v>
      </c>
      <c r="C41" s="286" t="s">
        <v>1373</v>
      </c>
      <c r="D41" s="238" t="s">
        <v>1374</v>
      </c>
      <c r="E41" s="238" t="s">
        <v>1118</v>
      </c>
      <c r="F41" s="238" t="s">
        <v>1119</v>
      </c>
      <c r="G41" s="238" t="s">
        <v>1053</v>
      </c>
      <c r="H41" s="208"/>
      <c r="I41" s="208"/>
      <c r="J41" s="208"/>
    </row>
    <row r="42" ht="14.25" customHeight="1">
      <c r="A42" s="238" t="s">
        <v>1120</v>
      </c>
      <c r="B42" s="238" t="s">
        <v>1025</v>
      </c>
      <c r="C42" s="286" t="s">
        <v>1375</v>
      </c>
      <c r="D42" s="238" t="s">
        <v>1348</v>
      </c>
      <c r="E42" s="238" t="s">
        <v>1118</v>
      </c>
      <c r="F42" s="238" t="s">
        <v>1119</v>
      </c>
      <c r="G42" s="238" t="s">
        <v>1053</v>
      </c>
      <c r="H42" s="208"/>
      <c r="I42" s="208"/>
      <c r="J42" s="208"/>
    </row>
    <row r="43" ht="14.25" customHeight="1">
      <c r="A43" s="238" t="s">
        <v>1122</v>
      </c>
      <c r="B43" s="238" t="s">
        <v>1025</v>
      </c>
      <c r="C43" s="286" t="s">
        <v>1376</v>
      </c>
      <c r="D43" s="238" t="s">
        <v>955</v>
      </c>
      <c r="E43" s="238" t="s">
        <v>1183</v>
      </c>
      <c r="F43" s="238" t="s">
        <v>1119</v>
      </c>
      <c r="G43" s="238" t="s">
        <v>1053</v>
      </c>
      <c r="H43" s="208"/>
      <c r="I43" s="208"/>
      <c r="J43" s="208"/>
    </row>
    <row r="44" ht="14.25" customHeight="1">
      <c r="A44" s="238"/>
      <c r="B44" s="238"/>
      <c r="C44" s="238"/>
      <c r="D44" s="238"/>
      <c r="E44" s="238"/>
      <c r="F44" s="238"/>
      <c r="G44" s="238"/>
      <c r="H44" s="208"/>
      <c r="I44" s="208"/>
      <c r="J44" s="208"/>
    </row>
    <row r="45" ht="14.25" customHeight="1">
      <c r="A45" s="238"/>
      <c r="B45" s="238"/>
      <c r="C45" s="238"/>
      <c r="D45" s="238"/>
      <c r="E45" s="238"/>
      <c r="F45" s="238"/>
      <c r="G45" s="238"/>
      <c r="H45" s="208"/>
      <c r="I45" s="208"/>
      <c r="J45" s="208"/>
    </row>
    <row r="46" ht="14.25" customHeight="1">
      <c r="A46" s="208"/>
      <c r="B46" s="208"/>
      <c r="C46" s="208"/>
      <c r="D46" s="208"/>
      <c r="E46" s="208"/>
      <c r="F46" s="208"/>
      <c r="G46" s="208"/>
      <c r="H46" s="208"/>
      <c r="I46" s="208"/>
      <c r="J46" s="208"/>
    </row>
    <row r="47" ht="14.25" customHeight="1">
      <c r="A47" s="208"/>
      <c r="B47" s="208"/>
      <c r="C47" s="208"/>
      <c r="D47" s="208"/>
      <c r="E47" s="208"/>
      <c r="F47" s="208"/>
      <c r="G47" s="208"/>
      <c r="H47" s="208"/>
      <c r="I47" s="208"/>
      <c r="J47" s="208"/>
    </row>
    <row r="48" ht="14.25" customHeight="1">
      <c r="A48" s="239" t="s">
        <v>1030</v>
      </c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20"/>
    </row>
    <row r="49" ht="14.25" customHeight="1">
      <c r="A49" s="241"/>
      <c r="B49" s="242" t="s">
        <v>1031</v>
      </c>
      <c r="C49" s="240"/>
      <c r="D49" s="240"/>
      <c r="E49" s="240"/>
      <c r="F49" s="240"/>
      <c r="G49" s="240"/>
      <c r="H49" s="240"/>
      <c r="I49" s="240"/>
      <c r="J49" s="240"/>
      <c r="K49" s="240"/>
      <c r="L49" s="220"/>
    </row>
    <row r="50" ht="14.25" customHeight="1">
      <c r="A50" s="241" t="s">
        <v>1024</v>
      </c>
      <c r="B50" s="242" t="s">
        <v>1032</v>
      </c>
      <c r="C50" s="240"/>
      <c r="D50" s="240"/>
      <c r="E50" s="240"/>
      <c r="F50" s="240"/>
      <c r="G50" s="240"/>
      <c r="H50" s="240"/>
      <c r="I50" s="240"/>
      <c r="J50" s="240"/>
      <c r="K50" s="240"/>
      <c r="L50" s="220"/>
    </row>
    <row r="51" ht="14.25" customHeight="1">
      <c r="A51" s="241" t="s">
        <v>1023</v>
      </c>
      <c r="B51" s="242" t="s">
        <v>1033</v>
      </c>
      <c r="C51" s="240"/>
      <c r="D51" s="240"/>
      <c r="E51" s="240"/>
      <c r="F51" s="240"/>
      <c r="G51" s="240"/>
      <c r="H51" s="240"/>
      <c r="I51" s="240"/>
      <c r="J51" s="240"/>
      <c r="K51" s="240"/>
      <c r="L51" s="220"/>
    </row>
    <row r="52" ht="14.25" customHeight="1">
      <c r="A52" s="241" t="s">
        <v>1022</v>
      </c>
      <c r="B52" s="242" t="s">
        <v>1034</v>
      </c>
      <c r="C52" s="240"/>
      <c r="D52" s="240"/>
      <c r="E52" s="240"/>
      <c r="F52" s="240"/>
      <c r="G52" s="240"/>
      <c r="H52" s="240"/>
      <c r="I52" s="240"/>
      <c r="J52" s="240"/>
      <c r="K52" s="240"/>
      <c r="L52" s="220"/>
    </row>
    <row r="53" ht="14.25" customHeight="1">
      <c r="A53" s="241" t="s">
        <v>1025</v>
      </c>
      <c r="B53" s="242" t="s">
        <v>1035</v>
      </c>
      <c r="C53" s="240"/>
      <c r="D53" s="240"/>
      <c r="E53" s="240"/>
      <c r="F53" s="240"/>
      <c r="G53" s="240"/>
      <c r="H53" s="240"/>
      <c r="I53" s="240"/>
      <c r="J53" s="240"/>
      <c r="K53" s="240"/>
      <c r="L53" s="220"/>
    </row>
    <row r="54" ht="14.25" customHeight="1">
      <c r="A54" s="241"/>
      <c r="B54" s="242" t="s">
        <v>1036</v>
      </c>
      <c r="C54" s="240"/>
      <c r="D54" s="240"/>
      <c r="E54" s="240"/>
      <c r="F54" s="240"/>
      <c r="G54" s="240"/>
      <c r="H54" s="240"/>
      <c r="I54" s="240"/>
      <c r="J54" s="240"/>
      <c r="K54" s="240"/>
      <c r="L54" s="220"/>
    </row>
    <row r="55" ht="14.25" customHeight="1">
      <c r="A55" s="241" t="s">
        <v>1037</v>
      </c>
      <c r="B55" s="242" t="s">
        <v>1038</v>
      </c>
      <c r="C55" s="240"/>
      <c r="D55" s="240"/>
      <c r="E55" s="240"/>
      <c r="F55" s="240"/>
      <c r="G55" s="240"/>
      <c r="H55" s="240"/>
      <c r="I55" s="240"/>
      <c r="J55" s="240"/>
      <c r="K55" s="240"/>
      <c r="L55" s="220"/>
    </row>
    <row r="56" ht="14.25" customHeight="1">
      <c r="A56" s="241" t="s">
        <v>1039</v>
      </c>
      <c r="B56" s="242" t="s">
        <v>1040</v>
      </c>
      <c r="C56" s="240"/>
      <c r="D56" s="240"/>
      <c r="E56" s="240"/>
      <c r="F56" s="240"/>
      <c r="G56" s="240"/>
      <c r="H56" s="240"/>
      <c r="I56" s="240"/>
      <c r="J56" s="240"/>
      <c r="K56" s="240"/>
      <c r="L56" s="220"/>
    </row>
    <row r="57" ht="14.25" customHeight="1">
      <c r="A57" s="241" t="s">
        <v>1041</v>
      </c>
      <c r="B57" s="242" t="s">
        <v>1042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20"/>
    </row>
    <row r="58" ht="14.25" customHeight="1">
      <c r="A58" s="241" t="s">
        <v>1043</v>
      </c>
      <c r="B58" s="242" t="s">
        <v>1044</v>
      </c>
      <c r="C58" s="240"/>
      <c r="D58" s="240"/>
      <c r="E58" s="240"/>
      <c r="F58" s="240"/>
      <c r="G58" s="240"/>
      <c r="H58" s="240"/>
      <c r="I58" s="240"/>
      <c r="J58" s="240"/>
      <c r="K58" s="240"/>
      <c r="L58" s="220"/>
    </row>
    <row r="59" ht="14.25" customHeight="1">
      <c r="A59" s="241" t="s">
        <v>1045</v>
      </c>
      <c r="B59" s="242" t="s">
        <v>1046</v>
      </c>
      <c r="C59" s="240"/>
      <c r="D59" s="240"/>
      <c r="E59" s="240"/>
      <c r="F59" s="240"/>
      <c r="G59" s="240"/>
      <c r="H59" s="240"/>
      <c r="I59" s="240"/>
      <c r="J59" s="240"/>
      <c r="K59" s="240"/>
      <c r="L59" s="220"/>
    </row>
    <row r="60" ht="14.25" customHeight="1">
      <c r="A60" s="241" t="s">
        <v>1047</v>
      </c>
      <c r="B60" s="242" t="s">
        <v>1048</v>
      </c>
      <c r="C60" s="240"/>
      <c r="D60" s="240"/>
      <c r="E60" s="240"/>
      <c r="F60" s="240"/>
      <c r="G60" s="240"/>
      <c r="H60" s="240"/>
      <c r="I60" s="240"/>
      <c r="J60" s="240"/>
      <c r="K60" s="240"/>
      <c r="L60" s="220"/>
    </row>
    <row r="61" ht="14.25" customHeight="1">
      <c r="A61" s="241" t="s">
        <v>1049</v>
      </c>
      <c r="B61" s="242" t="s">
        <v>1050</v>
      </c>
      <c r="C61" s="240"/>
      <c r="D61" s="240"/>
      <c r="E61" s="240"/>
      <c r="F61" s="240"/>
      <c r="G61" s="240"/>
      <c r="H61" s="240"/>
      <c r="I61" s="240"/>
      <c r="J61" s="240"/>
      <c r="K61" s="240"/>
      <c r="L61" s="220"/>
    </row>
    <row r="62" ht="14.25" customHeight="1">
      <c r="A62" s="241" t="s">
        <v>1051</v>
      </c>
      <c r="B62" s="242" t="s">
        <v>1052</v>
      </c>
      <c r="C62" s="240"/>
      <c r="D62" s="240"/>
      <c r="E62" s="240"/>
      <c r="F62" s="240"/>
      <c r="G62" s="240"/>
      <c r="H62" s="240"/>
      <c r="I62" s="240"/>
      <c r="J62" s="240"/>
      <c r="K62" s="240"/>
      <c r="L62" s="220"/>
    </row>
    <row r="63" ht="14.25" customHeight="1">
      <c r="A63" s="241" t="s">
        <v>1053</v>
      </c>
      <c r="B63" s="242" t="s">
        <v>1054</v>
      </c>
      <c r="C63" s="240"/>
      <c r="D63" s="240"/>
      <c r="E63" s="240"/>
      <c r="F63" s="240"/>
      <c r="G63" s="240"/>
      <c r="H63" s="240"/>
      <c r="I63" s="240"/>
      <c r="J63" s="240"/>
      <c r="K63" s="240"/>
      <c r="L63" s="220"/>
    </row>
    <row r="64" ht="14.25" customHeight="1">
      <c r="A64" s="241"/>
      <c r="B64" s="242" t="s">
        <v>1055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20"/>
    </row>
    <row r="65" ht="14.25" customHeight="1">
      <c r="A65" s="241" t="s">
        <v>1056</v>
      </c>
      <c r="B65" s="242" t="s">
        <v>1057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20"/>
    </row>
    <row r="66" ht="14.25" customHeight="1">
      <c r="A66" s="241" t="s">
        <v>1058</v>
      </c>
      <c r="B66" s="242" t="s">
        <v>1059</v>
      </c>
      <c r="C66" s="240"/>
      <c r="D66" s="240"/>
      <c r="E66" s="240"/>
      <c r="F66" s="240"/>
      <c r="G66" s="240"/>
      <c r="H66" s="240"/>
      <c r="I66" s="240"/>
      <c r="J66" s="240"/>
      <c r="K66" s="240"/>
      <c r="L66" s="220"/>
    </row>
    <row r="67" ht="14.25" customHeight="1">
      <c r="A67" s="241" t="s">
        <v>1060</v>
      </c>
      <c r="B67" s="242" t="s">
        <v>1061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20"/>
    </row>
    <row r="68" ht="14.25" customHeight="1">
      <c r="A68" s="241" t="s">
        <v>1062</v>
      </c>
      <c r="B68" s="242" t="s">
        <v>1063</v>
      </c>
      <c r="C68" s="240"/>
      <c r="D68" s="240"/>
      <c r="E68" s="240"/>
      <c r="F68" s="240"/>
      <c r="G68" s="240"/>
      <c r="H68" s="240"/>
      <c r="I68" s="240"/>
      <c r="J68" s="240"/>
      <c r="K68" s="240"/>
      <c r="L68" s="220"/>
    </row>
    <row r="69" ht="14.25" customHeight="1">
      <c r="A69" s="241"/>
      <c r="B69" s="242" t="s">
        <v>1064</v>
      </c>
      <c r="C69" s="240"/>
      <c r="D69" s="240"/>
      <c r="E69" s="240"/>
      <c r="F69" s="240"/>
      <c r="G69" s="240"/>
      <c r="H69" s="240"/>
      <c r="I69" s="240"/>
      <c r="J69" s="240"/>
      <c r="K69" s="240"/>
      <c r="L69" s="220"/>
    </row>
    <row r="70" ht="14.25" customHeight="1">
      <c r="A70" s="241" t="s">
        <v>1065</v>
      </c>
      <c r="B70" s="242" t="s">
        <v>1066</v>
      </c>
      <c r="C70" s="240"/>
      <c r="D70" s="240"/>
      <c r="E70" s="240"/>
      <c r="F70" s="240"/>
      <c r="G70" s="240"/>
      <c r="H70" s="240"/>
      <c r="I70" s="240"/>
      <c r="J70" s="240"/>
      <c r="K70" s="240"/>
      <c r="L70" s="220"/>
    </row>
    <row r="71" ht="14.25" customHeight="1">
      <c r="A71" s="241" t="s">
        <v>1067</v>
      </c>
      <c r="B71" s="242" t="s">
        <v>1068</v>
      </c>
      <c r="C71" s="240"/>
      <c r="D71" s="240"/>
      <c r="E71" s="240"/>
      <c r="F71" s="240"/>
      <c r="G71" s="240"/>
      <c r="H71" s="240"/>
      <c r="I71" s="240"/>
      <c r="J71" s="240"/>
      <c r="K71" s="240"/>
      <c r="L71" s="220"/>
    </row>
    <row r="72" ht="14.25" customHeight="1">
      <c r="A72" s="241" t="s">
        <v>1069</v>
      </c>
      <c r="B72" s="242" t="s">
        <v>1070</v>
      </c>
      <c r="C72" s="240"/>
      <c r="D72" s="240"/>
      <c r="E72" s="240"/>
      <c r="F72" s="240"/>
      <c r="G72" s="240"/>
      <c r="H72" s="240"/>
      <c r="I72" s="240"/>
      <c r="J72" s="240"/>
      <c r="K72" s="240"/>
      <c r="L72" s="220"/>
    </row>
    <row r="73" ht="14.25" customHeight="1">
      <c r="A73" s="241" t="s">
        <v>1071</v>
      </c>
      <c r="B73" s="242" t="s">
        <v>1072</v>
      </c>
      <c r="C73" s="240"/>
      <c r="D73" s="240"/>
      <c r="E73" s="240"/>
      <c r="F73" s="240"/>
      <c r="G73" s="240"/>
      <c r="H73" s="240"/>
      <c r="I73" s="240"/>
      <c r="J73" s="240"/>
      <c r="K73" s="240"/>
      <c r="L73" s="220"/>
    </row>
    <row r="74" ht="14.25" customHeight="1">
      <c r="A74" s="208"/>
      <c r="B74" s="208"/>
      <c r="C74" s="208"/>
      <c r="D74" s="208"/>
      <c r="E74" s="208"/>
      <c r="F74" s="208"/>
      <c r="G74" s="208"/>
      <c r="H74" s="208"/>
      <c r="I74" s="208"/>
      <c r="J74" s="208"/>
    </row>
    <row r="75" ht="14.25" customHeight="1">
      <c r="A75" s="208"/>
      <c r="B75" s="208"/>
      <c r="C75" s="208"/>
      <c r="D75" s="208"/>
      <c r="E75" s="208"/>
      <c r="F75" s="208"/>
      <c r="G75" s="208"/>
      <c r="H75" s="208"/>
      <c r="I75" s="208"/>
      <c r="J75" s="208"/>
    </row>
    <row r="76" ht="14.25" customHeight="1">
      <c r="A76" s="208"/>
      <c r="B76" s="208"/>
      <c r="C76" s="208"/>
      <c r="D76" s="208"/>
      <c r="E76" s="208"/>
      <c r="F76" s="208"/>
      <c r="G76" s="208"/>
      <c r="H76" s="208"/>
      <c r="I76" s="208"/>
      <c r="J76" s="208"/>
    </row>
    <row r="77" ht="14.25" customHeight="1">
      <c r="A77" s="208"/>
      <c r="B77" s="208"/>
      <c r="C77" s="208"/>
      <c r="D77" s="208"/>
      <c r="E77" s="208"/>
      <c r="F77" s="208"/>
      <c r="G77" s="208"/>
      <c r="H77" s="208"/>
      <c r="I77" s="208"/>
      <c r="J77" s="208"/>
    </row>
    <row r="78" ht="14.25" customHeight="1">
      <c r="A78" s="208"/>
      <c r="B78" s="208"/>
      <c r="C78" s="208"/>
      <c r="D78" s="208"/>
      <c r="E78" s="208"/>
      <c r="F78" s="208"/>
      <c r="G78" s="208"/>
      <c r="H78" s="208"/>
      <c r="I78" s="208"/>
      <c r="J78" s="208"/>
    </row>
    <row r="79" ht="14.25" customHeight="1">
      <c r="A79" s="208"/>
      <c r="B79" s="208"/>
      <c r="C79" s="208"/>
      <c r="D79" s="208"/>
      <c r="E79" s="208"/>
      <c r="F79" s="208"/>
      <c r="G79" s="208"/>
      <c r="H79" s="208"/>
      <c r="I79" s="208"/>
      <c r="J79" s="208"/>
    </row>
    <row r="80" ht="14.25" customHeight="1">
      <c r="A80" s="208"/>
      <c r="B80" s="208"/>
      <c r="C80" s="208"/>
      <c r="D80" s="208"/>
      <c r="E80" s="208"/>
      <c r="F80" s="208"/>
      <c r="G80" s="208"/>
      <c r="H80" s="208"/>
      <c r="I80" s="208"/>
      <c r="J80" s="208"/>
    </row>
    <row r="81" ht="14.25" customHeight="1">
      <c r="A81" s="208"/>
      <c r="B81" s="208"/>
      <c r="C81" s="208"/>
      <c r="D81" s="208"/>
      <c r="E81" s="208"/>
      <c r="F81" s="208"/>
      <c r="G81" s="208"/>
      <c r="H81" s="208"/>
      <c r="I81" s="208"/>
      <c r="J81" s="208"/>
    </row>
    <row r="82" ht="14.25" customHeight="1">
      <c r="A82" s="208"/>
      <c r="B82" s="208"/>
      <c r="C82" s="208"/>
      <c r="D82" s="208"/>
      <c r="E82" s="208"/>
      <c r="F82" s="208"/>
      <c r="G82" s="208"/>
      <c r="H82" s="208"/>
      <c r="I82" s="208"/>
      <c r="J82" s="208"/>
    </row>
    <row r="83" ht="14.25" customHeight="1">
      <c r="A83" s="208"/>
      <c r="B83" s="208"/>
      <c r="C83" s="208"/>
      <c r="D83" s="208"/>
      <c r="E83" s="208"/>
      <c r="F83" s="208"/>
      <c r="G83" s="208"/>
      <c r="H83" s="208"/>
      <c r="I83" s="208"/>
      <c r="J83" s="208"/>
    </row>
    <row r="84" ht="14.25" customHeight="1">
      <c r="A84" s="208"/>
      <c r="B84" s="208"/>
      <c r="C84" s="208"/>
      <c r="D84" s="208"/>
      <c r="E84" s="208"/>
      <c r="F84" s="208"/>
      <c r="G84" s="208"/>
      <c r="H84" s="208"/>
      <c r="I84" s="208"/>
      <c r="J84" s="208"/>
    </row>
    <row r="85" ht="14.25" customHeight="1">
      <c r="A85" s="208"/>
      <c r="B85" s="208"/>
      <c r="C85" s="208"/>
      <c r="D85" s="208"/>
      <c r="E85" s="208"/>
      <c r="F85" s="208"/>
      <c r="G85" s="208"/>
      <c r="H85" s="208"/>
      <c r="I85" s="208"/>
      <c r="J85" s="208"/>
    </row>
    <row r="86" ht="14.25" customHeight="1">
      <c r="A86" s="208"/>
      <c r="B86" s="208"/>
      <c r="C86" s="208"/>
      <c r="D86" s="208"/>
      <c r="E86" s="208"/>
      <c r="F86" s="208"/>
      <c r="G86" s="208"/>
      <c r="H86" s="208"/>
      <c r="I86" s="208"/>
      <c r="J86" s="208"/>
    </row>
    <row r="87" ht="14.25" customHeight="1">
      <c r="A87" s="208"/>
      <c r="B87" s="208"/>
      <c r="C87" s="208"/>
      <c r="D87" s="208"/>
      <c r="E87" s="208"/>
      <c r="F87" s="208"/>
      <c r="G87" s="208"/>
      <c r="H87" s="208"/>
      <c r="I87" s="208"/>
      <c r="J87" s="208"/>
    </row>
    <row r="88" ht="14.2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</row>
    <row r="89" ht="14.2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</row>
    <row r="90" ht="14.2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</row>
    <row r="91" ht="14.2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</row>
    <row r="92" ht="14.2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</row>
    <row r="93" ht="14.2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</row>
    <row r="94" ht="14.2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</row>
    <row r="95" ht="14.2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</row>
    <row r="96" ht="14.2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</row>
    <row r="97" ht="14.2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</row>
    <row r="98" ht="14.2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</row>
    <row r="99" ht="14.2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</row>
    <row r="100" ht="14.2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</row>
    <row r="101" ht="14.2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</row>
    <row r="102" ht="14.2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</row>
    <row r="103" ht="14.2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</row>
    <row r="104" ht="14.2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</row>
    <row r="105" ht="14.2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</row>
    <row r="106" ht="14.2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</row>
    <row r="107" ht="14.2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</row>
    <row r="108" ht="14.2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</row>
    <row r="109" ht="14.2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</row>
    <row r="110" ht="14.2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</row>
    <row r="111" ht="14.2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</row>
    <row r="112" ht="14.2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</row>
    <row r="113" ht="14.2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</row>
    <row r="114" ht="14.2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</row>
    <row r="115" ht="14.2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</row>
    <row r="116" ht="14.2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</row>
    <row r="117" ht="14.2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</row>
    <row r="118" ht="14.2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</row>
    <row r="119" ht="14.2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</row>
    <row r="120" ht="14.2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</row>
    <row r="121" ht="14.2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</row>
    <row r="122" ht="14.2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</row>
    <row r="123" ht="14.2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</row>
    <row r="124" ht="14.2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</row>
    <row r="125" ht="14.2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</row>
    <row r="126" ht="14.2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</row>
    <row r="127" ht="14.2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</row>
    <row r="128" ht="14.2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</row>
    <row r="129" ht="14.2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</row>
    <row r="130" ht="14.2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</row>
    <row r="131" ht="14.2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</row>
    <row r="132" ht="14.2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</row>
    <row r="133" ht="14.2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</row>
    <row r="134" ht="14.2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</row>
    <row r="135" ht="14.2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</row>
    <row r="136" ht="14.2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</row>
    <row r="137" ht="14.2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</row>
    <row r="138" ht="14.2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</row>
    <row r="139" ht="14.2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</row>
    <row r="140" ht="14.2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</row>
    <row r="141" ht="14.2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</row>
    <row r="142" ht="14.2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</row>
    <row r="143" ht="14.2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</row>
    <row r="144" ht="14.2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</row>
    <row r="145" ht="14.2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</row>
    <row r="146" ht="14.2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</row>
    <row r="147" ht="14.2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</row>
    <row r="148" ht="14.2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</row>
    <row r="149" ht="14.2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</row>
    <row r="150" ht="14.2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</row>
    <row r="151" ht="14.2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</row>
    <row r="152" ht="14.2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</row>
    <row r="153" ht="14.2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</row>
    <row r="154" ht="14.2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</row>
    <row r="155" ht="14.2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</row>
    <row r="156" ht="14.2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</row>
    <row r="157" ht="14.2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</row>
    <row r="158" ht="14.2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</row>
    <row r="159" ht="14.2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</row>
    <row r="160" ht="14.2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</row>
    <row r="161" ht="14.2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</row>
    <row r="162" ht="14.2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</row>
    <row r="163" ht="14.2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</row>
    <row r="164" ht="14.2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</row>
    <row r="165" ht="14.2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</row>
    <row r="166" ht="14.2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</row>
    <row r="167" ht="14.2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</row>
    <row r="168" ht="14.2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</row>
    <row r="169" ht="14.2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</row>
    <row r="170" ht="14.2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</row>
    <row r="171" ht="14.2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</row>
    <row r="172" ht="14.2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</row>
    <row r="173" ht="14.2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</row>
    <row r="174" ht="14.2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</row>
    <row r="175" ht="14.2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</row>
    <row r="176" ht="14.2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</row>
    <row r="177" ht="14.2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</row>
    <row r="178" ht="14.2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</row>
    <row r="179" ht="14.2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</row>
    <row r="180" ht="14.2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</row>
    <row r="181" ht="14.2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</row>
    <row r="182" ht="14.2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</row>
    <row r="183" ht="14.2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</row>
    <row r="184" ht="14.2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</row>
    <row r="185" ht="14.2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</row>
    <row r="186" ht="14.2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</row>
    <row r="187" ht="14.2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</row>
    <row r="188" ht="14.2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</row>
    <row r="189" ht="14.2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</row>
    <row r="190" ht="14.2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</row>
    <row r="191" ht="14.2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</row>
    <row r="192" ht="14.2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</row>
    <row r="193" ht="14.2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</row>
    <row r="194" ht="14.2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</row>
    <row r="195" ht="14.2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</row>
    <row r="196" ht="14.2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</row>
    <row r="197" ht="14.2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</row>
    <row r="198" ht="14.2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</row>
    <row r="199" ht="14.2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</row>
    <row r="200" ht="14.2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</row>
    <row r="201" ht="14.2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</row>
    <row r="202" ht="14.2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</row>
    <row r="203" ht="14.2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</row>
    <row r="204" ht="14.2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</row>
    <row r="205" ht="14.2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</row>
    <row r="206" ht="14.2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</row>
    <row r="207" ht="14.2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</row>
    <row r="208" ht="14.2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</row>
    <row r="209" ht="14.2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</row>
    <row r="210" ht="14.2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</row>
    <row r="211" ht="14.2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</row>
    <row r="212" ht="14.2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</row>
    <row r="213" ht="14.2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</row>
    <row r="214" ht="14.2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</row>
    <row r="215" ht="14.2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</row>
    <row r="216" ht="14.2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</row>
    <row r="217" ht="14.2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</row>
    <row r="218" ht="14.2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</row>
    <row r="219" ht="14.2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</row>
    <row r="220" ht="14.2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</row>
    <row r="221" ht="14.2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</row>
    <row r="222" ht="14.2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</row>
    <row r="223" ht="14.2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</row>
    <row r="224" ht="14.2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</row>
    <row r="225" ht="14.2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</row>
    <row r="226" ht="14.2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</row>
    <row r="227" ht="14.2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</row>
    <row r="228" ht="14.2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</row>
    <row r="229" ht="14.2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</row>
    <row r="230" ht="14.2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</row>
    <row r="231" ht="14.2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</row>
    <row r="232" ht="14.2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</row>
    <row r="233" ht="14.2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</row>
    <row r="234" ht="14.2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</row>
    <row r="235" ht="14.2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</row>
    <row r="236" ht="14.2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</row>
    <row r="237" ht="14.2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</row>
    <row r="238" ht="14.2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</row>
    <row r="239" ht="14.2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</row>
    <row r="240" ht="14.2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</row>
    <row r="241" ht="14.2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</row>
    <row r="242" ht="14.2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</row>
    <row r="243" ht="14.2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</row>
    <row r="244" ht="14.2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</row>
    <row r="245" ht="14.2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</row>
    <row r="246" ht="14.2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</row>
    <row r="247" ht="14.2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</row>
    <row r="248" ht="14.2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</row>
    <row r="249" ht="14.2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</row>
    <row r="250" ht="14.2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</row>
    <row r="251" ht="14.2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</row>
    <row r="252" ht="14.2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</row>
    <row r="253" ht="14.2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</row>
    <row r="254" ht="14.2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</row>
    <row r="255" ht="14.2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</row>
    <row r="256" ht="14.2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</row>
    <row r="257" ht="14.2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</row>
    <row r="258" ht="14.2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</row>
    <row r="259" ht="14.2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</row>
    <row r="260" ht="14.2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</row>
    <row r="261" ht="14.2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</row>
    <row r="262" ht="14.2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</row>
    <row r="263" ht="14.2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</row>
    <row r="264" ht="14.2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</row>
    <row r="265" ht="14.2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</row>
    <row r="266" ht="14.2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</row>
    <row r="267" ht="14.2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</row>
    <row r="268" ht="14.2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</row>
    <row r="269" ht="14.2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</row>
    <row r="270" ht="14.2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</row>
    <row r="271" ht="14.25" customHeight="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</row>
    <row r="272" ht="14.25" customHeight="1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</row>
    <row r="273" ht="14.25" customHeight="1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</row>
    <row r="274" ht="14.25" customHeight="1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</row>
    <row r="275" ht="14.25" customHeight="1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</row>
    <row r="276" ht="14.25" customHeight="1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</row>
    <row r="277" ht="14.25" customHeight="1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</row>
    <row r="278" ht="14.25" customHeight="1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</row>
    <row r="279" ht="14.25" customHeight="1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</row>
    <row r="280" ht="14.25" customHeight="1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</row>
    <row r="281" ht="14.25" customHeight="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</row>
    <row r="282" ht="14.25" customHeight="1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</row>
    <row r="283" ht="14.25" customHeight="1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</row>
    <row r="284" ht="14.25" customHeight="1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</row>
    <row r="285" ht="14.25" customHeight="1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</row>
    <row r="286" ht="14.25" customHeight="1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</row>
    <row r="287" ht="14.25" customHeight="1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</row>
    <row r="288" ht="14.25" customHeight="1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</row>
    <row r="289" ht="14.25" customHeight="1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</row>
    <row r="290" ht="14.25" customHeight="1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</row>
    <row r="291" ht="14.25" customHeight="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</row>
    <row r="292" ht="14.25" customHeight="1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</row>
    <row r="293" ht="14.25" customHeight="1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</row>
    <row r="294" ht="14.25" customHeight="1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</row>
    <row r="295" ht="14.25" customHeight="1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</row>
    <row r="296" ht="14.25" customHeight="1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</row>
    <row r="297" ht="14.25" customHeight="1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</row>
    <row r="298" ht="14.25" customHeight="1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</row>
    <row r="299" ht="14.25" customHeight="1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</row>
    <row r="300" ht="14.25" customHeight="1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</row>
    <row r="301" ht="14.25" customHeight="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</row>
    <row r="302" ht="14.25" customHeight="1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</row>
    <row r="303" ht="14.25" customHeight="1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</row>
    <row r="304" ht="14.25" customHeight="1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</row>
    <row r="305" ht="14.25" customHeight="1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</row>
    <row r="306" ht="14.25" customHeight="1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</row>
    <row r="307" ht="14.25" customHeight="1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</row>
    <row r="308" ht="14.25" customHeight="1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</row>
    <row r="309" ht="14.25" customHeight="1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</row>
    <row r="310" ht="14.25" customHeight="1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</row>
    <row r="311" ht="14.25" customHeight="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</row>
    <row r="312" ht="14.25" customHeight="1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</row>
    <row r="313" ht="14.25" customHeight="1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</row>
    <row r="314" ht="14.25" customHeight="1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</row>
    <row r="315" ht="14.25" customHeight="1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</row>
    <row r="316" ht="14.25" customHeight="1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</row>
    <row r="317" ht="14.25" customHeight="1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</row>
    <row r="318" ht="14.25" customHeight="1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</row>
    <row r="319" ht="14.25" customHeight="1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</row>
    <row r="320" ht="14.25" customHeight="1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</row>
    <row r="321" ht="14.25" customHeight="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</row>
    <row r="322" ht="14.25" customHeight="1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</row>
    <row r="323" ht="14.25" customHeight="1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</row>
    <row r="324" ht="14.25" customHeight="1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</row>
    <row r="325" ht="14.25" customHeight="1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</row>
    <row r="326" ht="14.25" customHeight="1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</row>
    <row r="327" ht="14.25" customHeight="1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</row>
    <row r="328" ht="14.25" customHeight="1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</row>
    <row r="329" ht="14.25" customHeight="1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</row>
    <row r="330" ht="14.25" customHeight="1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</row>
    <row r="331" ht="14.25" customHeight="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</row>
    <row r="332" ht="14.25" customHeight="1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</row>
    <row r="333" ht="14.25" customHeight="1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</row>
    <row r="334" ht="14.25" customHeight="1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</row>
    <row r="335" ht="14.25" customHeight="1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</row>
    <row r="336" ht="14.25" customHeight="1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</row>
    <row r="337" ht="14.25" customHeight="1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</row>
    <row r="338" ht="14.25" customHeight="1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</row>
    <row r="339" ht="14.25" customHeight="1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</row>
    <row r="340" ht="14.25" customHeight="1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</row>
    <row r="341" ht="14.25" customHeight="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</row>
    <row r="342" ht="14.25" customHeight="1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</row>
    <row r="343" ht="14.25" customHeight="1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</row>
    <row r="344" ht="14.25" customHeight="1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</row>
    <row r="345" ht="14.25" customHeight="1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</row>
    <row r="346" ht="14.25" customHeight="1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</row>
    <row r="347" ht="14.25" customHeight="1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</row>
    <row r="348" ht="14.25" customHeight="1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</row>
    <row r="349" ht="14.25" customHeight="1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</row>
    <row r="350" ht="14.25" customHeight="1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</row>
    <row r="351" ht="14.25" customHeight="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</row>
    <row r="352" ht="14.25" customHeight="1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</row>
    <row r="353" ht="14.25" customHeight="1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</row>
    <row r="354" ht="14.25" customHeight="1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</row>
    <row r="355" ht="14.25" customHeight="1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</row>
    <row r="356" ht="14.25" customHeight="1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</row>
    <row r="357" ht="14.25" customHeight="1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</row>
    <row r="358" ht="14.25" customHeight="1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</row>
    <row r="359" ht="14.25" customHeight="1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</row>
    <row r="360" ht="14.25" customHeight="1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</row>
    <row r="361" ht="14.25" customHeight="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</row>
    <row r="362" ht="14.25" customHeight="1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</row>
    <row r="363" ht="14.25" customHeight="1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</row>
    <row r="364" ht="14.25" customHeight="1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</row>
    <row r="365" ht="14.25" customHeight="1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</row>
    <row r="366" ht="14.25" customHeight="1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</row>
    <row r="367" ht="14.25" customHeight="1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</row>
    <row r="368" ht="14.25" customHeight="1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</row>
    <row r="369" ht="14.25" customHeight="1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</row>
    <row r="370" ht="14.25" customHeight="1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</row>
    <row r="371" ht="14.25" customHeight="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</row>
    <row r="372" ht="14.25" customHeight="1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</row>
    <row r="373" ht="14.25" customHeight="1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</row>
    <row r="374" ht="14.25" customHeight="1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</row>
    <row r="375" ht="14.25" customHeight="1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</row>
    <row r="376" ht="14.25" customHeight="1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</row>
    <row r="377" ht="14.25" customHeight="1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</row>
    <row r="378" ht="14.25" customHeight="1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</row>
    <row r="379" ht="14.25" customHeight="1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</row>
    <row r="380" ht="14.25" customHeight="1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</row>
    <row r="381" ht="14.25" customHeight="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</row>
    <row r="382" ht="14.25" customHeight="1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</row>
    <row r="383" ht="14.25" customHeight="1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</row>
    <row r="384" ht="14.25" customHeight="1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</row>
    <row r="385" ht="14.25" customHeight="1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</row>
    <row r="386" ht="14.25" customHeight="1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</row>
    <row r="387" ht="14.25" customHeight="1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</row>
    <row r="388" ht="14.25" customHeight="1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</row>
    <row r="389" ht="14.25" customHeight="1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</row>
    <row r="390" ht="14.25" customHeight="1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</row>
    <row r="391" ht="14.25" customHeight="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</row>
    <row r="392" ht="14.25" customHeight="1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</row>
    <row r="393" ht="14.25" customHeight="1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</row>
    <row r="394" ht="14.25" customHeight="1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</row>
    <row r="395" ht="14.25" customHeight="1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</row>
    <row r="396" ht="14.25" customHeight="1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</row>
    <row r="397" ht="14.25" customHeight="1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</row>
    <row r="398" ht="14.25" customHeight="1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</row>
    <row r="399" ht="14.25" customHeight="1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</row>
    <row r="400" ht="14.25" customHeight="1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</row>
    <row r="401" ht="14.25" customHeight="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</row>
    <row r="402" ht="14.25" customHeight="1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</row>
    <row r="403" ht="14.25" customHeight="1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</row>
    <row r="404" ht="14.25" customHeight="1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</row>
    <row r="405" ht="14.25" customHeight="1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</row>
    <row r="406" ht="14.25" customHeight="1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</row>
    <row r="407" ht="14.25" customHeight="1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</row>
    <row r="408" ht="14.25" customHeight="1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</row>
    <row r="409" ht="14.25" customHeight="1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</row>
    <row r="410" ht="14.25" customHeight="1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</row>
    <row r="411" ht="14.25" customHeight="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</row>
    <row r="412" ht="14.25" customHeight="1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</row>
    <row r="413" ht="14.25" customHeight="1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</row>
    <row r="414" ht="14.25" customHeight="1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</row>
    <row r="415" ht="14.25" customHeight="1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</row>
    <row r="416" ht="14.25" customHeight="1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</row>
    <row r="417" ht="14.25" customHeight="1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</row>
    <row r="418" ht="14.25" customHeight="1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</row>
    <row r="419" ht="14.25" customHeight="1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</row>
    <row r="420" ht="14.25" customHeight="1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</row>
    <row r="421" ht="14.25" customHeight="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</row>
    <row r="422" ht="14.25" customHeight="1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</row>
    <row r="423" ht="14.25" customHeight="1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</row>
    <row r="424" ht="14.25" customHeight="1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</row>
    <row r="425" ht="14.25" customHeight="1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</row>
    <row r="426" ht="14.25" customHeight="1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</row>
    <row r="427" ht="14.25" customHeight="1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</row>
    <row r="428" ht="14.25" customHeight="1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</row>
    <row r="429" ht="14.25" customHeight="1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</row>
    <row r="430" ht="14.25" customHeight="1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</row>
    <row r="431" ht="14.25" customHeight="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</row>
    <row r="432" ht="14.25" customHeight="1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</row>
    <row r="433" ht="14.25" customHeight="1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</row>
    <row r="434" ht="14.25" customHeight="1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</row>
    <row r="435" ht="14.25" customHeight="1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</row>
    <row r="436" ht="14.25" customHeight="1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</row>
    <row r="437" ht="14.25" customHeight="1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</row>
    <row r="438" ht="14.25" customHeight="1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</row>
    <row r="439" ht="14.25" customHeight="1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</row>
    <row r="440" ht="14.25" customHeight="1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</row>
    <row r="441" ht="14.25" customHeight="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</row>
    <row r="442" ht="14.25" customHeight="1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</row>
    <row r="443" ht="14.25" customHeight="1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</row>
    <row r="444" ht="14.25" customHeight="1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</row>
    <row r="445" ht="14.25" customHeight="1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</row>
    <row r="446" ht="14.25" customHeight="1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</row>
    <row r="447" ht="14.25" customHeight="1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</row>
    <row r="448" ht="14.25" customHeight="1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</row>
    <row r="449" ht="14.25" customHeight="1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</row>
    <row r="450" ht="14.25" customHeight="1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</row>
    <row r="451" ht="14.25" customHeight="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</row>
    <row r="452" ht="14.25" customHeight="1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</row>
    <row r="453" ht="14.25" customHeight="1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</row>
    <row r="454" ht="14.25" customHeight="1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</row>
    <row r="455" ht="14.25" customHeight="1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</row>
    <row r="456" ht="14.25" customHeight="1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</row>
    <row r="457" ht="14.25" customHeight="1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</row>
    <row r="458" ht="14.25" customHeight="1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</row>
    <row r="459" ht="14.25" customHeight="1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</row>
    <row r="460" ht="14.25" customHeight="1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</row>
    <row r="461" ht="14.25" customHeight="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</row>
    <row r="462" ht="14.25" customHeight="1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</row>
    <row r="463" ht="14.25" customHeight="1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</row>
    <row r="464" ht="14.25" customHeight="1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</row>
    <row r="465" ht="14.25" customHeight="1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</row>
    <row r="466" ht="14.25" customHeight="1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</row>
    <row r="467" ht="14.25" customHeight="1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</row>
    <row r="468" ht="14.25" customHeight="1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</row>
    <row r="469" ht="14.25" customHeight="1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</row>
    <row r="470" ht="14.25" customHeight="1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</row>
    <row r="471" ht="14.25" customHeight="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</row>
    <row r="472" ht="14.25" customHeight="1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</row>
    <row r="473" ht="14.25" customHeight="1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</row>
    <row r="474" ht="14.25" customHeight="1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</row>
    <row r="475" ht="14.25" customHeight="1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</row>
    <row r="476" ht="14.25" customHeight="1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</row>
    <row r="477" ht="14.25" customHeight="1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</row>
    <row r="478" ht="14.25" customHeight="1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</row>
    <row r="479" ht="14.25" customHeight="1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</row>
    <row r="480" ht="14.25" customHeight="1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</row>
    <row r="481" ht="14.25" customHeight="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</row>
    <row r="482" ht="14.25" customHeight="1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</row>
    <row r="483" ht="14.25" customHeight="1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</row>
    <row r="484" ht="14.25" customHeight="1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</row>
    <row r="485" ht="14.25" customHeight="1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</row>
    <row r="486" ht="14.25" customHeight="1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</row>
    <row r="487" ht="14.25" customHeight="1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</row>
    <row r="488" ht="14.25" customHeight="1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</row>
    <row r="489" ht="14.25" customHeight="1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</row>
    <row r="490" ht="14.25" customHeight="1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</row>
    <row r="491" ht="14.25" customHeight="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</row>
    <row r="492" ht="14.25" customHeight="1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</row>
    <row r="493" ht="14.25" customHeight="1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</row>
    <row r="494" ht="14.25" customHeight="1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</row>
    <row r="495" ht="14.25" customHeight="1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</row>
    <row r="496" ht="14.25" customHeight="1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</row>
    <row r="497" ht="14.25" customHeight="1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</row>
    <row r="498" ht="14.25" customHeight="1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</row>
    <row r="499" ht="14.25" customHeight="1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</row>
    <row r="500" ht="14.25" customHeight="1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</row>
    <row r="501" ht="14.25" customHeight="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</row>
    <row r="502" ht="14.25" customHeight="1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</row>
    <row r="503" ht="14.25" customHeight="1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</row>
    <row r="504" ht="14.25" customHeight="1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</row>
    <row r="505" ht="14.25" customHeight="1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</row>
    <row r="506" ht="14.25" customHeight="1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</row>
    <row r="507" ht="14.25" customHeight="1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</row>
    <row r="508" ht="14.25" customHeight="1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</row>
    <row r="509" ht="14.25" customHeight="1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</row>
    <row r="510" ht="14.25" customHeight="1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</row>
    <row r="511" ht="14.25" customHeight="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</row>
    <row r="512" ht="14.25" customHeight="1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</row>
    <row r="513" ht="14.25" customHeight="1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</row>
    <row r="514" ht="14.25" customHeight="1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</row>
    <row r="515" ht="14.25" customHeight="1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</row>
    <row r="516" ht="14.25" customHeight="1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</row>
    <row r="517" ht="14.25" customHeight="1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</row>
    <row r="518" ht="14.25" customHeight="1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</row>
    <row r="519" ht="14.25" customHeight="1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</row>
    <row r="520" ht="14.25" customHeight="1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</row>
    <row r="521" ht="14.25" customHeight="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</row>
    <row r="522" ht="14.25" customHeight="1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</row>
    <row r="523" ht="14.25" customHeight="1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</row>
    <row r="524" ht="14.25" customHeight="1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</row>
    <row r="525" ht="14.25" customHeight="1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</row>
    <row r="526" ht="14.25" customHeight="1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</row>
    <row r="527" ht="14.25" customHeight="1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</row>
    <row r="528" ht="14.25" customHeight="1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</row>
    <row r="529" ht="14.25" customHeight="1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</row>
    <row r="530" ht="14.25" customHeight="1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</row>
    <row r="531" ht="14.25" customHeight="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</row>
    <row r="532" ht="14.25" customHeight="1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</row>
    <row r="533" ht="14.25" customHeight="1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</row>
    <row r="534" ht="14.25" customHeight="1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</row>
    <row r="535" ht="14.25" customHeight="1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</row>
    <row r="536" ht="14.25" customHeight="1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</row>
    <row r="537" ht="14.25" customHeight="1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</row>
    <row r="538" ht="14.25" customHeight="1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</row>
    <row r="539" ht="14.25" customHeight="1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</row>
    <row r="540" ht="14.25" customHeight="1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</row>
    <row r="541" ht="14.25" customHeight="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</row>
    <row r="542" ht="14.25" customHeight="1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</row>
    <row r="543" ht="14.25" customHeight="1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</row>
    <row r="544" ht="14.25" customHeight="1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</row>
    <row r="545" ht="14.25" customHeight="1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</row>
    <row r="546" ht="14.25" customHeight="1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</row>
    <row r="547" ht="14.25" customHeight="1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</row>
    <row r="548" ht="14.25" customHeight="1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</row>
    <row r="549" ht="14.25" customHeight="1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</row>
    <row r="550" ht="14.25" customHeight="1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</row>
    <row r="551" ht="14.25" customHeight="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</row>
    <row r="552" ht="14.25" customHeight="1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</row>
    <row r="553" ht="14.25" customHeight="1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</row>
    <row r="554" ht="14.25" customHeight="1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</row>
    <row r="555" ht="14.25" customHeight="1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</row>
    <row r="556" ht="14.25" customHeight="1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</row>
    <row r="557" ht="14.25" customHeight="1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</row>
    <row r="558" ht="14.25" customHeight="1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</row>
    <row r="559" ht="14.25" customHeight="1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</row>
    <row r="560" ht="14.25" customHeight="1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</row>
    <row r="561" ht="14.25" customHeight="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</row>
    <row r="562" ht="14.25" customHeight="1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</row>
    <row r="563" ht="14.25" customHeight="1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</row>
    <row r="564" ht="14.25" customHeight="1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</row>
    <row r="565" ht="14.25" customHeight="1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</row>
    <row r="566" ht="14.25" customHeight="1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</row>
    <row r="567" ht="14.25" customHeight="1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</row>
    <row r="568" ht="14.25" customHeight="1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</row>
    <row r="569" ht="14.25" customHeight="1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</row>
    <row r="570" ht="14.25" customHeight="1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</row>
    <row r="571" ht="14.25" customHeight="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</row>
    <row r="572" ht="14.25" customHeight="1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</row>
    <row r="573" ht="14.25" customHeight="1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</row>
    <row r="574" ht="14.25" customHeight="1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</row>
    <row r="575" ht="14.25" customHeight="1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</row>
    <row r="576" ht="14.25" customHeight="1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</row>
    <row r="577" ht="14.25" customHeight="1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</row>
    <row r="578" ht="14.25" customHeight="1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</row>
    <row r="579" ht="14.25" customHeight="1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</row>
    <row r="580" ht="14.25" customHeight="1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</row>
    <row r="581" ht="14.25" customHeight="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</row>
    <row r="582" ht="14.25" customHeight="1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</row>
    <row r="583" ht="14.25" customHeight="1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</row>
    <row r="584" ht="14.25" customHeight="1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</row>
    <row r="585" ht="14.25" customHeight="1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</row>
    <row r="586" ht="14.25" customHeight="1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</row>
    <row r="587" ht="14.25" customHeight="1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</row>
    <row r="588" ht="14.25" customHeight="1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</row>
    <row r="589" ht="14.25" customHeight="1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</row>
    <row r="590" ht="14.25" customHeight="1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</row>
    <row r="591" ht="14.25" customHeight="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</row>
    <row r="592" ht="14.25" customHeight="1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</row>
    <row r="593" ht="14.25" customHeight="1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</row>
    <row r="594" ht="14.25" customHeight="1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</row>
    <row r="595" ht="14.25" customHeight="1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</row>
    <row r="596" ht="14.25" customHeight="1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</row>
    <row r="597" ht="14.25" customHeight="1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</row>
    <row r="598" ht="14.25" customHeight="1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</row>
    <row r="599" ht="14.25" customHeight="1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</row>
    <row r="600" ht="14.25" customHeight="1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</row>
    <row r="601" ht="14.25" customHeight="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</row>
    <row r="602" ht="14.25" customHeight="1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</row>
    <row r="603" ht="14.25" customHeight="1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</row>
    <row r="604" ht="14.25" customHeight="1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</row>
    <row r="605" ht="14.25" customHeight="1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</row>
    <row r="606" ht="14.25" customHeight="1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</row>
    <row r="607" ht="14.25" customHeight="1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</row>
    <row r="608" ht="14.25" customHeight="1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</row>
    <row r="609" ht="14.25" customHeight="1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</row>
    <row r="610" ht="14.25" customHeight="1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</row>
    <row r="611" ht="14.25" customHeight="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</row>
    <row r="612" ht="14.25" customHeight="1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</row>
    <row r="613" ht="14.25" customHeight="1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</row>
    <row r="614" ht="14.25" customHeight="1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</row>
    <row r="615" ht="14.25" customHeight="1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</row>
    <row r="616" ht="14.25" customHeight="1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</row>
    <row r="617" ht="14.25" customHeight="1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</row>
    <row r="618" ht="14.25" customHeight="1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</row>
    <row r="619" ht="14.25" customHeight="1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</row>
    <row r="620" ht="14.25" customHeight="1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</row>
    <row r="621" ht="14.25" customHeight="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</row>
    <row r="622" ht="14.25" customHeight="1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</row>
    <row r="623" ht="14.25" customHeight="1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</row>
    <row r="624" ht="14.25" customHeight="1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</row>
    <row r="625" ht="14.25" customHeight="1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</row>
    <row r="626" ht="14.25" customHeight="1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</row>
    <row r="627" ht="14.25" customHeight="1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</row>
    <row r="628" ht="14.25" customHeight="1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</row>
    <row r="629" ht="14.25" customHeight="1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</row>
    <row r="630" ht="14.25" customHeight="1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</row>
    <row r="631" ht="14.25" customHeight="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</row>
    <row r="632" ht="14.25" customHeight="1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</row>
    <row r="633" ht="14.25" customHeight="1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</row>
    <row r="634" ht="14.25" customHeight="1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</row>
    <row r="635" ht="14.25" customHeight="1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</row>
    <row r="636" ht="14.25" customHeight="1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</row>
    <row r="637" ht="14.25" customHeight="1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</row>
    <row r="638" ht="14.25" customHeight="1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</row>
    <row r="639" ht="14.25" customHeight="1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</row>
    <row r="640" ht="14.25" customHeight="1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</row>
    <row r="641" ht="14.25" customHeight="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</row>
    <row r="642" ht="14.25" customHeight="1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</row>
    <row r="643" ht="14.25" customHeight="1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</row>
    <row r="644" ht="14.25" customHeight="1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</row>
    <row r="645" ht="14.25" customHeight="1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</row>
    <row r="646" ht="14.25" customHeight="1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</row>
    <row r="647" ht="14.25" customHeight="1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</row>
    <row r="648" ht="14.25" customHeight="1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</row>
    <row r="649" ht="14.25" customHeight="1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</row>
    <row r="650" ht="14.25" customHeight="1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</row>
    <row r="651" ht="14.25" customHeight="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</row>
    <row r="652" ht="14.25" customHeight="1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</row>
    <row r="653" ht="14.25" customHeight="1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</row>
    <row r="654" ht="14.25" customHeight="1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</row>
    <row r="655" ht="14.25" customHeight="1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</row>
    <row r="656" ht="14.25" customHeight="1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</row>
    <row r="657" ht="14.25" customHeight="1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</row>
    <row r="658" ht="14.25" customHeight="1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</row>
    <row r="659" ht="14.25" customHeight="1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</row>
    <row r="660" ht="14.25" customHeight="1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</row>
    <row r="661" ht="14.25" customHeight="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</row>
    <row r="662" ht="14.25" customHeight="1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</row>
    <row r="663" ht="14.25" customHeight="1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</row>
    <row r="664" ht="14.25" customHeight="1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</row>
    <row r="665" ht="14.25" customHeight="1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</row>
    <row r="666" ht="14.25" customHeight="1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</row>
    <row r="667" ht="14.25" customHeight="1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</row>
    <row r="668" ht="14.25" customHeight="1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</row>
    <row r="669" ht="14.25" customHeight="1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</row>
    <row r="670" ht="14.25" customHeight="1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</row>
    <row r="671" ht="14.25" customHeight="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</row>
    <row r="672" ht="14.25" customHeight="1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</row>
    <row r="673" ht="14.25" customHeight="1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</row>
    <row r="674" ht="14.25" customHeight="1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</row>
    <row r="675" ht="14.25" customHeight="1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</row>
    <row r="676" ht="14.25" customHeight="1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</row>
    <row r="677" ht="14.25" customHeight="1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</row>
    <row r="678" ht="14.25" customHeight="1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</row>
    <row r="679" ht="14.25" customHeight="1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</row>
    <row r="680" ht="14.25" customHeight="1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</row>
    <row r="681" ht="14.25" customHeight="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</row>
    <row r="682" ht="14.25" customHeight="1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</row>
    <row r="683" ht="14.25" customHeight="1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</row>
    <row r="684" ht="14.25" customHeight="1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</row>
    <row r="685" ht="14.25" customHeight="1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</row>
    <row r="686" ht="14.25" customHeight="1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</row>
    <row r="687" ht="14.25" customHeight="1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</row>
    <row r="688" ht="14.25" customHeight="1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</row>
    <row r="689" ht="14.25" customHeight="1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</row>
    <row r="690" ht="14.25" customHeight="1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</row>
    <row r="691" ht="14.25" customHeight="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</row>
    <row r="692" ht="14.25" customHeight="1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</row>
    <row r="693" ht="14.25" customHeight="1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</row>
    <row r="694" ht="14.25" customHeight="1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</row>
    <row r="695" ht="14.25" customHeight="1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</row>
    <row r="696" ht="14.25" customHeight="1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</row>
    <row r="697" ht="14.25" customHeight="1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</row>
    <row r="698" ht="14.25" customHeight="1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</row>
    <row r="699" ht="14.25" customHeight="1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</row>
    <row r="700" ht="14.25" customHeight="1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</row>
    <row r="701" ht="14.25" customHeight="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</row>
    <row r="702" ht="14.25" customHeight="1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</row>
    <row r="703" ht="14.25" customHeight="1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</row>
    <row r="704" ht="14.25" customHeight="1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</row>
    <row r="705" ht="14.25" customHeight="1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</row>
    <row r="706" ht="14.25" customHeight="1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</row>
    <row r="707" ht="14.25" customHeight="1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</row>
    <row r="708" ht="14.25" customHeight="1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</row>
    <row r="709" ht="14.25" customHeight="1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</row>
    <row r="710" ht="14.25" customHeight="1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</row>
    <row r="711" ht="14.25" customHeight="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</row>
    <row r="712" ht="14.25" customHeight="1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</row>
    <row r="713" ht="14.25" customHeight="1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</row>
    <row r="714" ht="14.25" customHeight="1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</row>
    <row r="715" ht="14.25" customHeight="1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</row>
    <row r="716" ht="14.25" customHeight="1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</row>
    <row r="717" ht="14.25" customHeight="1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</row>
    <row r="718" ht="14.25" customHeight="1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</row>
    <row r="719" ht="14.25" customHeight="1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</row>
    <row r="720" ht="14.25" customHeight="1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</row>
    <row r="721" ht="14.25" customHeight="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</row>
    <row r="722" ht="14.25" customHeight="1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</row>
    <row r="723" ht="14.25" customHeight="1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</row>
    <row r="724" ht="14.25" customHeight="1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</row>
    <row r="725" ht="14.25" customHeight="1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</row>
    <row r="726" ht="14.25" customHeight="1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</row>
    <row r="727" ht="14.25" customHeight="1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</row>
    <row r="728" ht="14.25" customHeight="1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</row>
    <row r="729" ht="14.25" customHeight="1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</row>
    <row r="730" ht="14.25" customHeight="1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</row>
    <row r="731" ht="14.25" customHeight="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</row>
    <row r="732" ht="14.25" customHeight="1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</row>
    <row r="733" ht="14.25" customHeight="1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</row>
    <row r="734" ht="14.25" customHeight="1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</row>
    <row r="735" ht="14.25" customHeight="1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</row>
    <row r="736" ht="14.25" customHeight="1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</row>
    <row r="737" ht="14.25" customHeight="1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</row>
    <row r="738" ht="14.25" customHeight="1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</row>
    <row r="739" ht="14.25" customHeight="1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</row>
    <row r="740" ht="14.25" customHeight="1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</row>
    <row r="741" ht="14.25" customHeight="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</row>
    <row r="742" ht="14.25" customHeight="1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</row>
    <row r="743" ht="14.25" customHeight="1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</row>
    <row r="744" ht="14.25" customHeight="1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</row>
    <row r="745" ht="14.25" customHeight="1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</row>
    <row r="746" ht="14.25" customHeight="1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</row>
    <row r="747" ht="14.25" customHeight="1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</row>
    <row r="748" ht="14.25" customHeight="1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</row>
    <row r="749" ht="14.25" customHeight="1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</row>
    <row r="750" ht="14.25" customHeight="1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</row>
    <row r="751" ht="14.25" customHeight="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</row>
    <row r="752" ht="14.25" customHeight="1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</row>
    <row r="753" ht="14.25" customHeight="1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</row>
    <row r="754" ht="14.25" customHeight="1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</row>
    <row r="755" ht="14.25" customHeight="1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</row>
    <row r="756" ht="14.25" customHeight="1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</row>
    <row r="757" ht="14.25" customHeight="1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</row>
    <row r="758" ht="14.25" customHeight="1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</row>
    <row r="759" ht="14.25" customHeight="1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</row>
    <row r="760" ht="14.25" customHeight="1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</row>
    <row r="761" ht="14.25" customHeight="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</row>
    <row r="762" ht="14.25" customHeight="1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</row>
    <row r="763" ht="14.25" customHeight="1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</row>
    <row r="764" ht="14.25" customHeight="1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</row>
    <row r="765" ht="14.25" customHeight="1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</row>
    <row r="766" ht="14.25" customHeight="1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</row>
    <row r="767" ht="14.25" customHeight="1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</row>
    <row r="768" ht="14.25" customHeight="1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</row>
    <row r="769" ht="14.25" customHeight="1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</row>
    <row r="770" ht="14.25" customHeight="1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</row>
    <row r="771" ht="14.25" customHeight="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</row>
    <row r="772" ht="14.25" customHeight="1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</row>
    <row r="773" ht="14.25" customHeight="1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</row>
    <row r="774" ht="14.25" customHeight="1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</row>
    <row r="775" ht="14.25" customHeight="1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</row>
    <row r="776" ht="14.25" customHeight="1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</row>
    <row r="777" ht="14.25" customHeight="1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</row>
    <row r="778" ht="14.25" customHeight="1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</row>
    <row r="779" ht="14.25" customHeight="1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</row>
    <row r="780" ht="14.25" customHeight="1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</row>
    <row r="781" ht="14.25" customHeight="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</row>
    <row r="782" ht="14.25" customHeight="1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</row>
    <row r="783" ht="14.25" customHeight="1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</row>
    <row r="784" ht="14.25" customHeight="1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</row>
    <row r="785" ht="14.25" customHeight="1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</row>
    <row r="786" ht="14.25" customHeight="1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</row>
    <row r="787" ht="14.25" customHeight="1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</row>
    <row r="788" ht="14.25" customHeight="1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</row>
    <row r="789" ht="14.25" customHeight="1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</row>
    <row r="790" ht="14.25" customHeight="1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</row>
    <row r="791" ht="14.25" customHeight="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</row>
    <row r="792" ht="14.25" customHeight="1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</row>
    <row r="793" ht="14.25" customHeight="1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</row>
    <row r="794" ht="14.25" customHeight="1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</row>
    <row r="795" ht="14.25" customHeight="1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</row>
    <row r="796" ht="14.25" customHeight="1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</row>
    <row r="797" ht="14.25" customHeight="1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</row>
    <row r="798" ht="14.25" customHeight="1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</row>
    <row r="799" ht="14.25" customHeight="1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</row>
    <row r="800" ht="14.25" customHeight="1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</row>
    <row r="801" ht="14.25" customHeight="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</row>
    <row r="802" ht="14.25" customHeight="1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</row>
    <row r="803" ht="14.25" customHeight="1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</row>
    <row r="804" ht="14.25" customHeight="1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</row>
    <row r="805" ht="14.25" customHeight="1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</row>
    <row r="806" ht="14.25" customHeight="1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</row>
    <row r="807" ht="14.25" customHeight="1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</row>
    <row r="808" ht="14.25" customHeight="1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</row>
    <row r="809" ht="14.25" customHeight="1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</row>
    <row r="810" ht="14.25" customHeight="1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</row>
    <row r="811" ht="14.25" customHeight="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</row>
    <row r="812" ht="14.25" customHeight="1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</row>
    <row r="813" ht="14.25" customHeight="1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</row>
    <row r="814" ht="14.25" customHeight="1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</row>
    <row r="815" ht="14.25" customHeight="1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</row>
    <row r="816" ht="14.25" customHeight="1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</row>
    <row r="817" ht="14.25" customHeight="1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</row>
    <row r="818" ht="14.25" customHeight="1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</row>
    <row r="819" ht="14.25" customHeight="1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</row>
    <row r="820" ht="14.25" customHeight="1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</row>
    <row r="821" ht="14.25" customHeight="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</row>
    <row r="822" ht="14.25" customHeight="1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</row>
    <row r="823" ht="14.25" customHeight="1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</row>
    <row r="824" ht="14.25" customHeight="1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</row>
    <row r="825" ht="14.25" customHeight="1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</row>
    <row r="826" ht="14.25" customHeight="1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</row>
    <row r="827" ht="14.25" customHeight="1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</row>
    <row r="828" ht="14.25" customHeight="1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</row>
    <row r="829" ht="14.25" customHeight="1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</row>
    <row r="830" ht="14.25" customHeight="1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</row>
    <row r="831" ht="14.25" customHeight="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</row>
    <row r="832" ht="14.25" customHeight="1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</row>
    <row r="833" ht="14.25" customHeight="1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</row>
    <row r="834" ht="14.25" customHeight="1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</row>
    <row r="835" ht="14.25" customHeight="1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</row>
    <row r="836" ht="14.25" customHeight="1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</row>
    <row r="837" ht="14.25" customHeight="1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</row>
    <row r="838" ht="14.25" customHeight="1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</row>
    <row r="839" ht="14.25" customHeight="1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</row>
    <row r="840" ht="14.25" customHeight="1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</row>
    <row r="841" ht="14.25" customHeight="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</row>
    <row r="842" ht="14.25" customHeight="1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</row>
    <row r="843" ht="14.25" customHeight="1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</row>
    <row r="844" ht="14.25" customHeight="1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</row>
    <row r="845" ht="14.25" customHeight="1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</row>
    <row r="846" ht="14.25" customHeight="1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</row>
    <row r="847" ht="14.25" customHeight="1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</row>
    <row r="848" ht="14.25" customHeight="1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</row>
    <row r="849" ht="14.25" customHeight="1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</row>
    <row r="850" ht="14.25" customHeight="1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</row>
    <row r="851" ht="14.25" customHeight="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</row>
    <row r="852" ht="14.25" customHeight="1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</row>
    <row r="853" ht="14.25" customHeight="1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</row>
    <row r="854" ht="14.25" customHeight="1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</row>
    <row r="855" ht="14.25" customHeight="1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</row>
    <row r="856" ht="14.25" customHeight="1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</row>
    <row r="857" ht="14.25" customHeight="1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</row>
    <row r="858" ht="14.25" customHeight="1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</row>
    <row r="859" ht="14.25" customHeight="1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</row>
    <row r="860" ht="14.25" customHeight="1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</row>
    <row r="861" ht="14.25" customHeight="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</row>
    <row r="862" ht="14.25" customHeight="1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</row>
    <row r="863" ht="14.25" customHeight="1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</row>
    <row r="864" ht="14.25" customHeight="1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</row>
    <row r="865" ht="14.25" customHeight="1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</row>
    <row r="866" ht="14.25" customHeight="1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</row>
    <row r="867" ht="14.25" customHeight="1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</row>
    <row r="868" ht="14.25" customHeight="1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</row>
    <row r="869" ht="14.25" customHeight="1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</row>
    <row r="870" ht="14.25" customHeight="1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</row>
    <row r="871" ht="14.25" customHeight="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</row>
    <row r="872" ht="14.25" customHeight="1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</row>
    <row r="873" ht="14.25" customHeight="1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</row>
    <row r="874" ht="14.25" customHeight="1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</row>
    <row r="875" ht="14.25" customHeight="1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</row>
    <row r="876" ht="14.25" customHeight="1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</row>
    <row r="877" ht="14.25" customHeight="1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</row>
    <row r="878" ht="14.25" customHeight="1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</row>
    <row r="879" ht="14.25" customHeight="1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</row>
    <row r="880" ht="14.25" customHeight="1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</row>
    <row r="881" ht="14.25" customHeight="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</row>
    <row r="882" ht="14.25" customHeight="1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</row>
    <row r="883" ht="14.25" customHeight="1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</row>
    <row r="884" ht="14.25" customHeight="1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</row>
    <row r="885" ht="14.25" customHeight="1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</row>
    <row r="886" ht="14.25" customHeight="1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</row>
    <row r="887" ht="14.25" customHeight="1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</row>
    <row r="888" ht="14.25" customHeight="1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</row>
    <row r="889" ht="14.25" customHeight="1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</row>
    <row r="890" ht="14.25" customHeight="1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</row>
    <row r="891" ht="14.25" customHeight="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</row>
    <row r="892" ht="14.25" customHeight="1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</row>
    <row r="893" ht="14.25" customHeight="1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</row>
    <row r="894" ht="14.25" customHeight="1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</row>
    <row r="895" ht="14.25" customHeight="1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</row>
    <row r="896" ht="14.25" customHeight="1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</row>
    <row r="897" ht="14.25" customHeight="1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</row>
    <row r="898" ht="14.25" customHeight="1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</row>
    <row r="899" ht="14.25" customHeight="1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</row>
    <row r="900" ht="14.25" customHeight="1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</row>
    <row r="901" ht="14.25" customHeight="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</row>
    <row r="902" ht="14.25" customHeight="1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</row>
    <row r="903" ht="14.25" customHeight="1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</row>
    <row r="904" ht="14.25" customHeight="1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</row>
    <row r="905" ht="14.25" customHeight="1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</row>
    <row r="906" ht="14.25" customHeight="1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</row>
    <row r="907" ht="14.25" customHeight="1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</row>
    <row r="908" ht="14.25" customHeight="1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</row>
    <row r="909" ht="14.25" customHeight="1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</row>
    <row r="910" ht="14.25" customHeight="1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</row>
    <row r="911" ht="14.25" customHeight="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</row>
    <row r="912" ht="14.25" customHeight="1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</row>
    <row r="913" ht="14.25" customHeight="1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</row>
    <row r="914" ht="14.25" customHeight="1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</row>
    <row r="915" ht="14.25" customHeight="1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</row>
    <row r="916" ht="14.25" customHeight="1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</row>
    <row r="917" ht="14.25" customHeight="1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</row>
    <row r="918" ht="14.25" customHeight="1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</row>
    <row r="919" ht="14.25" customHeight="1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</row>
    <row r="920" ht="14.25" customHeight="1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</row>
    <row r="921" ht="14.25" customHeight="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</row>
    <row r="922" ht="14.25" customHeight="1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</row>
    <row r="923" ht="14.25" customHeight="1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</row>
    <row r="924" ht="14.25" customHeight="1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</row>
    <row r="925" ht="14.25" customHeight="1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</row>
    <row r="926" ht="14.25" customHeight="1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</row>
    <row r="927" ht="14.25" customHeight="1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</row>
    <row r="928" ht="14.25" customHeight="1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</row>
    <row r="929" ht="14.25" customHeight="1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</row>
    <row r="930" ht="14.25" customHeight="1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</row>
    <row r="931" ht="14.25" customHeight="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</row>
    <row r="932" ht="14.25" customHeight="1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</row>
    <row r="933" ht="14.25" customHeight="1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</row>
    <row r="934" ht="14.25" customHeight="1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</row>
    <row r="935" ht="14.25" customHeight="1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</row>
    <row r="936" ht="14.25" customHeight="1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</row>
    <row r="937" ht="14.25" customHeight="1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</row>
    <row r="938" ht="14.25" customHeight="1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</row>
    <row r="939" ht="14.25" customHeight="1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</row>
    <row r="940" ht="14.25" customHeight="1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</row>
    <row r="941" ht="14.25" customHeight="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</row>
    <row r="942" ht="14.25" customHeight="1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</row>
    <row r="943" ht="14.25" customHeight="1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</row>
    <row r="944" ht="14.25" customHeight="1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</row>
    <row r="945" ht="14.25" customHeight="1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</row>
    <row r="946" ht="14.25" customHeight="1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</row>
    <row r="947" ht="14.25" customHeight="1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</row>
    <row r="948" ht="14.25" customHeight="1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</row>
    <row r="949" ht="14.25" customHeight="1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</row>
    <row r="950" ht="14.25" customHeight="1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</row>
    <row r="951" ht="14.25" customHeight="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</row>
    <row r="952" ht="14.25" customHeight="1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</row>
    <row r="953" ht="14.25" customHeight="1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</row>
    <row r="954" ht="14.25" customHeight="1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</row>
    <row r="955" ht="14.25" customHeight="1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</row>
    <row r="956" ht="14.25" customHeight="1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</row>
    <row r="957" ht="14.25" customHeight="1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</row>
    <row r="958" ht="14.25" customHeight="1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</row>
    <row r="959" ht="14.25" customHeight="1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</row>
    <row r="960" ht="14.25" customHeight="1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</row>
    <row r="961" ht="14.25" customHeight="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</row>
    <row r="962" ht="14.25" customHeight="1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</row>
    <row r="963" ht="14.25" customHeight="1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</row>
    <row r="964" ht="14.25" customHeight="1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</row>
    <row r="965" ht="14.25" customHeight="1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</row>
    <row r="966" ht="14.25" customHeight="1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</row>
    <row r="967" ht="14.25" customHeight="1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</row>
    <row r="968" ht="14.25" customHeight="1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</row>
    <row r="969" ht="14.25" customHeight="1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</row>
    <row r="970" ht="14.25" customHeight="1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</row>
    <row r="971" ht="14.25" customHeight="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</row>
    <row r="972" ht="14.25" customHeight="1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</row>
    <row r="973" ht="14.25" customHeight="1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</row>
    <row r="974" ht="14.25" customHeight="1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</row>
    <row r="975" ht="14.25" customHeight="1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</row>
    <row r="976" ht="14.25" customHeight="1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</row>
    <row r="977" ht="14.25" customHeight="1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</row>
    <row r="978" ht="14.25" customHeight="1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</row>
    <row r="979" ht="14.25" customHeight="1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</row>
    <row r="980" ht="14.25" customHeight="1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</row>
    <row r="981" ht="14.25" customHeight="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</row>
    <row r="982" ht="14.25" customHeight="1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</row>
    <row r="983" ht="14.25" customHeight="1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</row>
    <row r="984" ht="14.25" customHeight="1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</row>
    <row r="985" ht="14.25" customHeight="1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</row>
    <row r="986" ht="14.25" customHeight="1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</row>
    <row r="987" ht="14.25" customHeight="1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</row>
    <row r="988" ht="14.25" customHeight="1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</row>
    <row r="989" ht="14.25" customHeight="1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</row>
    <row r="990" ht="14.25" customHeight="1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</row>
    <row r="991" ht="14.25" customHeight="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</row>
    <row r="992" ht="14.25" customHeight="1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</row>
    <row r="993" ht="14.25" customHeight="1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</row>
    <row r="994" ht="14.25" customHeight="1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</row>
    <row r="995" ht="14.25" customHeight="1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</row>
    <row r="996" ht="14.25" customHeight="1">
      <c r="A996" s="208"/>
      <c r="B996" s="208"/>
      <c r="C996" s="208"/>
      <c r="D996" s="208"/>
      <c r="E996" s="208"/>
      <c r="F996" s="208"/>
      <c r="G996" s="208"/>
      <c r="H996" s="208"/>
      <c r="I996" s="208"/>
      <c r="J996" s="208"/>
    </row>
    <row r="997" ht="14.25" customHeight="1">
      <c r="A997" s="208"/>
      <c r="B997" s="208"/>
      <c r="C997" s="208"/>
      <c r="D997" s="208"/>
      <c r="E997" s="208"/>
      <c r="F997" s="208"/>
      <c r="G997" s="208"/>
      <c r="H997" s="208"/>
      <c r="I997" s="208"/>
      <c r="J997" s="208"/>
    </row>
    <row r="998" ht="14.25" customHeight="1">
      <c r="A998" s="208"/>
      <c r="B998" s="208"/>
      <c r="C998" s="208"/>
      <c r="D998" s="208"/>
      <c r="E998" s="208"/>
      <c r="F998" s="208"/>
      <c r="G998" s="208"/>
      <c r="H998" s="208"/>
      <c r="I998" s="208"/>
      <c r="J998" s="208"/>
    </row>
    <row r="999" ht="14.25" customHeight="1">
      <c r="A999" s="208"/>
      <c r="B999" s="208"/>
      <c r="C999" s="208"/>
      <c r="D999" s="208"/>
      <c r="E999" s="208"/>
      <c r="F999" s="208"/>
      <c r="G999" s="208"/>
      <c r="H999" s="208"/>
      <c r="I999" s="208"/>
      <c r="J999" s="208"/>
    </row>
    <row r="1000" ht="14.25" customHeight="1">
      <c r="A1000" s="208"/>
      <c r="B1000" s="208"/>
      <c r="C1000" s="208"/>
      <c r="D1000" s="208"/>
      <c r="E1000" s="208"/>
      <c r="F1000" s="208"/>
      <c r="G1000" s="208"/>
      <c r="H1000" s="208"/>
      <c r="I1000" s="208"/>
      <c r="J1000" s="208"/>
    </row>
    <row r="1001" ht="14.25" customHeight="1">
      <c r="A1001" s="208"/>
      <c r="B1001" s="208"/>
      <c r="C1001" s="208"/>
      <c r="D1001" s="208"/>
      <c r="E1001" s="208"/>
      <c r="F1001" s="208"/>
      <c r="G1001" s="208"/>
      <c r="H1001" s="208"/>
      <c r="I1001" s="208"/>
      <c r="J1001" s="208"/>
    </row>
    <row r="1002" ht="14.25" customHeight="1">
      <c r="A1002" s="208"/>
      <c r="B1002" s="208"/>
      <c r="C1002" s="208"/>
      <c r="D1002" s="208"/>
      <c r="E1002" s="208"/>
      <c r="F1002" s="208"/>
      <c r="G1002" s="208"/>
      <c r="H1002" s="208"/>
      <c r="I1002" s="208"/>
      <c r="J1002" s="208"/>
    </row>
    <row r="1003" ht="14.25" customHeight="1">
      <c r="A1003" s="208"/>
      <c r="B1003" s="208"/>
      <c r="C1003" s="208"/>
      <c r="D1003" s="208"/>
      <c r="E1003" s="208"/>
      <c r="F1003" s="208"/>
      <c r="G1003" s="208"/>
      <c r="H1003" s="208"/>
      <c r="I1003" s="208"/>
      <c r="J1003" s="208"/>
    </row>
    <row r="1004" ht="14.25" customHeight="1">
      <c r="A1004" s="208"/>
      <c r="B1004" s="208"/>
      <c r="C1004" s="208"/>
      <c r="D1004" s="208"/>
      <c r="E1004" s="208"/>
      <c r="F1004" s="208"/>
      <c r="G1004" s="208"/>
      <c r="H1004" s="208"/>
      <c r="I1004" s="208"/>
      <c r="J1004" s="208"/>
    </row>
    <row r="1005" ht="14.25" customHeight="1">
      <c r="A1005" s="208"/>
      <c r="B1005" s="208"/>
      <c r="C1005" s="208"/>
      <c r="D1005" s="208"/>
      <c r="E1005" s="208"/>
      <c r="F1005" s="208"/>
      <c r="G1005" s="208"/>
      <c r="H1005" s="208"/>
      <c r="I1005" s="208"/>
      <c r="J1005" s="208"/>
    </row>
    <row r="1006" ht="14.25" customHeight="1">
      <c r="A1006" s="208"/>
      <c r="B1006" s="208"/>
      <c r="C1006" s="208"/>
      <c r="D1006" s="208"/>
      <c r="E1006" s="208"/>
      <c r="F1006" s="208"/>
      <c r="G1006" s="208"/>
      <c r="H1006" s="208"/>
      <c r="I1006" s="208"/>
      <c r="J1006" s="208"/>
    </row>
    <row r="1007" ht="14.25" customHeight="1">
      <c r="A1007" s="208"/>
      <c r="B1007" s="208"/>
      <c r="C1007" s="208"/>
      <c r="D1007" s="208"/>
      <c r="E1007" s="208"/>
      <c r="F1007" s="208"/>
      <c r="G1007" s="208"/>
      <c r="H1007" s="208"/>
      <c r="I1007" s="208"/>
      <c r="J1007" s="208"/>
    </row>
    <row r="1008" ht="14.25" customHeight="1">
      <c r="A1008" s="208"/>
      <c r="B1008" s="208"/>
      <c r="C1008" s="208"/>
      <c r="D1008" s="208"/>
      <c r="E1008" s="208"/>
      <c r="F1008" s="208"/>
      <c r="G1008" s="208"/>
      <c r="H1008" s="208"/>
      <c r="I1008" s="208"/>
      <c r="J1008" s="208"/>
    </row>
    <row r="1009" ht="14.25" customHeight="1">
      <c r="A1009" s="208"/>
      <c r="B1009" s="208"/>
      <c r="C1009" s="208"/>
      <c r="D1009" s="208"/>
      <c r="E1009" s="208"/>
      <c r="F1009" s="208"/>
      <c r="G1009" s="208"/>
      <c r="H1009" s="208"/>
      <c r="I1009" s="208"/>
      <c r="J1009" s="208"/>
    </row>
  </sheetData>
  <mergeCells count="30">
    <mergeCell ref="A1:H1"/>
    <mergeCell ref="A9:L9"/>
    <mergeCell ref="A16:L16"/>
    <mergeCell ref="A39:L39"/>
    <mergeCell ref="A48:L48"/>
    <mergeCell ref="B49:L49"/>
    <mergeCell ref="B50:L50"/>
    <mergeCell ref="B51:L51"/>
    <mergeCell ref="B52:L52"/>
    <mergeCell ref="B53:L53"/>
    <mergeCell ref="B54:L54"/>
    <mergeCell ref="B55:L55"/>
    <mergeCell ref="B56:L56"/>
    <mergeCell ref="B57:L57"/>
    <mergeCell ref="B58:L58"/>
    <mergeCell ref="B59:L59"/>
    <mergeCell ref="B60:L60"/>
    <mergeCell ref="B61:L61"/>
    <mergeCell ref="B62:L62"/>
    <mergeCell ref="B63:L63"/>
    <mergeCell ref="B64:L64"/>
    <mergeCell ref="B72:L72"/>
    <mergeCell ref="B73:L73"/>
    <mergeCell ref="B65:L65"/>
    <mergeCell ref="B66:L66"/>
    <mergeCell ref="B67:L67"/>
    <mergeCell ref="B68:L68"/>
    <mergeCell ref="B69:L69"/>
    <mergeCell ref="B70:L70"/>
    <mergeCell ref="B71:L71"/>
  </mergeCells>
  <dataValidations>
    <dataValidation type="list" allowBlank="1" sqref="A18:A36 B41:B45">
      <formula1>"📌 ЗАДАЧА,📦 ПРОЕКТ,🔬 ГИПОТЕЗА,💡 ИДЕЯ"</formula1>
    </dataValidation>
    <dataValidation type="list" allowBlank="1" sqref="B18:B36 D41:D45">
      <formula1>"Instagram-аудитория увеличена 30,Суммарная аудитория соцсетях,Наняты все ключевые сотрудники,Работа 20 инфлюенс амбассадорами"</formula1>
    </dataValidation>
    <dataValidation type="list" allowBlank="1" sqref="F11:F14">
      <formula1>"On track,Опаздываем,Выполнено,Не начато,Требует внимания"</formula1>
    </dataValidation>
    <dataValidation type="list" allowBlank="1" sqref="E41:E45">
      <formula1>"High,Medium,Low"</formula1>
    </dataValidation>
    <dataValidation type="list" allowBlank="1" sqref="F18:I36">
      <formula1>"⏸️ Не начато,🔄 В работе,✅ Выполнено,⏸️ На паузе,❌ Отменено,⚠️ Требует решения"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40.57"/>
    <col customWidth="1" min="4" max="4" width="18.43"/>
    <col customWidth="1" min="5" max="5" width="17.0"/>
    <col customWidth="1" min="6" max="6" width="19.29"/>
    <col customWidth="1" min="7" max="7" width="17.14"/>
    <col customWidth="1" min="8" max="8" width="21.0"/>
    <col customWidth="1" min="9" max="9" width="16.43"/>
    <col customWidth="1" min="10" max="10" width="25.0"/>
    <col customWidth="1" min="11" max="11" width="30.71"/>
    <col customWidth="1" min="12" max="27" width="8.71"/>
  </cols>
  <sheetData>
    <row r="1" ht="21.0" customHeight="1">
      <c r="A1" s="287" t="s">
        <v>1377</v>
      </c>
      <c r="B1" s="206"/>
      <c r="C1" s="206"/>
      <c r="D1" s="206"/>
      <c r="E1" s="206"/>
      <c r="F1" s="206"/>
      <c r="G1" s="206"/>
      <c r="H1" s="207"/>
      <c r="I1" s="208"/>
      <c r="J1" s="208"/>
      <c r="K1" s="208"/>
    </row>
    <row r="2" ht="14.25" customHeight="1">
      <c r="A2" s="209" t="s">
        <v>991</v>
      </c>
      <c r="B2" s="229" t="s">
        <v>907</v>
      </c>
      <c r="C2" s="208"/>
      <c r="D2" s="208"/>
      <c r="E2" s="208"/>
      <c r="F2" s="208"/>
      <c r="G2" s="208"/>
      <c r="H2" s="208"/>
      <c r="I2" s="208"/>
      <c r="J2" s="208"/>
      <c r="K2" s="208"/>
    </row>
    <row r="3" ht="14.25" customHeight="1">
      <c r="A3" s="209" t="s">
        <v>992</v>
      </c>
      <c r="B3" s="229" t="s">
        <v>101</v>
      </c>
      <c r="C3" s="208"/>
      <c r="D3" s="208"/>
      <c r="E3" s="208"/>
      <c r="F3" s="208"/>
      <c r="G3" s="208"/>
      <c r="H3" s="208"/>
      <c r="I3" s="208"/>
      <c r="J3" s="208"/>
      <c r="K3" s="208"/>
    </row>
    <row r="4" ht="14.25" customHeight="1">
      <c r="A4" s="209" t="s">
        <v>993</v>
      </c>
      <c r="B4" s="229" t="s">
        <v>908</v>
      </c>
      <c r="C4" s="208"/>
      <c r="D4" s="208"/>
      <c r="E4" s="208"/>
      <c r="F4" s="208"/>
      <c r="G4" s="208"/>
      <c r="H4" s="208"/>
      <c r="I4" s="208"/>
      <c r="J4" s="208"/>
      <c r="K4" s="208"/>
    </row>
    <row r="5" ht="14.25" customHeight="1">
      <c r="A5" s="209" t="s">
        <v>994</v>
      </c>
      <c r="B5" s="229" t="s">
        <v>882</v>
      </c>
      <c r="C5" s="208"/>
      <c r="D5" s="208"/>
      <c r="E5" s="208"/>
      <c r="F5" s="208"/>
      <c r="G5" s="208"/>
      <c r="H5" s="208"/>
      <c r="I5" s="208"/>
      <c r="J5" s="208"/>
      <c r="K5" s="208"/>
    </row>
    <row r="6" ht="14.25" customHeight="1">
      <c r="A6" s="280" t="s">
        <v>995</v>
      </c>
      <c r="B6" s="281"/>
      <c r="C6" s="231" t="s">
        <v>1378</v>
      </c>
      <c r="D6" s="208"/>
      <c r="E6" s="208"/>
      <c r="F6" s="208"/>
      <c r="G6" s="208"/>
      <c r="H6" s="208"/>
      <c r="I6" s="208"/>
      <c r="J6" s="208"/>
      <c r="K6" s="208"/>
    </row>
    <row r="7" ht="14.25" customHeight="1">
      <c r="A7" s="280" t="s">
        <v>997</v>
      </c>
      <c r="B7" s="281" t="s">
        <v>1379</v>
      </c>
      <c r="C7" s="231" t="s">
        <v>1380</v>
      </c>
      <c r="D7" s="208"/>
      <c r="E7" s="208"/>
      <c r="F7" s="208"/>
      <c r="G7" s="208"/>
      <c r="H7" s="208"/>
      <c r="I7" s="208"/>
      <c r="J7" s="208"/>
      <c r="K7" s="208"/>
    </row>
    <row r="8" ht="14.25" customHeight="1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208"/>
    </row>
    <row r="9" ht="15.0" customHeight="1">
      <c r="A9" s="288" t="s">
        <v>999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7"/>
    </row>
    <row r="10" ht="28.5" customHeight="1">
      <c r="A10" s="233" t="s">
        <v>914</v>
      </c>
      <c r="B10" s="233" t="s">
        <v>1000</v>
      </c>
      <c r="C10" s="233" t="s">
        <v>915</v>
      </c>
      <c r="D10" s="233" t="s">
        <v>916</v>
      </c>
      <c r="E10" s="233" t="s">
        <v>917</v>
      </c>
      <c r="F10" s="233" t="s">
        <v>1001</v>
      </c>
      <c r="G10" s="233" t="s">
        <v>22</v>
      </c>
      <c r="H10" s="233" t="s">
        <v>1002</v>
      </c>
      <c r="I10" s="208"/>
      <c r="J10" s="208"/>
      <c r="K10" s="208"/>
    </row>
    <row r="11" ht="57.0" customHeight="1">
      <c r="A11" s="213" t="s">
        <v>963</v>
      </c>
      <c r="B11" s="213" t="s">
        <v>1381</v>
      </c>
      <c r="C11" s="213" t="s">
        <v>325</v>
      </c>
      <c r="D11" s="213" t="s">
        <v>326</v>
      </c>
      <c r="E11" s="213"/>
      <c r="F11" s="234" t="s">
        <v>1078</v>
      </c>
      <c r="G11" s="234" t="s">
        <v>332</v>
      </c>
      <c r="H11" s="213"/>
      <c r="I11" s="208"/>
      <c r="J11" s="208"/>
      <c r="K11" s="208"/>
    </row>
    <row r="12" ht="42.75" customHeight="1">
      <c r="A12" s="213" t="s">
        <v>964</v>
      </c>
      <c r="B12" s="213" t="s">
        <v>1382</v>
      </c>
      <c r="C12" s="213" t="s">
        <v>328</v>
      </c>
      <c r="D12" s="289">
        <v>46358.0</v>
      </c>
      <c r="E12" s="213"/>
      <c r="F12" s="234" t="s">
        <v>1078</v>
      </c>
      <c r="G12" s="234" t="s">
        <v>332</v>
      </c>
      <c r="H12" s="213"/>
      <c r="I12" s="208"/>
      <c r="J12" s="208"/>
      <c r="K12" s="208"/>
    </row>
    <row r="13" ht="42.75" customHeight="1">
      <c r="A13" s="213" t="s">
        <v>966</v>
      </c>
      <c r="B13" s="213" t="s">
        <v>1383</v>
      </c>
      <c r="C13" s="213" t="s">
        <v>329</v>
      </c>
      <c r="D13" s="234">
        <v>136.0</v>
      </c>
      <c r="E13" s="213"/>
      <c r="F13" s="234" t="s">
        <v>1078</v>
      </c>
      <c r="G13" s="234" t="s">
        <v>332</v>
      </c>
      <c r="H13" s="213"/>
      <c r="I13" s="208"/>
      <c r="J13" s="208"/>
      <c r="K13" s="208"/>
    </row>
    <row r="14" ht="42.75" customHeight="1">
      <c r="A14" s="213" t="s">
        <v>968</v>
      </c>
      <c r="B14" s="213" t="s">
        <v>1384</v>
      </c>
      <c r="C14" s="213" t="s">
        <v>330</v>
      </c>
      <c r="D14" s="290">
        <v>0.96</v>
      </c>
      <c r="E14" s="213"/>
      <c r="F14" s="234" t="s">
        <v>1078</v>
      </c>
      <c r="G14" s="213"/>
      <c r="H14" s="234" t="s">
        <v>1385</v>
      </c>
      <c r="I14" s="208"/>
      <c r="J14" s="208"/>
      <c r="K14" s="208"/>
    </row>
    <row r="15" ht="42.75" customHeight="1">
      <c r="A15" s="213" t="s">
        <v>970</v>
      </c>
      <c r="B15" s="213" t="s">
        <v>1386</v>
      </c>
      <c r="C15" s="213" t="s">
        <v>331</v>
      </c>
      <c r="D15" s="213"/>
      <c r="E15" s="213"/>
      <c r="F15" s="234" t="s">
        <v>1206</v>
      </c>
      <c r="G15" s="213" t="s">
        <v>332</v>
      </c>
      <c r="H15" s="234" t="s">
        <v>1387</v>
      </c>
      <c r="I15" s="208"/>
      <c r="J15" s="208"/>
      <c r="K15" s="208"/>
    </row>
    <row r="16" ht="28.5" customHeight="1">
      <c r="A16" s="213" t="s">
        <v>971</v>
      </c>
      <c r="B16" s="213" t="s">
        <v>1388</v>
      </c>
      <c r="C16" s="213" t="s">
        <v>333</v>
      </c>
      <c r="D16" s="213"/>
      <c r="E16" s="213"/>
      <c r="F16" s="234" t="s">
        <v>1206</v>
      </c>
      <c r="G16" s="213" t="s">
        <v>332</v>
      </c>
      <c r="H16" s="234" t="s">
        <v>1387</v>
      </c>
      <c r="I16" s="208"/>
      <c r="J16" s="208"/>
      <c r="K16" s="208"/>
    </row>
    <row r="17" ht="42.75" customHeight="1">
      <c r="A17" s="213" t="s">
        <v>972</v>
      </c>
      <c r="B17" s="213" t="s">
        <v>1389</v>
      </c>
      <c r="C17" s="213" t="s">
        <v>334</v>
      </c>
      <c r="D17" s="213"/>
      <c r="E17" s="213"/>
      <c r="F17" s="234" t="s">
        <v>1206</v>
      </c>
      <c r="G17" s="213" t="s">
        <v>332</v>
      </c>
      <c r="H17" s="234" t="s">
        <v>1387</v>
      </c>
      <c r="I17" s="208"/>
      <c r="J17" s="208"/>
      <c r="K17" s="208"/>
    </row>
    <row r="18" ht="28.5" customHeight="1">
      <c r="A18" s="213" t="s">
        <v>973</v>
      </c>
      <c r="B18" s="213" t="s">
        <v>1390</v>
      </c>
      <c r="C18" s="213" t="s">
        <v>335</v>
      </c>
      <c r="D18" s="213"/>
      <c r="E18" s="213"/>
      <c r="F18" s="234" t="s">
        <v>1206</v>
      </c>
      <c r="G18" s="213" t="s">
        <v>336</v>
      </c>
      <c r="H18" s="234" t="s">
        <v>1387</v>
      </c>
      <c r="I18" s="208"/>
      <c r="J18" s="208"/>
      <c r="K18" s="208"/>
    </row>
    <row r="19" ht="14.25" customHeight="1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</row>
    <row r="20" ht="15.0" customHeight="1">
      <c r="A20" s="218" t="s">
        <v>1014</v>
      </c>
      <c r="B20" s="206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7"/>
    </row>
    <row r="21" ht="14.25" customHeight="1">
      <c r="A21" s="235" t="s">
        <v>32</v>
      </c>
      <c r="B21" s="235" t="s">
        <v>1015</v>
      </c>
      <c r="C21" s="235" t="s">
        <v>1016</v>
      </c>
      <c r="D21" s="235" t="s">
        <v>23</v>
      </c>
      <c r="E21" s="235" t="s">
        <v>22</v>
      </c>
      <c r="F21" s="235" t="s">
        <v>1017</v>
      </c>
      <c r="G21" s="235" t="s">
        <v>1018</v>
      </c>
      <c r="H21" s="235" t="s">
        <v>1019</v>
      </c>
      <c r="I21" s="235" t="s">
        <v>1020</v>
      </c>
      <c r="J21" s="291" t="s">
        <v>1090</v>
      </c>
      <c r="K21" s="235" t="s">
        <v>1021</v>
      </c>
    </row>
    <row r="22" ht="14.25" customHeight="1">
      <c r="A22" s="213" t="s">
        <v>1024</v>
      </c>
      <c r="B22" s="234" t="s">
        <v>1391</v>
      </c>
      <c r="C22" s="234" t="s">
        <v>1392</v>
      </c>
      <c r="D22" s="234" t="s">
        <v>103</v>
      </c>
      <c r="E22" s="234" t="s">
        <v>1393</v>
      </c>
      <c r="F22" s="234" t="s">
        <v>1043</v>
      </c>
      <c r="G22" s="234" t="s">
        <v>1043</v>
      </c>
      <c r="H22" s="213"/>
      <c r="I22" s="213"/>
      <c r="J22" s="213"/>
      <c r="K22" s="213"/>
    </row>
    <row r="23" ht="14.25" customHeight="1">
      <c r="A23" s="213" t="s">
        <v>1023</v>
      </c>
      <c r="B23" s="213"/>
      <c r="C23" s="234" t="s">
        <v>1394</v>
      </c>
      <c r="D23" s="234" t="s">
        <v>103</v>
      </c>
      <c r="E23" s="234" t="s">
        <v>1393</v>
      </c>
      <c r="F23" s="234" t="s">
        <v>1043</v>
      </c>
      <c r="G23" s="234" t="s">
        <v>1043</v>
      </c>
      <c r="H23" s="213"/>
      <c r="I23" s="213"/>
      <c r="J23" s="234"/>
      <c r="K23" s="234" t="s">
        <v>1395</v>
      </c>
    </row>
    <row r="24" ht="14.25" customHeight="1">
      <c r="A24" s="234" t="s">
        <v>1024</v>
      </c>
      <c r="B24" s="234" t="s">
        <v>1396</v>
      </c>
      <c r="C24" s="234" t="s">
        <v>1397</v>
      </c>
      <c r="D24" s="234" t="s">
        <v>103</v>
      </c>
      <c r="E24" s="234" t="s">
        <v>1393</v>
      </c>
      <c r="F24" s="234" t="s">
        <v>1043</v>
      </c>
      <c r="G24" s="234" t="s">
        <v>1043</v>
      </c>
      <c r="H24" s="213"/>
      <c r="I24" s="213"/>
      <c r="J24" s="213"/>
      <c r="K24" s="213"/>
    </row>
    <row r="25" ht="14.25" customHeight="1">
      <c r="A25" s="213" t="s">
        <v>1024</v>
      </c>
      <c r="B25" s="213"/>
      <c r="C25" s="234" t="s">
        <v>1398</v>
      </c>
      <c r="D25" s="234" t="s">
        <v>103</v>
      </c>
      <c r="E25" s="234" t="s">
        <v>1399</v>
      </c>
      <c r="F25" s="234" t="s">
        <v>1043</v>
      </c>
      <c r="G25" s="234" t="s">
        <v>1043</v>
      </c>
      <c r="H25" s="213"/>
      <c r="I25" s="213"/>
      <c r="J25" s="234"/>
      <c r="K25" s="234" t="s">
        <v>1400</v>
      </c>
    </row>
    <row r="26" ht="14.25" customHeight="1">
      <c r="A26" s="234" t="s">
        <v>1024</v>
      </c>
      <c r="B26" s="234" t="s">
        <v>1391</v>
      </c>
      <c r="C26" s="234" t="s">
        <v>1401</v>
      </c>
      <c r="D26" s="234" t="s">
        <v>103</v>
      </c>
      <c r="E26" s="234" t="s">
        <v>1402</v>
      </c>
      <c r="F26" s="234" t="s">
        <v>1043</v>
      </c>
      <c r="G26" s="234" t="s">
        <v>1043</v>
      </c>
      <c r="H26" s="213"/>
      <c r="I26" s="213"/>
      <c r="J26" s="234"/>
      <c r="K26" s="234" t="s">
        <v>1403</v>
      </c>
    </row>
    <row r="27" ht="14.25" customHeight="1">
      <c r="A27" s="213" t="s">
        <v>1024</v>
      </c>
      <c r="B27" s="213"/>
      <c r="C27" s="234" t="s">
        <v>1404</v>
      </c>
      <c r="D27" s="234" t="s">
        <v>103</v>
      </c>
      <c r="E27" s="234" t="s">
        <v>1405</v>
      </c>
      <c r="F27" s="234" t="s">
        <v>1043</v>
      </c>
      <c r="G27" s="213"/>
      <c r="H27" s="213"/>
      <c r="I27" s="213"/>
      <c r="J27" s="213"/>
      <c r="K27" s="213"/>
    </row>
    <row r="28" ht="14.25" customHeight="1">
      <c r="A28" s="213" t="s">
        <v>1023</v>
      </c>
      <c r="B28" s="234" t="s">
        <v>1391</v>
      </c>
      <c r="C28" s="234" t="s">
        <v>1406</v>
      </c>
      <c r="D28" s="234" t="s">
        <v>103</v>
      </c>
      <c r="E28" s="234" t="s">
        <v>1407</v>
      </c>
      <c r="F28" s="213"/>
      <c r="G28" s="234" t="s">
        <v>1043</v>
      </c>
      <c r="H28" s="213"/>
      <c r="I28" s="213"/>
      <c r="J28" s="213"/>
      <c r="K28" s="213"/>
    </row>
    <row r="29" ht="14.25" customHeight="1">
      <c r="A29" s="234" t="s">
        <v>1023</v>
      </c>
      <c r="B29" s="234" t="s">
        <v>1391</v>
      </c>
      <c r="C29" s="234" t="s">
        <v>1408</v>
      </c>
      <c r="D29" s="234" t="s">
        <v>103</v>
      </c>
      <c r="E29" s="234" t="s">
        <v>1409</v>
      </c>
      <c r="F29" s="213"/>
      <c r="G29" s="234" t="s">
        <v>1043</v>
      </c>
      <c r="H29" s="213"/>
      <c r="I29" s="213"/>
      <c r="J29" s="213"/>
      <c r="K29" s="213"/>
    </row>
    <row r="30" ht="14.25" customHeight="1">
      <c r="A30" s="213" t="s">
        <v>1022</v>
      </c>
      <c r="B30" s="234" t="s">
        <v>1391</v>
      </c>
      <c r="C30" s="234" t="s">
        <v>1410</v>
      </c>
      <c r="D30" s="234" t="s">
        <v>103</v>
      </c>
      <c r="E30" s="234" t="s">
        <v>1243</v>
      </c>
      <c r="F30" s="213"/>
      <c r="G30" s="234" t="s">
        <v>1043</v>
      </c>
      <c r="H30" s="213"/>
      <c r="I30" s="213"/>
      <c r="J30" s="213"/>
      <c r="K30" s="213"/>
    </row>
    <row r="31" ht="14.25" customHeight="1">
      <c r="A31" s="234" t="s">
        <v>1024</v>
      </c>
      <c r="B31" s="234" t="s">
        <v>1396</v>
      </c>
      <c r="C31" s="234" t="s">
        <v>1411</v>
      </c>
      <c r="D31" s="234" t="s">
        <v>103</v>
      </c>
      <c r="E31" s="234" t="s">
        <v>1412</v>
      </c>
      <c r="F31" s="213"/>
      <c r="G31" s="234" t="s">
        <v>1043</v>
      </c>
      <c r="H31" s="213"/>
      <c r="I31" s="213"/>
      <c r="J31" s="213"/>
      <c r="K31" s="213"/>
    </row>
    <row r="32" ht="14.25" customHeight="1">
      <c r="A32" s="234" t="s">
        <v>1024</v>
      </c>
      <c r="B32" s="234" t="s">
        <v>1391</v>
      </c>
      <c r="C32" s="234" t="s">
        <v>1413</v>
      </c>
      <c r="D32" s="234" t="s">
        <v>103</v>
      </c>
      <c r="E32" s="234" t="s">
        <v>1365</v>
      </c>
      <c r="F32" s="213"/>
      <c r="G32" s="213"/>
      <c r="H32" s="234" t="s">
        <v>1045</v>
      </c>
      <c r="I32" s="213"/>
      <c r="J32" s="213"/>
      <c r="K32" s="213"/>
    </row>
    <row r="33" ht="14.25" customHeight="1">
      <c r="A33" s="234" t="s">
        <v>1024</v>
      </c>
      <c r="B33" s="292">
        <v>8.1</v>
      </c>
      <c r="C33" s="234" t="s">
        <v>1414</v>
      </c>
      <c r="D33" s="234" t="s">
        <v>103</v>
      </c>
      <c r="E33" s="234" t="s">
        <v>1415</v>
      </c>
      <c r="F33" s="213"/>
      <c r="G33" s="213"/>
      <c r="H33" s="234" t="s">
        <v>1045</v>
      </c>
      <c r="I33" s="213"/>
      <c r="J33" s="213"/>
      <c r="K33" s="213"/>
    </row>
    <row r="34" ht="14.25" customHeight="1">
      <c r="A34" s="234" t="s">
        <v>1024</v>
      </c>
      <c r="B34" s="213"/>
      <c r="C34" s="234" t="s">
        <v>1416</v>
      </c>
      <c r="D34" s="234" t="s">
        <v>103</v>
      </c>
      <c r="E34" s="234" t="s">
        <v>1417</v>
      </c>
      <c r="F34" s="213"/>
      <c r="G34" s="213"/>
      <c r="H34" s="213"/>
      <c r="I34" s="213"/>
      <c r="J34" s="234" t="s">
        <v>1043</v>
      </c>
      <c r="K34" s="213"/>
    </row>
    <row r="35" ht="14.25" customHeight="1">
      <c r="A35" s="234" t="s">
        <v>1024</v>
      </c>
      <c r="B35" s="213"/>
      <c r="C35" s="234" t="s">
        <v>1418</v>
      </c>
      <c r="D35" s="213"/>
      <c r="E35" s="213"/>
      <c r="F35" s="213"/>
      <c r="G35" s="213"/>
      <c r="H35" s="213"/>
      <c r="I35" s="234" t="s">
        <v>1043</v>
      </c>
      <c r="J35" s="213"/>
      <c r="K35" s="213"/>
    </row>
    <row r="36" ht="14.25" customHeight="1">
      <c r="A36" s="234" t="s">
        <v>1024</v>
      </c>
      <c r="B36" s="213"/>
      <c r="C36" s="234" t="s">
        <v>1419</v>
      </c>
      <c r="D36" s="213"/>
      <c r="E36" s="213"/>
      <c r="F36" s="213"/>
      <c r="G36" s="213"/>
      <c r="H36" s="213"/>
      <c r="I36" s="213"/>
      <c r="J36" s="234" t="s">
        <v>1043</v>
      </c>
      <c r="K36" s="213"/>
    </row>
    <row r="37" ht="14.25" customHeight="1">
      <c r="A37" s="234" t="s">
        <v>1024</v>
      </c>
      <c r="B37" s="213"/>
      <c r="C37" s="234" t="s">
        <v>1420</v>
      </c>
      <c r="D37" s="213"/>
      <c r="E37" s="213"/>
      <c r="F37" s="213"/>
      <c r="G37" s="213"/>
      <c r="H37" s="213"/>
      <c r="I37" s="213"/>
      <c r="J37" s="234" t="s">
        <v>1045</v>
      </c>
      <c r="K37" s="213"/>
    </row>
    <row r="38" ht="14.25" customHeight="1">
      <c r="A38" s="234" t="s">
        <v>1024</v>
      </c>
      <c r="B38" s="213"/>
      <c r="C38" s="234" t="s">
        <v>1421</v>
      </c>
      <c r="D38" s="213"/>
      <c r="E38" s="213"/>
      <c r="F38" s="213"/>
      <c r="G38" s="213"/>
      <c r="H38" s="213"/>
      <c r="I38" s="213"/>
      <c r="J38" s="234" t="s">
        <v>1045</v>
      </c>
      <c r="K38" s="213"/>
    </row>
    <row r="39" ht="14.25" customHeight="1">
      <c r="A39" s="234" t="s">
        <v>1024</v>
      </c>
      <c r="B39" s="213"/>
      <c r="C39" s="234" t="s">
        <v>1422</v>
      </c>
      <c r="D39" s="213"/>
      <c r="E39" s="213"/>
      <c r="F39" s="213"/>
      <c r="G39" s="213"/>
      <c r="H39" s="213"/>
      <c r="I39" s="213"/>
      <c r="J39" s="234" t="s">
        <v>1045</v>
      </c>
      <c r="K39" s="213"/>
    </row>
    <row r="40" ht="14.25" customHeight="1">
      <c r="A40" s="213"/>
      <c r="B40" s="213"/>
      <c r="C40" s="234" t="s">
        <v>1394</v>
      </c>
      <c r="D40" s="213"/>
      <c r="E40" s="213"/>
      <c r="F40" s="213"/>
      <c r="G40" s="213"/>
      <c r="H40" s="213"/>
      <c r="I40" s="213"/>
      <c r="J40" s="234" t="s">
        <v>1045</v>
      </c>
      <c r="K40" s="213"/>
    </row>
    <row r="41" ht="14.25" customHeight="1">
      <c r="A41" s="213" t="s">
        <v>1024</v>
      </c>
      <c r="B41" s="213"/>
      <c r="C41" s="213"/>
      <c r="D41" s="213"/>
      <c r="E41" s="213"/>
      <c r="F41" s="213"/>
      <c r="G41" s="213"/>
      <c r="H41" s="213"/>
      <c r="I41" s="213"/>
      <c r="J41" s="213"/>
      <c r="K41" s="213"/>
    </row>
    <row r="42" ht="14.25" customHeight="1">
      <c r="A42" s="213" t="s">
        <v>1025</v>
      </c>
      <c r="B42" s="213"/>
      <c r="C42" s="213"/>
      <c r="D42" s="213"/>
      <c r="E42" s="213"/>
      <c r="F42" s="213"/>
      <c r="G42" s="213"/>
      <c r="H42" s="213"/>
      <c r="I42" s="213"/>
      <c r="J42" s="213"/>
      <c r="K42" s="213"/>
    </row>
    <row r="43" ht="14.25" customHeight="1">
      <c r="A43" s="208"/>
      <c r="B43" s="208"/>
      <c r="C43" s="208"/>
      <c r="D43" s="208"/>
      <c r="E43" s="208"/>
      <c r="F43" s="208"/>
      <c r="G43" s="208"/>
      <c r="H43" s="208"/>
      <c r="I43" s="208"/>
      <c r="J43" s="208"/>
      <c r="K43" s="208"/>
    </row>
    <row r="44" ht="14.25" customHeight="1">
      <c r="A44" s="208"/>
      <c r="B44" s="208"/>
      <c r="C44" s="208"/>
      <c r="D44" s="208"/>
      <c r="E44" s="208"/>
      <c r="F44" s="208"/>
      <c r="G44" s="208"/>
      <c r="H44" s="208"/>
      <c r="I44" s="208"/>
      <c r="J44" s="208"/>
      <c r="K44" s="208"/>
    </row>
    <row r="45" ht="14.25" customHeight="1">
      <c r="A45" s="236" t="s">
        <v>1026</v>
      </c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7"/>
    </row>
    <row r="46" ht="24.0" customHeight="1">
      <c r="A46" s="237" t="s">
        <v>377</v>
      </c>
      <c r="B46" s="237" t="s">
        <v>32</v>
      </c>
      <c r="C46" s="237" t="s">
        <v>1027</v>
      </c>
      <c r="D46" s="237" t="s">
        <v>1028</v>
      </c>
      <c r="E46" s="237" t="s">
        <v>154</v>
      </c>
      <c r="F46" s="237" t="s">
        <v>1029</v>
      </c>
      <c r="G46" s="237" t="s">
        <v>381</v>
      </c>
      <c r="H46" s="208"/>
      <c r="I46" s="208"/>
      <c r="J46" s="208"/>
      <c r="K46" s="208"/>
    </row>
    <row r="47" ht="14.25" customHeight="1">
      <c r="A47" s="238"/>
      <c r="B47" s="238"/>
      <c r="C47" s="293" t="s">
        <v>1423</v>
      </c>
      <c r="D47" s="238"/>
      <c r="E47" s="294" t="s">
        <v>1125</v>
      </c>
      <c r="F47" s="294">
        <v>25.02</v>
      </c>
      <c r="G47" s="238"/>
      <c r="H47" s="208"/>
      <c r="I47" s="208"/>
      <c r="J47" s="208"/>
      <c r="K47" s="208"/>
    </row>
    <row r="48" ht="14.25" customHeight="1">
      <c r="A48" s="238"/>
      <c r="B48" s="238"/>
      <c r="C48" s="293" t="s">
        <v>1424</v>
      </c>
      <c r="D48" s="238"/>
      <c r="E48" s="294" t="s">
        <v>1129</v>
      </c>
      <c r="F48" s="294">
        <v>25.02</v>
      </c>
      <c r="G48" s="238"/>
      <c r="H48" s="208"/>
      <c r="I48" s="208"/>
      <c r="J48" s="208"/>
      <c r="K48" s="208"/>
    </row>
    <row r="49" ht="14.25" customHeight="1">
      <c r="A49" s="238"/>
      <c r="B49" s="238"/>
      <c r="C49" s="293" t="s">
        <v>1425</v>
      </c>
      <c r="D49" s="238"/>
      <c r="E49" s="238"/>
      <c r="F49" s="294">
        <v>25.02</v>
      </c>
      <c r="G49" s="238"/>
      <c r="H49" s="208"/>
      <c r="I49" s="208"/>
      <c r="J49" s="208"/>
      <c r="K49" s="208"/>
    </row>
    <row r="50" ht="14.25" customHeight="1">
      <c r="A50" s="238"/>
      <c r="B50" s="238"/>
      <c r="C50" s="294" t="s">
        <v>1426</v>
      </c>
      <c r="D50" s="238"/>
      <c r="E50" s="238"/>
      <c r="F50" s="238"/>
      <c r="G50" s="238"/>
      <c r="H50" s="208"/>
      <c r="I50" s="208"/>
      <c r="J50" s="208"/>
      <c r="K50" s="208"/>
    </row>
    <row r="51" ht="14.25" customHeight="1">
      <c r="A51" s="238"/>
      <c r="B51" s="238"/>
      <c r="C51" s="294" t="s">
        <v>1427</v>
      </c>
      <c r="D51" s="238"/>
      <c r="E51" s="238"/>
      <c r="F51" s="238"/>
      <c r="G51" s="238"/>
      <c r="H51" s="208"/>
      <c r="I51" s="208"/>
      <c r="J51" s="208"/>
      <c r="K51" s="208"/>
    </row>
    <row r="52" ht="14.25" customHeight="1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</row>
    <row r="53" ht="14.25" customHeight="1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</row>
    <row r="54" ht="14.25" customHeight="1">
      <c r="A54" s="239" t="s">
        <v>1030</v>
      </c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20"/>
    </row>
    <row r="55" ht="14.25" customHeight="1">
      <c r="A55" s="241"/>
      <c r="B55" s="242" t="s">
        <v>1031</v>
      </c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20"/>
    </row>
    <row r="56" ht="14.25" customHeight="1">
      <c r="A56" s="241" t="s">
        <v>1024</v>
      </c>
      <c r="B56" s="242" t="s">
        <v>1032</v>
      </c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20"/>
    </row>
    <row r="57" ht="14.25" customHeight="1">
      <c r="A57" s="241" t="s">
        <v>1023</v>
      </c>
      <c r="B57" s="242" t="s">
        <v>1033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20"/>
    </row>
    <row r="58" ht="14.25" customHeight="1">
      <c r="A58" s="241" t="s">
        <v>1022</v>
      </c>
      <c r="B58" s="242" t="s">
        <v>1034</v>
      </c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20"/>
    </row>
    <row r="59" ht="14.25" customHeight="1">
      <c r="A59" s="241" t="s">
        <v>1025</v>
      </c>
      <c r="B59" s="242" t="s">
        <v>1035</v>
      </c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20"/>
    </row>
    <row r="60" ht="14.25" customHeight="1">
      <c r="A60" s="241"/>
      <c r="B60" s="242" t="s">
        <v>1036</v>
      </c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20"/>
    </row>
    <row r="61" ht="14.25" customHeight="1">
      <c r="A61" s="241" t="s">
        <v>1037</v>
      </c>
      <c r="B61" s="242" t="s">
        <v>1038</v>
      </c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20"/>
    </row>
    <row r="62" ht="14.25" customHeight="1">
      <c r="A62" s="241" t="s">
        <v>1039</v>
      </c>
      <c r="B62" s="242" t="s">
        <v>1040</v>
      </c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20"/>
    </row>
    <row r="63" ht="14.25" customHeight="1">
      <c r="A63" s="241" t="s">
        <v>1041</v>
      </c>
      <c r="B63" s="242" t="s">
        <v>1042</v>
      </c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20"/>
    </row>
    <row r="64" ht="14.25" customHeight="1">
      <c r="A64" s="241" t="s">
        <v>1043</v>
      </c>
      <c r="B64" s="242" t="s">
        <v>1044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20"/>
    </row>
    <row r="65" ht="14.25" customHeight="1">
      <c r="A65" s="241" t="s">
        <v>1045</v>
      </c>
      <c r="B65" s="242" t="s">
        <v>1046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20"/>
    </row>
    <row r="66" ht="14.25" customHeight="1">
      <c r="A66" s="241" t="s">
        <v>1047</v>
      </c>
      <c r="B66" s="242" t="s">
        <v>1048</v>
      </c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20"/>
    </row>
    <row r="67" ht="14.25" customHeight="1">
      <c r="A67" s="241" t="s">
        <v>1049</v>
      </c>
      <c r="B67" s="242" t="s">
        <v>1050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20"/>
    </row>
    <row r="68" ht="14.25" customHeight="1">
      <c r="A68" s="241" t="s">
        <v>1051</v>
      </c>
      <c r="B68" s="242" t="s">
        <v>1052</v>
      </c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20"/>
    </row>
    <row r="69" ht="14.25" customHeight="1">
      <c r="A69" s="241" t="s">
        <v>1053</v>
      </c>
      <c r="B69" s="242" t="s">
        <v>1054</v>
      </c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20"/>
    </row>
    <row r="70" ht="14.25" customHeight="1">
      <c r="A70" s="241"/>
      <c r="B70" s="242" t="s">
        <v>1055</v>
      </c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20"/>
    </row>
    <row r="71" ht="14.25" customHeight="1">
      <c r="A71" s="241" t="s">
        <v>1056</v>
      </c>
      <c r="B71" s="242" t="s">
        <v>1057</v>
      </c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20"/>
    </row>
    <row r="72" ht="14.25" customHeight="1">
      <c r="A72" s="241" t="s">
        <v>1058</v>
      </c>
      <c r="B72" s="242" t="s">
        <v>1059</v>
      </c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20"/>
    </row>
    <row r="73" ht="14.25" customHeight="1">
      <c r="A73" s="241" t="s">
        <v>1060</v>
      </c>
      <c r="B73" s="242" t="s">
        <v>1061</v>
      </c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20"/>
    </row>
    <row r="74" ht="14.25" customHeight="1">
      <c r="A74" s="241" t="s">
        <v>1062</v>
      </c>
      <c r="B74" s="242" t="s">
        <v>1063</v>
      </c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20"/>
    </row>
    <row r="75" ht="14.25" customHeight="1">
      <c r="A75" s="241"/>
      <c r="B75" s="242" t="s">
        <v>1064</v>
      </c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20"/>
    </row>
    <row r="76" ht="14.25" customHeight="1">
      <c r="A76" s="241" t="s">
        <v>1065</v>
      </c>
      <c r="B76" s="242" t="s">
        <v>1066</v>
      </c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20"/>
    </row>
    <row r="77" ht="14.25" customHeight="1">
      <c r="A77" s="241" t="s">
        <v>1067</v>
      </c>
      <c r="B77" s="242" t="s">
        <v>1068</v>
      </c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20"/>
    </row>
    <row r="78" ht="14.25" customHeight="1">
      <c r="A78" s="241" t="s">
        <v>1069</v>
      </c>
      <c r="B78" s="242" t="s">
        <v>1070</v>
      </c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20"/>
    </row>
    <row r="79" ht="14.25" customHeight="1">
      <c r="A79" s="241" t="s">
        <v>1071</v>
      </c>
      <c r="B79" s="242" t="s">
        <v>1072</v>
      </c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20"/>
    </row>
    <row r="80" ht="14.25" customHeight="1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</row>
    <row r="81" ht="14.25" customHeight="1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</row>
    <row r="82" ht="14.25" customHeight="1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</row>
    <row r="83" ht="14.25" customHeight="1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</row>
    <row r="84" ht="14.25" customHeight="1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</row>
    <row r="85" ht="14.25" customHeight="1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</row>
    <row r="86" ht="14.25" customHeight="1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</row>
    <row r="87" ht="14.25" customHeight="1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</row>
    <row r="88" ht="14.2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</row>
    <row r="89" ht="14.2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</row>
    <row r="90" ht="14.2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</row>
    <row r="91" ht="14.2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</row>
    <row r="92" ht="14.2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</row>
    <row r="93" ht="14.2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</row>
    <row r="94" ht="14.2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</row>
    <row r="95" ht="14.2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</row>
    <row r="96" ht="14.2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</row>
    <row r="97" ht="14.2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</row>
    <row r="98" ht="14.2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</row>
    <row r="99" ht="14.2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</row>
    <row r="100" ht="14.2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</row>
    <row r="101" ht="14.2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</row>
    <row r="102" ht="14.2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</row>
    <row r="103" ht="14.2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</row>
    <row r="104" ht="14.2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</row>
    <row r="105" ht="14.2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</row>
    <row r="106" ht="14.2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</row>
    <row r="107" ht="14.2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</row>
    <row r="108" ht="14.2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</row>
    <row r="109" ht="14.2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</row>
    <row r="110" ht="14.2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</row>
    <row r="111" ht="14.2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</row>
    <row r="112" ht="14.2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</row>
    <row r="113" ht="14.2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</row>
    <row r="114" ht="14.2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</row>
    <row r="115" ht="14.2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</row>
    <row r="116" ht="14.2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</row>
    <row r="117" ht="14.2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</row>
    <row r="118" ht="14.2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</row>
    <row r="119" ht="14.2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</row>
    <row r="120" ht="14.2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</row>
    <row r="121" ht="14.2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</row>
    <row r="122" ht="14.2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</row>
    <row r="123" ht="14.2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</row>
    <row r="124" ht="14.2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</row>
    <row r="125" ht="14.2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</row>
    <row r="126" ht="14.2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</row>
    <row r="127" ht="14.2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</row>
    <row r="128" ht="14.2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</row>
    <row r="129" ht="14.2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</row>
    <row r="130" ht="14.2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</row>
    <row r="131" ht="14.2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</row>
    <row r="132" ht="14.2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</row>
    <row r="133" ht="14.2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</row>
    <row r="134" ht="14.2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</row>
    <row r="135" ht="14.2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</row>
    <row r="136" ht="14.2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</row>
    <row r="137" ht="14.2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</row>
    <row r="138" ht="14.2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</row>
    <row r="139" ht="14.2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</row>
    <row r="140" ht="14.2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</row>
    <row r="141" ht="14.2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</row>
    <row r="142" ht="14.2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</row>
    <row r="143" ht="14.2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</row>
    <row r="144" ht="14.2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</row>
    <row r="145" ht="14.2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</row>
    <row r="146" ht="14.2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</row>
    <row r="147" ht="14.2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</row>
    <row r="148" ht="14.2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</row>
    <row r="149" ht="14.2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</row>
    <row r="150" ht="14.2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</row>
    <row r="151" ht="14.2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</row>
    <row r="152" ht="14.2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</row>
    <row r="153" ht="14.2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</row>
    <row r="154" ht="14.2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</row>
    <row r="155" ht="14.2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</row>
    <row r="156" ht="14.2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</row>
    <row r="157" ht="14.2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</row>
    <row r="158" ht="14.2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</row>
    <row r="159" ht="14.2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</row>
    <row r="160" ht="14.2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</row>
    <row r="161" ht="14.2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</row>
    <row r="162" ht="14.2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</row>
    <row r="163" ht="14.2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</row>
    <row r="164" ht="14.2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</row>
    <row r="165" ht="14.2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</row>
    <row r="166" ht="14.2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</row>
    <row r="167" ht="14.2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</row>
    <row r="168" ht="14.2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</row>
    <row r="169" ht="14.2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</row>
    <row r="170" ht="14.2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</row>
    <row r="171" ht="14.2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</row>
    <row r="172" ht="14.2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</row>
    <row r="173" ht="14.2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</row>
    <row r="174" ht="14.2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</row>
    <row r="175" ht="14.2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</row>
    <row r="176" ht="14.2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</row>
    <row r="177" ht="14.2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</row>
    <row r="178" ht="14.2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</row>
    <row r="179" ht="14.2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</row>
    <row r="180" ht="14.2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</row>
    <row r="181" ht="14.2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</row>
    <row r="182" ht="14.2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</row>
    <row r="183" ht="14.2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</row>
    <row r="184" ht="14.2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</row>
    <row r="185" ht="14.2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</row>
    <row r="186" ht="14.2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</row>
    <row r="187" ht="14.2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</row>
    <row r="188" ht="14.2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</row>
    <row r="189" ht="14.2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</row>
    <row r="190" ht="14.2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</row>
    <row r="191" ht="14.2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</row>
    <row r="192" ht="14.2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</row>
    <row r="193" ht="14.2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</row>
    <row r="194" ht="14.2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</row>
    <row r="195" ht="14.2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</row>
    <row r="196" ht="14.2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</row>
    <row r="197" ht="14.2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</row>
    <row r="198" ht="14.2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</row>
    <row r="199" ht="14.2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</row>
    <row r="200" ht="14.2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</row>
    <row r="201" ht="14.2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</row>
    <row r="202" ht="14.2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</row>
    <row r="203" ht="14.2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</row>
    <row r="204" ht="14.2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</row>
    <row r="205" ht="14.2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</row>
    <row r="206" ht="14.2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</row>
    <row r="207" ht="14.2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</row>
    <row r="208" ht="14.2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</row>
    <row r="209" ht="14.2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</row>
    <row r="210" ht="14.2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</row>
    <row r="211" ht="14.2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</row>
    <row r="212" ht="14.2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</row>
    <row r="213" ht="14.2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</row>
    <row r="214" ht="14.2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</row>
    <row r="215" ht="14.2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</row>
    <row r="216" ht="14.2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</row>
    <row r="217" ht="14.2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</row>
    <row r="218" ht="14.2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</row>
    <row r="219" ht="14.2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</row>
    <row r="220" ht="14.2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</row>
    <row r="221" ht="14.2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</row>
    <row r="222" ht="14.2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</row>
    <row r="223" ht="14.2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</row>
    <row r="224" ht="14.2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</row>
    <row r="225" ht="14.2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</row>
    <row r="226" ht="14.2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</row>
    <row r="227" ht="14.2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</row>
    <row r="228" ht="14.2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</row>
    <row r="229" ht="14.2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</row>
    <row r="230" ht="14.2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</row>
    <row r="231" ht="14.2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</row>
    <row r="232" ht="14.2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</row>
    <row r="233" ht="14.2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</row>
    <row r="234" ht="14.2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</row>
    <row r="235" ht="14.2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</row>
    <row r="236" ht="14.2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</row>
    <row r="237" ht="14.2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</row>
    <row r="238" ht="14.2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</row>
    <row r="239" ht="14.2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</row>
    <row r="240" ht="14.2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</row>
    <row r="241" ht="14.2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</row>
    <row r="242" ht="14.2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</row>
    <row r="243" ht="14.2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</row>
    <row r="244" ht="14.2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</row>
    <row r="245" ht="14.2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</row>
    <row r="246" ht="14.2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</row>
    <row r="247" ht="14.2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</row>
    <row r="248" ht="14.2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</row>
    <row r="249" ht="14.2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</row>
    <row r="250" ht="14.2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</row>
    <row r="251" ht="14.2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</row>
    <row r="252" ht="14.2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</row>
    <row r="253" ht="14.2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</row>
    <row r="254" ht="14.2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</row>
    <row r="255" ht="14.2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</row>
    <row r="256" ht="14.2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</row>
    <row r="257" ht="14.2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</row>
    <row r="258" ht="14.2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</row>
    <row r="259" ht="14.2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</row>
    <row r="260" ht="14.2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</row>
    <row r="261" ht="14.2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</row>
    <row r="262" ht="14.2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</row>
    <row r="263" ht="14.2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</row>
    <row r="264" ht="14.2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</row>
    <row r="265" ht="14.2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</row>
    <row r="266" ht="14.2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</row>
    <row r="267" ht="14.2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</row>
    <row r="268" ht="14.2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</row>
    <row r="269" ht="14.2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</row>
    <row r="270" ht="14.2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</row>
    <row r="271" ht="14.25" customHeight="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  <c r="K271" s="208"/>
    </row>
    <row r="272" ht="14.25" customHeight="1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</row>
    <row r="273" ht="14.25" customHeight="1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</row>
    <row r="274" ht="14.25" customHeight="1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  <c r="K274" s="208"/>
    </row>
    <row r="275" ht="14.25" customHeight="1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  <c r="K275" s="208"/>
    </row>
    <row r="276" ht="14.25" customHeight="1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  <c r="K276" s="208"/>
    </row>
    <row r="277" ht="14.25" customHeight="1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  <c r="K277" s="208"/>
    </row>
    <row r="278" ht="14.25" customHeight="1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</row>
    <row r="279" ht="14.25" customHeight="1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  <c r="K279" s="208"/>
    </row>
    <row r="280" ht="14.25" customHeight="1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  <c r="K280" s="208"/>
    </row>
    <row r="281" ht="14.25" customHeight="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  <c r="K281" s="208"/>
    </row>
    <row r="282" ht="14.25" customHeight="1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  <c r="K282" s="208"/>
    </row>
    <row r="283" ht="14.25" customHeight="1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  <c r="K283" s="208"/>
    </row>
    <row r="284" ht="14.25" customHeight="1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</row>
    <row r="285" ht="14.25" customHeight="1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</row>
    <row r="286" ht="14.25" customHeight="1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  <c r="K286" s="208"/>
    </row>
    <row r="287" ht="14.25" customHeight="1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</row>
    <row r="288" ht="14.25" customHeight="1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</row>
    <row r="289" ht="14.25" customHeight="1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  <c r="K289" s="208"/>
    </row>
    <row r="290" ht="14.25" customHeight="1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</row>
    <row r="291" ht="14.25" customHeight="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</row>
    <row r="292" ht="14.25" customHeight="1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  <c r="K292" s="208"/>
    </row>
    <row r="293" ht="14.25" customHeight="1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  <c r="K293" s="208"/>
    </row>
    <row r="294" ht="14.25" customHeight="1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  <c r="K294" s="208"/>
    </row>
    <row r="295" ht="14.25" customHeight="1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  <c r="K295" s="208"/>
    </row>
    <row r="296" ht="14.25" customHeight="1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</row>
    <row r="297" ht="14.25" customHeight="1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</row>
    <row r="298" ht="14.25" customHeight="1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  <c r="K298" s="208"/>
    </row>
    <row r="299" ht="14.25" customHeight="1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  <c r="K299" s="208"/>
    </row>
    <row r="300" ht="14.25" customHeight="1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</row>
    <row r="301" ht="14.25" customHeight="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</row>
    <row r="302" ht="14.25" customHeight="1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</row>
    <row r="303" ht="14.25" customHeight="1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  <c r="K303" s="208"/>
    </row>
    <row r="304" ht="14.25" customHeight="1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  <c r="K304" s="208"/>
    </row>
    <row r="305" ht="14.25" customHeight="1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  <c r="K305" s="208"/>
    </row>
    <row r="306" ht="14.25" customHeight="1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  <c r="K306" s="208"/>
    </row>
    <row r="307" ht="14.25" customHeight="1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  <c r="K307" s="208"/>
    </row>
    <row r="308" ht="14.25" customHeight="1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</row>
    <row r="309" ht="14.25" customHeight="1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  <c r="K309" s="208"/>
    </row>
    <row r="310" ht="14.25" customHeight="1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  <c r="K310" s="208"/>
    </row>
    <row r="311" ht="14.25" customHeight="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  <c r="K311" s="208"/>
    </row>
    <row r="312" ht="14.25" customHeight="1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  <c r="K312" s="208"/>
    </row>
    <row r="313" ht="14.25" customHeight="1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</row>
    <row r="314" ht="14.25" customHeight="1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</row>
    <row r="315" ht="14.25" customHeight="1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  <c r="K315" s="208"/>
    </row>
    <row r="316" ht="14.25" customHeight="1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  <c r="K316" s="208"/>
    </row>
    <row r="317" ht="14.25" customHeight="1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  <c r="K317" s="208"/>
    </row>
    <row r="318" ht="14.25" customHeight="1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  <c r="K318" s="208"/>
    </row>
    <row r="319" ht="14.25" customHeight="1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  <c r="K319" s="208"/>
    </row>
    <row r="320" ht="14.25" customHeight="1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</row>
    <row r="321" ht="14.25" customHeight="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  <c r="K321" s="208"/>
    </row>
    <row r="322" ht="14.25" customHeight="1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  <c r="K322" s="208"/>
    </row>
    <row r="323" ht="14.25" customHeight="1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  <c r="K323" s="208"/>
    </row>
    <row r="324" ht="14.25" customHeight="1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  <c r="K324" s="208"/>
    </row>
    <row r="325" ht="14.25" customHeight="1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  <c r="K325" s="208"/>
    </row>
    <row r="326" ht="14.25" customHeight="1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</row>
    <row r="327" ht="14.25" customHeight="1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  <c r="K327" s="208"/>
    </row>
    <row r="328" ht="14.25" customHeight="1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  <c r="K328" s="208"/>
    </row>
    <row r="329" ht="14.25" customHeight="1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  <c r="K329" s="208"/>
    </row>
    <row r="330" ht="14.25" customHeight="1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  <c r="K330" s="208"/>
    </row>
    <row r="331" ht="14.25" customHeight="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  <c r="K331" s="208"/>
    </row>
    <row r="332" ht="14.25" customHeight="1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</row>
    <row r="333" ht="14.25" customHeight="1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  <c r="K333" s="208"/>
    </row>
    <row r="334" ht="14.25" customHeight="1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  <c r="K334" s="208"/>
    </row>
    <row r="335" ht="14.25" customHeight="1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  <c r="K335" s="208"/>
    </row>
    <row r="336" ht="14.25" customHeight="1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  <c r="K336" s="208"/>
    </row>
    <row r="337" ht="14.25" customHeight="1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  <c r="K337" s="208"/>
    </row>
    <row r="338" ht="14.25" customHeight="1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</row>
    <row r="339" ht="14.25" customHeight="1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  <c r="K339" s="208"/>
    </row>
    <row r="340" ht="14.25" customHeight="1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  <c r="K340" s="208"/>
    </row>
    <row r="341" ht="14.25" customHeight="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  <c r="K341" s="208"/>
    </row>
    <row r="342" ht="14.25" customHeight="1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  <c r="K342" s="208"/>
    </row>
    <row r="343" ht="14.25" customHeight="1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  <c r="K343" s="208"/>
    </row>
    <row r="344" ht="14.25" customHeight="1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</row>
    <row r="345" ht="14.25" customHeight="1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  <c r="K345" s="208"/>
    </row>
    <row r="346" ht="14.25" customHeight="1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  <c r="K346" s="208"/>
    </row>
    <row r="347" ht="14.25" customHeight="1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  <c r="K347" s="208"/>
    </row>
    <row r="348" ht="14.25" customHeight="1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  <c r="K348" s="208"/>
    </row>
    <row r="349" ht="14.25" customHeight="1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  <c r="K349" s="208"/>
    </row>
    <row r="350" ht="14.25" customHeight="1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</row>
    <row r="351" ht="14.25" customHeight="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  <c r="K351" s="208"/>
    </row>
    <row r="352" ht="14.25" customHeight="1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  <c r="K352" s="208"/>
    </row>
    <row r="353" ht="14.25" customHeight="1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  <c r="K353" s="208"/>
    </row>
    <row r="354" ht="14.25" customHeight="1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  <c r="K354" s="208"/>
    </row>
    <row r="355" ht="14.25" customHeight="1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  <c r="K355" s="208"/>
    </row>
    <row r="356" ht="14.25" customHeight="1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</row>
    <row r="357" ht="14.25" customHeight="1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  <c r="K357" s="208"/>
    </row>
    <row r="358" ht="14.25" customHeight="1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  <c r="K358" s="208"/>
    </row>
    <row r="359" ht="14.25" customHeight="1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  <c r="K359" s="208"/>
    </row>
    <row r="360" ht="14.25" customHeight="1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  <c r="K360" s="208"/>
    </row>
    <row r="361" ht="14.25" customHeight="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</row>
    <row r="362" ht="14.25" customHeight="1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</row>
    <row r="363" ht="14.25" customHeight="1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  <c r="K363" s="208"/>
    </row>
    <row r="364" ht="14.25" customHeight="1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  <c r="K364" s="208"/>
    </row>
    <row r="365" ht="14.25" customHeight="1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  <c r="K365" s="208"/>
    </row>
    <row r="366" ht="14.25" customHeight="1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  <c r="K366" s="208"/>
    </row>
    <row r="367" ht="14.25" customHeight="1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  <c r="K367" s="208"/>
    </row>
    <row r="368" ht="14.25" customHeight="1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</row>
    <row r="369" ht="14.25" customHeight="1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  <c r="K369" s="208"/>
    </row>
    <row r="370" ht="14.25" customHeight="1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  <c r="K370" s="208"/>
    </row>
    <row r="371" ht="14.25" customHeight="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  <c r="K371" s="208"/>
    </row>
    <row r="372" ht="14.25" customHeight="1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</row>
    <row r="373" ht="14.25" customHeight="1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  <c r="K373" s="208"/>
    </row>
    <row r="374" ht="14.25" customHeight="1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</row>
    <row r="375" ht="14.25" customHeight="1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  <c r="K375" s="208"/>
    </row>
    <row r="376" ht="14.25" customHeight="1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</row>
    <row r="377" ht="14.25" customHeight="1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  <c r="K377" s="208"/>
    </row>
    <row r="378" ht="14.25" customHeight="1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  <c r="K378" s="208"/>
    </row>
    <row r="379" ht="14.25" customHeight="1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</row>
    <row r="380" ht="14.25" customHeight="1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</row>
    <row r="381" ht="14.25" customHeight="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  <c r="K381" s="208"/>
    </row>
    <row r="382" ht="14.25" customHeight="1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</row>
    <row r="383" ht="14.25" customHeight="1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  <c r="K383" s="208"/>
    </row>
    <row r="384" ht="14.25" customHeight="1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  <c r="K384" s="208"/>
    </row>
    <row r="385" ht="14.25" customHeight="1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  <c r="K385" s="208"/>
    </row>
    <row r="386" ht="14.25" customHeight="1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</row>
    <row r="387" ht="14.25" customHeight="1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  <c r="K387" s="208"/>
    </row>
    <row r="388" ht="14.25" customHeight="1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  <c r="K388" s="208"/>
    </row>
    <row r="389" ht="14.25" customHeight="1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  <c r="K389" s="208"/>
    </row>
    <row r="390" ht="14.25" customHeight="1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  <c r="K390" s="208"/>
    </row>
    <row r="391" ht="14.25" customHeight="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</row>
    <row r="392" ht="14.25" customHeight="1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</row>
    <row r="393" ht="14.25" customHeight="1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  <c r="K393" s="208"/>
    </row>
    <row r="394" ht="14.25" customHeight="1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  <c r="K394" s="208"/>
    </row>
    <row r="395" ht="14.25" customHeight="1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  <c r="K395" s="208"/>
    </row>
    <row r="396" ht="14.25" customHeight="1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  <c r="K396" s="208"/>
    </row>
    <row r="397" ht="14.25" customHeight="1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  <c r="K397" s="208"/>
    </row>
    <row r="398" ht="14.25" customHeight="1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</row>
    <row r="399" ht="14.25" customHeight="1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  <c r="K399" s="208"/>
    </row>
    <row r="400" ht="14.25" customHeight="1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  <c r="K400" s="208"/>
    </row>
    <row r="401" ht="14.25" customHeight="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</row>
    <row r="402" ht="14.25" customHeight="1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  <c r="K402" s="208"/>
    </row>
    <row r="403" ht="14.25" customHeight="1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  <c r="K403" s="208"/>
    </row>
    <row r="404" ht="14.25" customHeight="1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</row>
    <row r="405" ht="14.25" customHeight="1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  <c r="K405" s="208"/>
    </row>
    <row r="406" ht="14.25" customHeight="1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</row>
    <row r="407" ht="14.25" customHeight="1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  <c r="K407" s="208"/>
    </row>
    <row r="408" ht="14.25" customHeight="1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  <c r="K408" s="208"/>
    </row>
    <row r="409" ht="14.25" customHeight="1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  <c r="K409" s="208"/>
    </row>
    <row r="410" ht="14.25" customHeight="1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</row>
    <row r="411" ht="14.25" customHeight="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  <c r="K411" s="208"/>
    </row>
    <row r="412" ht="14.25" customHeight="1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  <c r="K412" s="208"/>
    </row>
    <row r="413" ht="14.25" customHeight="1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  <c r="K413" s="208"/>
    </row>
    <row r="414" ht="14.25" customHeight="1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  <c r="K414" s="208"/>
    </row>
    <row r="415" ht="14.25" customHeight="1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  <c r="K415" s="208"/>
    </row>
    <row r="416" ht="14.25" customHeight="1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</row>
    <row r="417" ht="14.25" customHeight="1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  <c r="K417" s="208"/>
    </row>
    <row r="418" ht="14.25" customHeight="1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  <c r="K418" s="208"/>
    </row>
    <row r="419" ht="14.25" customHeight="1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  <c r="K419" s="208"/>
    </row>
    <row r="420" ht="14.25" customHeight="1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  <c r="K420" s="208"/>
    </row>
    <row r="421" ht="14.25" customHeight="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  <c r="K421" s="208"/>
    </row>
    <row r="422" ht="14.25" customHeight="1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</row>
    <row r="423" ht="14.25" customHeight="1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</row>
    <row r="424" ht="14.25" customHeight="1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  <c r="K424" s="208"/>
    </row>
    <row r="425" ht="14.25" customHeight="1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  <c r="K425" s="208"/>
    </row>
    <row r="426" ht="14.25" customHeight="1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  <c r="K426" s="208"/>
    </row>
    <row r="427" ht="14.25" customHeight="1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  <c r="K427" s="208"/>
    </row>
    <row r="428" ht="14.25" customHeight="1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</row>
    <row r="429" ht="14.25" customHeight="1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  <c r="K429" s="208"/>
    </row>
    <row r="430" ht="14.25" customHeight="1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  <c r="K430" s="208"/>
    </row>
    <row r="431" ht="14.25" customHeight="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  <c r="K431" s="208"/>
    </row>
    <row r="432" ht="14.25" customHeight="1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  <c r="K432" s="208"/>
    </row>
    <row r="433" ht="14.25" customHeight="1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  <c r="K433" s="208"/>
    </row>
    <row r="434" ht="14.25" customHeight="1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</row>
    <row r="435" ht="14.25" customHeight="1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  <c r="K435" s="208"/>
    </row>
    <row r="436" ht="14.25" customHeight="1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  <c r="K436" s="208"/>
    </row>
    <row r="437" ht="14.25" customHeight="1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  <c r="K437" s="208"/>
    </row>
    <row r="438" ht="14.25" customHeight="1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  <c r="K438" s="208"/>
    </row>
    <row r="439" ht="14.25" customHeight="1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</row>
    <row r="440" ht="14.25" customHeight="1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</row>
    <row r="441" ht="14.25" customHeight="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  <c r="K441" s="208"/>
    </row>
    <row r="442" ht="14.25" customHeight="1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  <c r="K442" s="208"/>
    </row>
    <row r="443" ht="14.25" customHeight="1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  <c r="K443" s="208"/>
    </row>
    <row r="444" ht="14.25" customHeight="1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  <c r="K444" s="208"/>
    </row>
    <row r="445" ht="14.25" customHeight="1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  <c r="K445" s="208"/>
    </row>
    <row r="446" ht="14.25" customHeight="1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</row>
    <row r="447" ht="14.25" customHeight="1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  <c r="K447" s="208"/>
    </row>
    <row r="448" ht="14.25" customHeight="1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  <c r="K448" s="208"/>
    </row>
    <row r="449" ht="14.25" customHeight="1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  <c r="K449" s="208"/>
    </row>
    <row r="450" ht="14.25" customHeight="1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  <c r="K450" s="208"/>
    </row>
    <row r="451" ht="14.25" customHeight="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  <c r="K451" s="208"/>
    </row>
    <row r="452" ht="14.25" customHeight="1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</row>
    <row r="453" ht="14.25" customHeight="1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  <c r="K453" s="208"/>
    </row>
    <row r="454" ht="14.25" customHeight="1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  <c r="K454" s="208"/>
    </row>
    <row r="455" ht="14.25" customHeight="1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</row>
    <row r="456" ht="14.25" customHeight="1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  <c r="K456" s="208"/>
    </row>
    <row r="457" ht="14.25" customHeight="1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  <c r="K457" s="208"/>
    </row>
    <row r="458" ht="14.25" customHeight="1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</row>
    <row r="459" ht="14.25" customHeight="1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  <c r="K459" s="208"/>
    </row>
    <row r="460" ht="14.25" customHeight="1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  <c r="K460" s="208"/>
    </row>
    <row r="461" ht="14.25" customHeight="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  <c r="K461" s="208"/>
    </row>
    <row r="462" ht="14.25" customHeight="1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  <c r="K462" s="208"/>
    </row>
    <row r="463" ht="14.25" customHeight="1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  <c r="K463" s="208"/>
    </row>
    <row r="464" ht="14.25" customHeight="1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</row>
    <row r="465" ht="14.25" customHeight="1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  <c r="K465" s="208"/>
    </row>
    <row r="466" ht="14.25" customHeight="1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  <c r="K466" s="208"/>
    </row>
    <row r="467" ht="14.25" customHeight="1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  <c r="K467" s="208"/>
    </row>
    <row r="468" ht="14.25" customHeight="1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  <c r="K468" s="208"/>
    </row>
    <row r="469" ht="14.25" customHeight="1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</row>
    <row r="470" ht="14.25" customHeight="1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</row>
    <row r="471" ht="14.25" customHeight="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  <c r="K471" s="208"/>
    </row>
    <row r="472" ht="14.25" customHeight="1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</row>
    <row r="473" ht="14.25" customHeight="1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  <c r="K473" s="208"/>
    </row>
    <row r="474" ht="14.25" customHeight="1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</row>
    <row r="475" ht="14.25" customHeight="1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</row>
    <row r="476" ht="14.25" customHeight="1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</row>
    <row r="477" ht="14.25" customHeight="1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  <c r="K477" s="208"/>
    </row>
    <row r="478" ht="14.25" customHeight="1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</row>
    <row r="479" ht="14.25" customHeight="1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  <c r="K479" s="208"/>
    </row>
    <row r="480" ht="14.25" customHeight="1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  <c r="K480" s="208"/>
    </row>
    <row r="481" ht="14.25" customHeight="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  <c r="K481" s="208"/>
    </row>
    <row r="482" ht="14.25" customHeight="1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  <c r="K482" s="208"/>
    </row>
    <row r="483" ht="14.25" customHeight="1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  <c r="K483" s="208"/>
    </row>
    <row r="484" ht="14.25" customHeight="1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  <c r="K484" s="208"/>
    </row>
    <row r="485" ht="14.25" customHeight="1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</row>
    <row r="486" ht="14.25" customHeight="1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  <c r="K486" s="208"/>
    </row>
    <row r="487" ht="14.25" customHeight="1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</row>
    <row r="488" ht="14.25" customHeight="1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</row>
    <row r="489" ht="14.25" customHeight="1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  <c r="K489" s="208"/>
    </row>
    <row r="490" ht="14.25" customHeight="1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  <c r="K490" s="208"/>
    </row>
    <row r="491" ht="14.25" customHeight="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  <c r="K491" s="208"/>
    </row>
    <row r="492" ht="14.25" customHeight="1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  <c r="K492" s="208"/>
    </row>
    <row r="493" ht="14.25" customHeight="1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  <c r="K493" s="208"/>
    </row>
    <row r="494" ht="14.25" customHeight="1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</row>
    <row r="495" ht="14.25" customHeight="1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  <c r="K495" s="208"/>
    </row>
    <row r="496" ht="14.25" customHeight="1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  <c r="K496" s="208"/>
    </row>
    <row r="497" ht="14.25" customHeight="1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</row>
    <row r="498" ht="14.25" customHeight="1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  <c r="K498" s="208"/>
    </row>
    <row r="499" ht="14.25" customHeight="1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  <c r="K499" s="208"/>
    </row>
    <row r="500" ht="14.25" customHeight="1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  <c r="K500" s="208"/>
    </row>
    <row r="501" ht="14.25" customHeight="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  <c r="K501" s="208"/>
    </row>
    <row r="502" ht="14.25" customHeight="1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  <c r="K502" s="208"/>
    </row>
    <row r="503" ht="14.25" customHeight="1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  <c r="K503" s="208"/>
    </row>
    <row r="504" ht="14.25" customHeight="1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  <c r="K504" s="208"/>
    </row>
    <row r="505" ht="14.25" customHeight="1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  <c r="K505" s="208"/>
    </row>
    <row r="506" ht="14.25" customHeight="1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  <c r="K506" s="208"/>
    </row>
    <row r="507" ht="14.25" customHeight="1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  <c r="K507" s="208"/>
    </row>
    <row r="508" ht="14.25" customHeight="1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  <c r="K508" s="208"/>
    </row>
    <row r="509" ht="14.25" customHeight="1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  <c r="K509" s="208"/>
    </row>
    <row r="510" ht="14.25" customHeight="1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  <c r="K510" s="208"/>
    </row>
    <row r="511" ht="14.25" customHeight="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  <c r="K511" s="208"/>
    </row>
    <row r="512" ht="14.25" customHeight="1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  <c r="K512" s="208"/>
    </row>
    <row r="513" ht="14.25" customHeight="1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  <c r="K513" s="208"/>
    </row>
    <row r="514" ht="14.25" customHeight="1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  <c r="K514" s="208"/>
    </row>
    <row r="515" ht="14.25" customHeight="1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  <c r="K515" s="208"/>
    </row>
    <row r="516" ht="14.25" customHeight="1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  <c r="K516" s="208"/>
    </row>
    <row r="517" ht="14.25" customHeight="1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  <c r="K517" s="208"/>
    </row>
    <row r="518" ht="14.25" customHeight="1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  <c r="K518" s="208"/>
    </row>
    <row r="519" ht="14.25" customHeight="1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  <c r="K519" s="208"/>
    </row>
    <row r="520" ht="14.25" customHeight="1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  <c r="K520" s="208"/>
    </row>
    <row r="521" ht="14.25" customHeight="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  <c r="K521" s="208"/>
    </row>
    <row r="522" ht="14.25" customHeight="1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  <c r="K522" s="208"/>
    </row>
    <row r="523" ht="14.25" customHeight="1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  <c r="K523" s="208"/>
    </row>
    <row r="524" ht="14.25" customHeight="1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  <c r="K524" s="208"/>
    </row>
    <row r="525" ht="14.25" customHeight="1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  <c r="K525" s="208"/>
    </row>
    <row r="526" ht="14.25" customHeight="1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  <c r="K526" s="208"/>
    </row>
    <row r="527" ht="14.25" customHeight="1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  <c r="K527" s="208"/>
    </row>
    <row r="528" ht="14.25" customHeight="1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  <c r="K528" s="208"/>
    </row>
    <row r="529" ht="14.25" customHeight="1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  <c r="K529" s="208"/>
    </row>
    <row r="530" ht="14.25" customHeight="1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  <c r="K530" s="208"/>
    </row>
    <row r="531" ht="14.25" customHeight="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  <c r="K531" s="208"/>
    </row>
    <row r="532" ht="14.25" customHeight="1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  <c r="K532" s="208"/>
    </row>
    <row r="533" ht="14.25" customHeight="1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  <c r="K533" s="208"/>
    </row>
    <row r="534" ht="14.25" customHeight="1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  <c r="K534" s="208"/>
    </row>
    <row r="535" ht="14.25" customHeight="1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  <c r="K535" s="208"/>
    </row>
    <row r="536" ht="14.25" customHeight="1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  <c r="K536" s="208"/>
    </row>
    <row r="537" ht="14.25" customHeight="1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  <c r="K537" s="208"/>
    </row>
    <row r="538" ht="14.25" customHeight="1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  <c r="K538" s="208"/>
    </row>
    <row r="539" ht="14.25" customHeight="1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  <c r="K539" s="208"/>
    </row>
    <row r="540" ht="14.25" customHeight="1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  <c r="K540" s="208"/>
    </row>
    <row r="541" ht="14.25" customHeight="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  <c r="K541" s="208"/>
    </row>
    <row r="542" ht="14.25" customHeight="1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  <c r="K542" s="208"/>
    </row>
    <row r="543" ht="14.25" customHeight="1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  <c r="K543" s="208"/>
    </row>
    <row r="544" ht="14.25" customHeight="1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  <c r="K544" s="208"/>
    </row>
    <row r="545" ht="14.25" customHeight="1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</row>
    <row r="546" ht="14.25" customHeight="1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  <c r="K546" s="208"/>
    </row>
    <row r="547" ht="14.25" customHeight="1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  <c r="K547" s="208"/>
    </row>
    <row r="548" ht="14.25" customHeight="1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  <c r="K548" s="208"/>
    </row>
    <row r="549" ht="14.25" customHeight="1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  <c r="K549" s="208"/>
    </row>
    <row r="550" ht="14.25" customHeight="1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  <c r="K550" s="208"/>
    </row>
    <row r="551" ht="14.25" customHeight="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  <c r="K551" s="208"/>
    </row>
    <row r="552" ht="14.25" customHeight="1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  <c r="K552" s="208"/>
    </row>
    <row r="553" ht="14.25" customHeight="1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  <c r="K553" s="208"/>
    </row>
    <row r="554" ht="14.25" customHeight="1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</row>
    <row r="555" ht="14.25" customHeight="1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  <c r="K555" s="208"/>
    </row>
    <row r="556" ht="14.25" customHeight="1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  <c r="K556" s="208"/>
    </row>
    <row r="557" ht="14.25" customHeight="1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  <c r="K557" s="208"/>
    </row>
    <row r="558" ht="14.25" customHeight="1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  <c r="K558" s="208"/>
    </row>
    <row r="559" ht="14.25" customHeight="1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  <c r="K559" s="208"/>
    </row>
    <row r="560" ht="14.25" customHeight="1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  <c r="K560" s="208"/>
    </row>
    <row r="561" ht="14.25" customHeight="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</row>
    <row r="562" ht="14.25" customHeight="1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</row>
    <row r="563" ht="14.25" customHeight="1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  <c r="K563" s="208"/>
    </row>
    <row r="564" ht="14.25" customHeight="1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  <c r="K564" s="208"/>
    </row>
    <row r="565" ht="14.25" customHeight="1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  <c r="K565" s="208"/>
    </row>
    <row r="566" ht="14.25" customHeight="1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  <c r="K566" s="208"/>
    </row>
    <row r="567" ht="14.25" customHeight="1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  <c r="K567" s="208"/>
    </row>
    <row r="568" ht="14.25" customHeight="1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  <c r="K568" s="208"/>
    </row>
    <row r="569" ht="14.25" customHeight="1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</row>
    <row r="570" ht="14.25" customHeight="1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  <c r="K570" s="208"/>
    </row>
    <row r="571" ht="14.25" customHeight="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  <c r="K571" s="208"/>
    </row>
    <row r="572" ht="14.25" customHeight="1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  <c r="K572" s="208"/>
    </row>
    <row r="573" ht="14.25" customHeight="1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</row>
    <row r="574" ht="14.25" customHeight="1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  <c r="K574" s="208"/>
    </row>
    <row r="575" ht="14.25" customHeight="1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  <c r="K575" s="208"/>
    </row>
    <row r="576" ht="14.25" customHeight="1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  <c r="K576" s="208"/>
    </row>
    <row r="577" ht="14.25" customHeight="1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  <c r="K577" s="208"/>
    </row>
    <row r="578" ht="14.25" customHeight="1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  <c r="K578" s="208"/>
    </row>
    <row r="579" ht="14.25" customHeight="1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  <c r="K579" s="208"/>
    </row>
    <row r="580" ht="14.25" customHeight="1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  <c r="K580" s="208"/>
    </row>
    <row r="581" ht="14.25" customHeight="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  <c r="K581" s="208"/>
    </row>
    <row r="582" ht="14.25" customHeight="1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  <c r="K582" s="208"/>
    </row>
    <row r="583" ht="14.25" customHeight="1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  <c r="K583" s="208"/>
    </row>
    <row r="584" ht="14.25" customHeight="1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  <c r="K584" s="208"/>
    </row>
    <row r="585" ht="14.25" customHeight="1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  <c r="K585" s="208"/>
    </row>
    <row r="586" ht="14.25" customHeight="1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  <c r="K586" s="208"/>
    </row>
    <row r="587" ht="14.25" customHeight="1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  <c r="K587" s="208"/>
    </row>
    <row r="588" ht="14.25" customHeight="1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  <c r="K588" s="208"/>
    </row>
    <row r="589" ht="14.25" customHeight="1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  <c r="K589" s="208"/>
    </row>
    <row r="590" ht="14.25" customHeight="1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  <c r="K590" s="208"/>
    </row>
    <row r="591" ht="14.25" customHeight="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  <c r="K591" s="208"/>
    </row>
    <row r="592" ht="14.25" customHeight="1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  <c r="K592" s="208"/>
    </row>
    <row r="593" ht="14.25" customHeight="1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  <c r="K593" s="208"/>
    </row>
    <row r="594" ht="14.25" customHeight="1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  <c r="K594" s="208"/>
    </row>
    <row r="595" ht="14.25" customHeight="1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  <c r="K595" s="208"/>
    </row>
    <row r="596" ht="14.25" customHeight="1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  <c r="K596" s="208"/>
    </row>
    <row r="597" ht="14.25" customHeight="1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  <c r="K597" s="208"/>
    </row>
    <row r="598" ht="14.25" customHeight="1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  <c r="K598" s="208"/>
    </row>
    <row r="599" ht="14.25" customHeight="1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  <c r="K599" s="208"/>
    </row>
    <row r="600" ht="14.25" customHeight="1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  <c r="K600" s="208"/>
    </row>
    <row r="601" ht="14.25" customHeight="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  <c r="K601" s="208"/>
    </row>
    <row r="602" ht="14.25" customHeight="1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  <c r="K602" s="208"/>
    </row>
    <row r="603" ht="14.25" customHeight="1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  <c r="K603" s="208"/>
    </row>
    <row r="604" ht="14.25" customHeight="1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  <c r="K604" s="208"/>
    </row>
    <row r="605" ht="14.25" customHeight="1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  <c r="K605" s="208"/>
    </row>
    <row r="606" ht="14.25" customHeight="1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  <c r="K606" s="208"/>
    </row>
    <row r="607" ht="14.25" customHeight="1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  <c r="K607" s="208"/>
    </row>
    <row r="608" ht="14.25" customHeight="1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  <c r="K608" s="208"/>
    </row>
    <row r="609" ht="14.25" customHeight="1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  <c r="K609" s="208"/>
    </row>
    <row r="610" ht="14.25" customHeight="1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  <c r="K610" s="208"/>
    </row>
    <row r="611" ht="14.25" customHeight="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  <c r="K611" s="208"/>
    </row>
    <row r="612" ht="14.25" customHeight="1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</row>
    <row r="613" ht="14.25" customHeight="1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  <c r="K613" s="208"/>
    </row>
    <row r="614" ht="14.25" customHeight="1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</row>
    <row r="615" ht="14.25" customHeight="1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</row>
    <row r="616" ht="14.25" customHeight="1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  <c r="K616" s="208"/>
    </row>
    <row r="617" ht="14.25" customHeight="1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  <c r="K617" s="208"/>
    </row>
    <row r="618" ht="14.25" customHeight="1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</row>
    <row r="619" ht="14.25" customHeight="1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  <c r="K619" s="208"/>
    </row>
    <row r="620" ht="14.25" customHeight="1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  <c r="K620" s="208"/>
    </row>
    <row r="621" ht="14.25" customHeight="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  <c r="K621" s="208"/>
    </row>
    <row r="622" ht="14.25" customHeight="1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  <c r="K622" s="208"/>
    </row>
    <row r="623" ht="14.25" customHeight="1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  <c r="K623" s="208"/>
    </row>
    <row r="624" ht="14.25" customHeight="1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  <c r="K624" s="208"/>
    </row>
    <row r="625" ht="14.25" customHeight="1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  <c r="K625" s="208"/>
    </row>
    <row r="626" ht="14.25" customHeight="1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</row>
    <row r="627" ht="14.25" customHeight="1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  <c r="K627" s="208"/>
    </row>
    <row r="628" ht="14.25" customHeight="1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  <c r="K628" s="208"/>
    </row>
    <row r="629" ht="14.25" customHeight="1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  <c r="K629" s="208"/>
    </row>
    <row r="630" ht="14.25" customHeight="1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  <c r="K630" s="208"/>
    </row>
    <row r="631" ht="14.25" customHeight="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  <c r="K631" s="208"/>
    </row>
    <row r="632" ht="14.25" customHeight="1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  <c r="K632" s="208"/>
    </row>
    <row r="633" ht="14.25" customHeight="1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  <c r="K633" s="208"/>
    </row>
    <row r="634" ht="14.25" customHeight="1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  <c r="K634" s="208"/>
    </row>
    <row r="635" ht="14.25" customHeight="1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  <c r="K635" s="208"/>
    </row>
    <row r="636" ht="14.25" customHeight="1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  <c r="K636" s="208"/>
    </row>
    <row r="637" ht="14.25" customHeight="1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  <c r="K637" s="208"/>
    </row>
    <row r="638" ht="14.25" customHeight="1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  <c r="K638" s="208"/>
    </row>
    <row r="639" ht="14.25" customHeight="1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  <c r="K639" s="208"/>
    </row>
    <row r="640" ht="14.25" customHeight="1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  <c r="K640" s="208"/>
    </row>
    <row r="641" ht="14.25" customHeight="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  <c r="K641" s="208"/>
    </row>
    <row r="642" ht="14.25" customHeight="1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  <c r="K642" s="208"/>
    </row>
    <row r="643" ht="14.25" customHeight="1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  <c r="K643" s="208"/>
    </row>
    <row r="644" ht="14.25" customHeight="1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</row>
    <row r="645" ht="14.25" customHeight="1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  <c r="K645" s="208"/>
    </row>
    <row r="646" ht="14.25" customHeight="1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  <c r="K646" s="208"/>
    </row>
    <row r="647" ht="14.25" customHeight="1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  <c r="K647" s="208"/>
    </row>
    <row r="648" ht="14.25" customHeight="1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  <c r="K648" s="208"/>
    </row>
    <row r="649" ht="14.25" customHeight="1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  <c r="K649" s="208"/>
    </row>
    <row r="650" ht="14.25" customHeight="1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  <c r="K650" s="208"/>
    </row>
    <row r="651" ht="14.25" customHeight="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  <c r="K651" s="208"/>
    </row>
    <row r="652" ht="14.25" customHeight="1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  <c r="K652" s="208"/>
    </row>
    <row r="653" ht="14.25" customHeight="1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  <c r="K653" s="208"/>
    </row>
    <row r="654" ht="14.25" customHeight="1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  <c r="K654" s="208"/>
    </row>
    <row r="655" ht="14.25" customHeight="1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  <c r="K655" s="208"/>
    </row>
    <row r="656" ht="14.25" customHeight="1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  <c r="K656" s="208"/>
    </row>
    <row r="657" ht="14.25" customHeight="1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  <c r="K657" s="208"/>
    </row>
    <row r="658" ht="14.25" customHeight="1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  <c r="K658" s="208"/>
    </row>
    <row r="659" ht="14.25" customHeight="1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  <c r="K659" s="208"/>
    </row>
    <row r="660" ht="14.25" customHeight="1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  <c r="K660" s="208"/>
    </row>
    <row r="661" ht="14.25" customHeight="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  <c r="K661" s="208"/>
    </row>
    <row r="662" ht="14.25" customHeight="1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  <c r="K662" s="208"/>
    </row>
    <row r="663" ht="14.25" customHeight="1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  <c r="K663" s="208"/>
    </row>
    <row r="664" ht="14.25" customHeight="1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  <c r="K664" s="208"/>
    </row>
    <row r="665" ht="14.25" customHeight="1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  <c r="K665" s="208"/>
    </row>
    <row r="666" ht="14.25" customHeight="1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</row>
    <row r="667" ht="14.25" customHeight="1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  <c r="K667" s="208"/>
    </row>
    <row r="668" ht="14.25" customHeight="1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  <c r="K668" s="208"/>
    </row>
    <row r="669" ht="14.25" customHeight="1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  <c r="K669" s="208"/>
    </row>
    <row r="670" ht="14.25" customHeight="1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  <c r="K670" s="208"/>
    </row>
    <row r="671" ht="14.25" customHeight="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  <c r="K671" s="208"/>
    </row>
    <row r="672" ht="14.25" customHeight="1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  <c r="K672" s="208"/>
    </row>
    <row r="673" ht="14.25" customHeight="1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</row>
    <row r="674" ht="14.25" customHeight="1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  <c r="K674" s="208"/>
    </row>
    <row r="675" ht="14.25" customHeight="1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  <c r="K675" s="208"/>
    </row>
    <row r="676" ht="14.25" customHeight="1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  <c r="K676" s="208"/>
    </row>
    <row r="677" ht="14.25" customHeight="1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  <c r="K677" s="208"/>
    </row>
    <row r="678" ht="14.25" customHeight="1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  <c r="K678" s="208"/>
    </row>
    <row r="679" ht="14.25" customHeight="1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  <c r="K679" s="208"/>
    </row>
    <row r="680" ht="14.25" customHeight="1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  <c r="K680" s="208"/>
    </row>
    <row r="681" ht="14.25" customHeight="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  <c r="K681" s="208"/>
    </row>
    <row r="682" ht="14.25" customHeight="1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  <c r="K682" s="208"/>
    </row>
    <row r="683" ht="14.25" customHeight="1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  <c r="K683" s="208"/>
    </row>
    <row r="684" ht="14.25" customHeight="1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  <c r="K684" s="208"/>
    </row>
    <row r="685" ht="14.25" customHeight="1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  <c r="K685" s="208"/>
    </row>
    <row r="686" ht="14.25" customHeight="1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  <c r="K686" s="208"/>
    </row>
    <row r="687" ht="14.25" customHeight="1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  <c r="K687" s="208"/>
    </row>
    <row r="688" ht="14.25" customHeight="1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  <c r="K688" s="208"/>
    </row>
    <row r="689" ht="14.25" customHeight="1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  <c r="K689" s="208"/>
    </row>
    <row r="690" ht="14.25" customHeight="1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  <c r="K690" s="208"/>
    </row>
    <row r="691" ht="14.25" customHeight="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  <c r="K691" s="208"/>
    </row>
    <row r="692" ht="14.25" customHeight="1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  <c r="K692" s="208"/>
    </row>
    <row r="693" ht="14.25" customHeight="1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  <c r="K693" s="208"/>
    </row>
    <row r="694" ht="14.25" customHeight="1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  <c r="K694" s="208"/>
    </row>
    <row r="695" ht="14.25" customHeight="1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  <c r="K695" s="208"/>
    </row>
    <row r="696" ht="14.25" customHeight="1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  <c r="K696" s="208"/>
    </row>
    <row r="697" ht="14.25" customHeight="1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  <c r="K697" s="208"/>
    </row>
    <row r="698" ht="14.25" customHeight="1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  <c r="K698" s="208"/>
    </row>
    <row r="699" ht="14.25" customHeight="1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  <c r="K699" s="208"/>
    </row>
    <row r="700" ht="14.25" customHeight="1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</row>
    <row r="701" ht="14.25" customHeight="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  <c r="K701" s="208"/>
    </row>
    <row r="702" ht="14.25" customHeight="1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  <c r="K702" s="208"/>
    </row>
    <row r="703" ht="14.25" customHeight="1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  <c r="K703" s="208"/>
    </row>
    <row r="704" ht="14.25" customHeight="1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</row>
    <row r="705" ht="14.25" customHeight="1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  <c r="K705" s="208"/>
    </row>
    <row r="706" ht="14.25" customHeight="1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  <c r="K706" s="208"/>
    </row>
    <row r="707" ht="14.25" customHeight="1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  <c r="K707" s="208"/>
    </row>
    <row r="708" ht="14.25" customHeight="1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  <c r="K708" s="208"/>
    </row>
    <row r="709" ht="14.25" customHeight="1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  <c r="K709" s="208"/>
    </row>
    <row r="710" ht="14.25" customHeight="1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</row>
    <row r="711" ht="14.25" customHeight="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  <c r="K711" s="208"/>
    </row>
    <row r="712" ht="14.25" customHeight="1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  <c r="K712" s="208"/>
    </row>
    <row r="713" ht="14.25" customHeight="1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  <c r="K713" s="208"/>
    </row>
    <row r="714" ht="14.25" customHeight="1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  <c r="K714" s="208"/>
    </row>
    <row r="715" ht="14.25" customHeight="1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  <c r="K715" s="208"/>
    </row>
    <row r="716" ht="14.25" customHeight="1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  <c r="K716" s="208"/>
    </row>
    <row r="717" ht="14.25" customHeight="1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  <c r="K717" s="208"/>
    </row>
    <row r="718" ht="14.25" customHeight="1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  <c r="K718" s="208"/>
    </row>
    <row r="719" ht="14.25" customHeight="1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  <c r="K719" s="208"/>
    </row>
    <row r="720" ht="14.25" customHeight="1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  <c r="K720" s="208"/>
    </row>
    <row r="721" ht="14.25" customHeight="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</row>
    <row r="722" ht="14.25" customHeight="1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  <c r="K722" s="208"/>
    </row>
    <row r="723" ht="14.25" customHeight="1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  <c r="K723" s="208"/>
    </row>
    <row r="724" ht="14.25" customHeight="1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  <c r="K724" s="208"/>
    </row>
    <row r="725" ht="14.25" customHeight="1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  <c r="K725" s="208"/>
    </row>
    <row r="726" ht="14.25" customHeight="1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  <c r="K726" s="208"/>
    </row>
    <row r="727" ht="14.25" customHeight="1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</row>
    <row r="728" ht="14.25" customHeight="1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  <c r="K728" s="208"/>
    </row>
    <row r="729" ht="14.25" customHeight="1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  <c r="K729" s="208"/>
    </row>
    <row r="730" ht="14.25" customHeight="1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  <c r="K730" s="208"/>
    </row>
    <row r="731" ht="14.25" customHeight="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  <c r="K731" s="208"/>
    </row>
    <row r="732" ht="14.25" customHeight="1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</row>
    <row r="733" ht="14.25" customHeight="1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  <c r="K733" s="208"/>
    </row>
    <row r="734" ht="14.25" customHeight="1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  <c r="K734" s="208"/>
    </row>
    <row r="735" ht="14.25" customHeight="1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  <c r="K735" s="208"/>
    </row>
    <row r="736" ht="14.25" customHeight="1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  <c r="K736" s="208"/>
    </row>
    <row r="737" ht="14.25" customHeight="1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  <c r="K737" s="208"/>
    </row>
    <row r="738" ht="14.25" customHeight="1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  <c r="K738" s="208"/>
    </row>
    <row r="739" ht="14.25" customHeight="1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  <c r="K739" s="208"/>
    </row>
    <row r="740" ht="14.25" customHeight="1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</row>
    <row r="741" ht="14.25" customHeight="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  <c r="K741" s="208"/>
    </row>
    <row r="742" ht="14.25" customHeight="1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  <c r="K742" s="208"/>
    </row>
    <row r="743" ht="14.25" customHeight="1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  <c r="K743" s="208"/>
    </row>
    <row r="744" ht="14.25" customHeight="1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  <c r="K744" s="208"/>
    </row>
    <row r="745" ht="14.25" customHeight="1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  <c r="K745" s="208"/>
    </row>
    <row r="746" ht="14.25" customHeight="1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  <c r="K746" s="208"/>
    </row>
    <row r="747" ht="14.25" customHeight="1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</row>
    <row r="748" ht="14.25" customHeight="1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  <c r="K748" s="208"/>
    </row>
    <row r="749" ht="14.25" customHeight="1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  <c r="K749" s="208"/>
    </row>
    <row r="750" ht="14.25" customHeight="1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  <c r="K750" s="208"/>
    </row>
    <row r="751" ht="14.25" customHeight="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  <c r="K751" s="208"/>
    </row>
    <row r="752" ht="14.25" customHeight="1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  <c r="K752" s="208"/>
    </row>
    <row r="753" ht="14.25" customHeight="1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</row>
    <row r="754" ht="14.25" customHeight="1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  <c r="K754" s="208"/>
    </row>
    <row r="755" ht="14.25" customHeight="1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  <c r="K755" s="208"/>
    </row>
    <row r="756" ht="14.25" customHeight="1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  <c r="K756" s="208"/>
    </row>
    <row r="757" ht="14.25" customHeight="1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  <c r="K757" s="208"/>
    </row>
    <row r="758" ht="14.25" customHeight="1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</row>
    <row r="759" ht="14.25" customHeight="1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  <c r="K759" s="208"/>
    </row>
    <row r="760" ht="14.25" customHeight="1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  <c r="K760" s="208"/>
    </row>
    <row r="761" ht="14.25" customHeight="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</row>
    <row r="762" ht="14.25" customHeight="1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  <c r="K762" s="208"/>
    </row>
    <row r="763" ht="14.25" customHeight="1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  <c r="K763" s="208"/>
    </row>
    <row r="764" ht="14.25" customHeight="1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  <c r="K764" s="208"/>
    </row>
    <row r="765" ht="14.25" customHeight="1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  <c r="K765" s="208"/>
    </row>
    <row r="766" ht="14.25" customHeight="1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  <c r="K766" s="208"/>
    </row>
    <row r="767" ht="14.25" customHeight="1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  <c r="K767" s="208"/>
    </row>
    <row r="768" ht="14.25" customHeight="1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  <c r="K768" s="208"/>
    </row>
    <row r="769" ht="14.25" customHeight="1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  <c r="K769" s="208"/>
    </row>
    <row r="770" ht="14.25" customHeight="1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  <c r="K770" s="208"/>
    </row>
    <row r="771" ht="14.25" customHeight="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  <c r="K771" s="208"/>
    </row>
    <row r="772" ht="14.25" customHeight="1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  <c r="K772" s="208"/>
    </row>
    <row r="773" ht="14.25" customHeight="1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  <c r="K773" s="208"/>
    </row>
    <row r="774" ht="14.25" customHeight="1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  <c r="K774" s="208"/>
    </row>
    <row r="775" ht="14.25" customHeight="1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  <c r="K775" s="208"/>
    </row>
    <row r="776" ht="14.25" customHeight="1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  <c r="K776" s="208"/>
    </row>
    <row r="777" ht="14.25" customHeight="1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  <c r="K777" s="208"/>
    </row>
    <row r="778" ht="14.25" customHeight="1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  <c r="K778" s="208"/>
    </row>
    <row r="779" ht="14.25" customHeight="1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  <c r="K779" s="208"/>
    </row>
    <row r="780" ht="14.25" customHeight="1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  <c r="K780" s="208"/>
    </row>
    <row r="781" ht="14.25" customHeight="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  <c r="K781" s="208"/>
    </row>
    <row r="782" ht="14.25" customHeight="1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  <c r="K782" s="208"/>
    </row>
    <row r="783" ht="14.25" customHeight="1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  <c r="K783" s="208"/>
    </row>
    <row r="784" ht="14.25" customHeight="1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  <c r="K784" s="208"/>
    </row>
    <row r="785" ht="14.25" customHeight="1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</row>
    <row r="786" ht="14.25" customHeight="1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  <c r="K786" s="208"/>
    </row>
    <row r="787" ht="14.25" customHeight="1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  <c r="K787" s="208"/>
    </row>
    <row r="788" ht="14.25" customHeight="1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  <c r="K788" s="208"/>
    </row>
    <row r="789" ht="14.25" customHeight="1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  <c r="K789" s="208"/>
    </row>
    <row r="790" ht="14.25" customHeight="1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  <c r="K790" s="208"/>
    </row>
    <row r="791" ht="14.25" customHeight="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  <c r="K791" s="208"/>
    </row>
    <row r="792" ht="14.25" customHeight="1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  <c r="K792" s="208"/>
    </row>
    <row r="793" ht="14.25" customHeight="1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  <c r="K793" s="208"/>
    </row>
    <row r="794" ht="14.25" customHeight="1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  <c r="K794" s="208"/>
    </row>
    <row r="795" ht="14.25" customHeight="1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  <c r="K795" s="208"/>
    </row>
    <row r="796" ht="14.25" customHeight="1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  <c r="K796" s="208"/>
    </row>
    <row r="797" ht="14.25" customHeight="1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  <c r="K797" s="208"/>
    </row>
    <row r="798" ht="14.25" customHeight="1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  <c r="K798" s="208"/>
    </row>
    <row r="799" ht="14.25" customHeight="1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  <c r="K799" s="208"/>
    </row>
    <row r="800" ht="14.25" customHeight="1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  <c r="K800" s="208"/>
    </row>
    <row r="801" ht="14.25" customHeight="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  <c r="K801" s="208"/>
    </row>
    <row r="802" ht="14.25" customHeight="1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  <c r="K802" s="208"/>
    </row>
    <row r="803" ht="14.25" customHeight="1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  <c r="K803" s="208"/>
    </row>
    <row r="804" ht="14.25" customHeight="1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  <c r="K804" s="208"/>
    </row>
    <row r="805" ht="14.25" customHeight="1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  <c r="K805" s="208"/>
    </row>
    <row r="806" ht="14.25" customHeight="1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  <c r="K806" s="208"/>
    </row>
    <row r="807" ht="14.25" customHeight="1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  <c r="K807" s="208"/>
    </row>
    <row r="808" ht="14.25" customHeight="1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  <c r="K808" s="208"/>
    </row>
    <row r="809" ht="14.25" customHeight="1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  <c r="K809" s="208"/>
    </row>
    <row r="810" ht="14.25" customHeight="1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</row>
    <row r="811" ht="14.25" customHeight="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  <c r="K811" s="208"/>
    </row>
    <row r="812" ht="14.25" customHeight="1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  <c r="K812" s="208"/>
    </row>
    <row r="813" ht="14.25" customHeight="1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  <c r="K813" s="208"/>
    </row>
    <row r="814" ht="14.25" customHeight="1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  <c r="K814" s="208"/>
    </row>
    <row r="815" ht="14.25" customHeight="1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  <c r="K815" s="208"/>
    </row>
    <row r="816" ht="14.25" customHeight="1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  <c r="K816" s="208"/>
    </row>
    <row r="817" ht="14.25" customHeight="1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  <c r="K817" s="208"/>
    </row>
    <row r="818" ht="14.25" customHeight="1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  <c r="K818" s="208"/>
    </row>
    <row r="819" ht="14.25" customHeight="1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  <c r="K819" s="208"/>
    </row>
    <row r="820" ht="14.25" customHeight="1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  <c r="K820" s="208"/>
    </row>
    <row r="821" ht="14.25" customHeight="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  <c r="K821" s="208"/>
    </row>
    <row r="822" ht="14.25" customHeight="1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  <c r="K822" s="208"/>
    </row>
    <row r="823" ht="14.25" customHeight="1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  <c r="K823" s="208"/>
    </row>
    <row r="824" ht="14.25" customHeight="1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  <c r="K824" s="208"/>
    </row>
    <row r="825" ht="14.25" customHeight="1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  <c r="K825" s="208"/>
    </row>
    <row r="826" ht="14.25" customHeight="1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  <c r="K826" s="208"/>
    </row>
    <row r="827" ht="14.25" customHeight="1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  <c r="K827" s="208"/>
    </row>
    <row r="828" ht="14.25" customHeight="1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</row>
    <row r="829" ht="14.25" customHeight="1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  <c r="K829" s="208"/>
    </row>
    <row r="830" ht="14.25" customHeight="1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  <c r="K830" s="208"/>
    </row>
    <row r="831" ht="14.25" customHeight="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  <c r="K831" s="208"/>
    </row>
    <row r="832" ht="14.25" customHeight="1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  <c r="K832" s="208"/>
    </row>
    <row r="833" ht="14.25" customHeight="1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  <c r="K833" s="208"/>
    </row>
    <row r="834" ht="14.25" customHeight="1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  <c r="K834" s="208"/>
    </row>
    <row r="835" ht="14.25" customHeight="1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  <c r="K835" s="208"/>
    </row>
    <row r="836" ht="14.25" customHeight="1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  <c r="K836" s="208"/>
    </row>
    <row r="837" ht="14.25" customHeight="1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  <c r="K837" s="208"/>
    </row>
    <row r="838" ht="14.25" customHeight="1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  <c r="K838" s="208"/>
    </row>
    <row r="839" ht="14.25" customHeight="1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  <c r="K839" s="208"/>
    </row>
    <row r="840" ht="14.25" customHeight="1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  <c r="K840" s="208"/>
    </row>
    <row r="841" ht="14.25" customHeight="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  <c r="K841" s="208"/>
    </row>
    <row r="842" ht="14.25" customHeight="1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  <c r="K842" s="208"/>
    </row>
    <row r="843" ht="14.25" customHeight="1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  <c r="K843" s="208"/>
    </row>
    <row r="844" ht="14.25" customHeight="1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  <c r="K844" s="208"/>
    </row>
    <row r="845" ht="14.25" customHeight="1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  <c r="K845" s="208"/>
    </row>
    <row r="846" ht="14.25" customHeight="1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  <c r="K846" s="208"/>
    </row>
    <row r="847" ht="14.25" customHeight="1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  <c r="K847" s="208"/>
    </row>
    <row r="848" ht="14.25" customHeight="1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  <c r="K848" s="208"/>
    </row>
    <row r="849" ht="14.25" customHeight="1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  <c r="K849" s="208"/>
    </row>
    <row r="850" ht="14.25" customHeight="1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  <c r="K850" s="208"/>
    </row>
    <row r="851" ht="14.25" customHeight="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  <c r="K851" s="208"/>
    </row>
    <row r="852" ht="14.25" customHeight="1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  <c r="K852" s="208"/>
    </row>
    <row r="853" ht="14.25" customHeight="1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  <c r="K853" s="208"/>
    </row>
    <row r="854" ht="14.25" customHeight="1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  <c r="K854" s="208"/>
    </row>
    <row r="855" ht="14.25" customHeight="1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  <c r="K855" s="208"/>
    </row>
    <row r="856" ht="14.25" customHeight="1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</row>
    <row r="857" ht="14.25" customHeight="1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  <c r="K857" s="208"/>
    </row>
    <row r="858" ht="14.25" customHeight="1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  <c r="K858" s="208"/>
    </row>
    <row r="859" ht="14.25" customHeight="1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  <c r="K859" s="208"/>
    </row>
    <row r="860" ht="14.25" customHeight="1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  <c r="K860" s="208"/>
    </row>
    <row r="861" ht="14.25" customHeight="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  <c r="K861" s="208"/>
    </row>
    <row r="862" ht="14.25" customHeight="1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  <c r="K862" s="208"/>
    </row>
    <row r="863" ht="14.25" customHeight="1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  <c r="K863" s="208"/>
    </row>
    <row r="864" ht="14.25" customHeight="1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  <c r="K864" s="208"/>
    </row>
    <row r="865" ht="14.25" customHeight="1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  <c r="K865" s="208"/>
    </row>
    <row r="866" ht="14.25" customHeight="1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  <c r="K866" s="208"/>
    </row>
    <row r="867" ht="14.25" customHeight="1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  <c r="K867" s="208"/>
    </row>
    <row r="868" ht="14.25" customHeight="1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  <c r="K868" s="208"/>
    </row>
    <row r="869" ht="14.25" customHeight="1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  <c r="K869" s="208"/>
    </row>
    <row r="870" ht="14.25" customHeight="1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  <c r="K870" s="208"/>
    </row>
    <row r="871" ht="14.25" customHeight="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  <c r="K871" s="208"/>
    </row>
    <row r="872" ht="14.25" customHeight="1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  <c r="K872" s="208"/>
    </row>
    <row r="873" ht="14.25" customHeight="1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  <c r="K873" s="208"/>
    </row>
    <row r="874" ht="14.25" customHeight="1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  <c r="K874" s="208"/>
    </row>
    <row r="875" ht="14.25" customHeight="1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  <c r="K875" s="208"/>
    </row>
    <row r="876" ht="14.25" customHeight="1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  <c r="K876" s="208"/>
    </row>
    <row r="877" ht="14.25" customHeight="1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  <c r="K877" s="208"/>
    </row>
    <row r="878" ht="14.25" customHeight="1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  <c r="K878" s="208"/>
    </row>
    <row r="879" ht="14.25" customHeight="1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  <c r="K879" s="208"/>
    </row>
    <row r="880" ht="14.25" customHeight="1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  <c r="K880" s="208"/>
    </row>
    <row r="881" ht="14.25" customHeight="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  <c r="K881" s="208"/>
    </row>
    <row r="882" ht="14.25" customHeight="1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  <c r="K882" s="208"/>
    </row>
    <row r="883" ht="14.25" customHeight="1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  <c r="K883" s="208"/>
    </row>
    <row r="884" ht="14.25" customHeight="1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  <c r="K884" s="208"/>
    </row>
    <row r="885" ht="14.25" customHeight="1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  <c r="K885" s="208"/>
    </row>
    <row r="886" ht="14.25" customHeight="1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</row>
    <row r="887" ht="14.25" customHeight="1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  <c r="K887" s="208"/>
    </row>
    <row r="888" ht="14.25" customHeight="1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  <c r="K888" s="208"/>
    </row>
    <row r="889" ht="14.25" customHeight="1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  <c r="K889" s="208"/>
    </row>
    <row r="890" ht="14.25" customHeight="1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  <c r="K890" s="208"/>
    </row>
    <row r="891" ht="14.25" customHeight="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  <c r="K891" s="208"/>
    </row>
    <row r="892" ht="14.25" customHeight="1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  <c r="K892" s="208"/>
    </row>
    <row r="893" ht="14.25" customHeight="1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  <c r="K893" s="208"/>
    </row>
    <row r="894" ht="14.25" customHeight="1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  <c r="K894" s="208"/>
    </row>
    <row r="895" ht="14.25" customHeight="1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</row>
    <row r="896" ht="14.25" customHeight="1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  <c r="K896" s="208"/>
    </row>
    <row r="897" ht="14.25" customHeight="1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  <c r="K897" s="208"/>
    </row>
    <row r="898" ht="14.25" customHeight="1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  <c r="K898" s="208"/>
    </row>
    <row r="899" ht="14.25" customHeight="1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  <c r="K899" s="208"/>
    </row>
    <row r="900" ht="14.25" customHeight="1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  <c r="K900" s="208"/>
    </row>
    <row r="901" ht="14.25" customHeight="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  <c r="K901" s="208"/>
    </row>
    <row r="902" ht="14.25" customHeight="1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  <c r="K902" s="208"/>
    </row>
    <row r="903" ht="14.25" customHeight="1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  <c r="K903" s="208"/>
    </row>
    <row r="904" ht="14.25" customHeight="1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  <c r="K904" s="208"/>
    </row>
    <row r="905" ht="14.25" customHeight="1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  <c r="K905" s="208"/>
    </row>
    <row r="906" ht="14.25" customHeight="1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  <c r="K906" s="208"/>
    </row>
    <row r="907" ht="14.25" customHeight="1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  <c r="K907" s="208"/>
    </row>
    <row r="908" ht="14.25" customHeight="1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  <c r="K908" s="208"/>
    </row>
    <row r="909" ht="14.25" customHeight="1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  <c r="K909" s="208"/>
    </row>
    <row r="910" ht="14.25" customHeight="1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  <c r="K910" s="208"/>
    </row>
    <row r="911" ht="14.25" customHeight="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  <c r="K911" s="208"/>
    </row>
    <row r="912" ht="14.25" customHeight="1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  <c r="K912" s="208"/>
    </row>
    <row r="913" ht="14.25" customHeight="1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  <c r="K913" s="208"/>
    </row>
    <row r="914" ht="14.25" customHeight="1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  <c r="K914" s="208"/>
    </row>
    <row r="915" ht="14.25" customHeight="1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  <c r="K915" s="208"/>
    </row>
    <row r="916" ht="14.25" customHeight="1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  <c r="K916" s="208"/>
    </row>
    <row r="917" ht="14.25" customHeight="1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  <c r="K917" s="208"/>
    </row>
    <row r="918" ht="14.25" customHeight="1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  <c r="K918" s="208"/>
    </row>
    <row r="919" ht="14.25" customHeight="1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  <c r="K919" s="208"/>
    </row>
    <row r="920" ht="14.25" customHeight="1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  <c r="K920" s="208"/>
    </row>
    <row r="921" ht="14.25" customHeight="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  <c r="K921" s="208"/>
    </row>
    <row r="922" ht="14.25" customHeight="1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</row>
    <row r="923" ht="14.25" customHeight="1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  <c r="K923" s="208"/>
    </row>
    <row r="924" ht="14.25" customHeight="1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  <c r="K924" s="208"/>
    </row>
    <row r="925" ht="14.25" customHeight="1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  <c r="K925" s="208"/>
    </row>
    <row r="926" ht="14.25" customHeight="1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  <c r="K926" s="208"/>
    </row>
    <row r="927" ht="14.25" customHeight="1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  <c r="K927" s="208"/>
    </row>
    <row r="928" ht="14.25" customHeight="1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  <c r="K928" s="208"/>
    </row>
    <row r="929" ht="14.25" customHeight="1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  <c r="K929" s="208"/>
    </row>
    <row r="930" ht="14.25" customHeight="1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  <c r="K930" s="208"/>
    </row>
    <row r="931" ht="14.25" customHeight="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  <c r="K931" s="208"/>
    </row>
    <row r="932" ht="14.25" customHeight="1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  <c r="K932" s="208"/>
    </row>
    <row r="933" ht="14.25" customHeight="1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  <c r="K933" s="208"/>
    </row>
    <row r="934" ht="14.25" customHeight="1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  <c r="K934" s="208"/>
    </row>
    <row r="935" ht="14.25" customHeight="1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  <c r="K935" s="208"/>
    </row>
    <row r="936" ht="14.25" customHeight="1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  <c r="K936" s="208"/>
    </row>
    <row r="937" ht="14.25" customHeight="1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  <c r="K937" s="208"/>
    </row>
    <row r="938" ht="14.25" customHeight="1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  <c r="K938" s="208"/>
    </row>
    <row r="939" ht="14.25" customHeight="1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  <c r="K939" s="208"/>
    </row>
    <row r="940" ht="14.25" customHeight="1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  <c r="K940" s="208"/>
    </row>
    <row r="941" ht="14.25" customHeight="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  <c r="K941" s="208"/>
    </row>
    <row r="942" ht="14.25" customHeight="1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  <c r="K942" s="208"/>
    </row>
    <row r="943" ht="14.25" customHeight="1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  <c r="K943" s="208"/>
    </row>
    <row r="944" ht="14.25" customHeight="1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  <c r="K944" s="208"/>
    </row>
    <row r="945" ht="14.25" customHeight="1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  <c r="K945" s="208"/>
    </row>
    <row r="946" ht="14.25" customHeight="1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  <c r="K946" s="208"/>
    </row>
    <row r="947" ht="14.25" customHeight="1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  <c r="K947" s="208"/>
    </row>
    <row r="948" ht="14.25" customHeight="1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  <c r="K948" s="208"/>
    </row>
    <row r="949" ht="14.25" customHeight="1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  <c r="K949" s="208"/>
    </row>
    <row r="950" ht="14.25" customHeight="1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  <c r="K950" s="208"/>
    </row>
    <row r="951" ht="14.25" customHeight="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</row>
    <row r="952" ht="14.25" customHeight="1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  <c r="K952" s="208"/>
    </row>
    <row r="953" ht="14.25" customHeight="1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  <c r="K953" s="208"/>
    </row>
    <row r="954" ht="14.25" customHeight="1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  <c r="K954" s="208"/>
    </row>
    <row r="955" ht="14.25" customHeight="1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  <c r="K955" s="208"/>
    </row>
    <row r="956" ht="14.25" customHeight="1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  <c r="K956" s="208"/>
    </row>
    <row r="957" ht="14.25" customHeight="1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  <c r="K957" s="208"/>
    </row>
    <row r="958" ht="14.25" customHeight="1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  <c r="K958" s="208"/>
    </row>
    <row r="959" ht="14.25" customHeight="1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  <c r="K959" s="208"/>
    </row>
    <row r="960" ht="14.25" customHeight="1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  <c r="K960" s="208"/>
    </row>
    <row r="961" ht="14.25" customHeight="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</row>
    <row r="962" ht="14.25" customHeight="1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  <c r="K962" s="208"/>
    </row>
    <row r="963" ht="14.25" customHeight="1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  <c r="K963" s="208"/>
    </row>
    <row r="964" ht="14.25" customHeight="1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  <c r="K964" s="208"/>
    </row>
    <row r="965" ht="14.25" customHeight="1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  <c r="K965" s="208"/>
    </row>
    <row r="966" ht="14.25" customHeight="1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  <c r="K966" s="208"/>
    </row>
    <row r="967" ht="14.25" customHeight="1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  <c r="K967" s="208"/>
    </row>
    <row r="968" ht="14.25" customHeight="1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  <c r="K968" s="208"/>
    </row>
    <row r="969" ht="14.25" customHeight="1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  <c r="K969" s="208"/>
    </row>
    <row r="970" ht="14.25" customHeight="1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</row>
    <row r="971" ht="14.25" customHeight="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</row>
    <row r="972" ht="14.25" customHeight="1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  <c r="K972" s="208"/>
    </row>
    <row r="973" ht="14.25" customHeight="1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  <c r="K973" s="208"/>
    </row>
    <row r="974" ht="14.25" customHeight="1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  <c r="K974" s="208"/>
    </row>
    <row r="975" ht="14.25" customHeight="1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  <c r="K975" s="208"/>
    </row>
    <row r="976" ht="14.25" customHeight="1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  <c r="K976" s="208"/>
    </row>
    <row r="977" ht="14.25" customHeight="1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  <c r="K977" s="208"/>
    </row>
    <row r="978" ht="14.25" customHeight="1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  <c r="K978" s="208"/>
    </row>
    <row r="979" ht="14.25" customHeight="1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  <c r="K979" s="208"/>
    </row>
    <row r="980" ht="14.25" customHeight="1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</row>
    <row r="981" ht="14.25" customHeight="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  <c r="K981" s="208"/>
    </row>
    <row r="982" ht="14.25" customHeight="1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  <c r="K982" s="208"/>
    </row>
    <row r="983" ht="14.25" customHeight="1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  <c r="K983" s="208"/>
    </row>
    <row r="984" ht="14.25" customHeight="1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  <c r="K984" s="208"/>
    </row>
    <row r="985" ht="14.25" customHeight="1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  <c r="K985" s="208"/>
    </row>
    <row r="986" ht="14.25" customHeight="1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  <c r="K986" s="208"/>
    </row>
    <row r="987" ht="14.25" customHeight="1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  <c r="K987" s="208"/>
    </row>
    <row r="988" ht="14.25" customHeight="1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  <c r="K988" s="208"/>
    </row>
    <row r="989" ht="14.25" customHeight="1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</row>
    <row r="990" ht="14.25" customHeight="1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  <c r="K990" s="208"/>
    </row>
    <row r="991" ht="14.25" customHeight="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  <c r="K991" s="208"/>
    </row>
    <row r="992" ht="14.25" customHeight="1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  <c r="K992" s="208"/>
    </row>
    <row r="993" ht="14.25" customHeight="1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  <c r="K993" s="208"/>
    </row>
    <row r="994" ht="14.25" customHeight="1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  <c r="K994" s="208"/>
    </row>
    <row r="995" ht="14.25" customHeight="1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  <c r="K995" s="208"/>
    </row>
    <row r="996" ht="14.25" customHeight="1">
      <c r="A996" s="208"/>
      <c r="B996" s="208"/>
      <c r="C996" s="208"/>
      <c r="D996" s="208"/>
      <c r="E996" s="208"/>
      <c r="F996" s="208"/>
      <c r="G996" s="208"/>
      <c r="H996" s="208"/>
      <c r="I996" s="208"/>
      <c r="J996" s="208"/>
      <c r="K996" s="208"/>
    </row>
    <row r="997" ht="14.25" customHeight="1">
      <c r="A997" s="208"/>
      <c r="B997" s="208"/>
      <c r="C997" s="208"/>
      <c r="D997" s="208"/>
      <c r="E997" s="208"/>
      <c r="F997" s="208"/>
      <c r="G997" s="208"/>
      <c r="H997" s="208"/>
      <c r="I997" s="208"/>
      <c r="J997" s="208"/>
      <c r="K997" s="208"/>
    </row>
    <row r="998" ht="14.25" customHeight="1">
      <c r="A998" s="208"/>
      <c r="B998" s="208"/>
      <c r="C998" s="208"/>
      <c r="D998" s="208"/>
      <c r="E998" s="208"/>
      <c r="F998" s="208"/>
      <c r="G998" s="208"/>
      <c r="H998" s="208"/>
      <c r="I998" s="208"/>
      <c r="J998" s="208"/>
      <c r="K998" s="208"/>
    </row>
    <row r="999" ht="14.25" customHeight="1">
      <c r="A999" s="208"/>
      <c r="B999" s="208"/>
      <c r="C999" s="208"/>
      <c r="D999" s="208"/>
      <c r="E999" s="208"/>
      <c r="F999" s="208"/>
      <c r="G999" s="208"/>
      <c r="H999" s="208"/>
      <c r="I999" s="208"/>
      <c r="J999" s="208"/>
      <c r="K999" s="208"/>
    </row>
    <row r="1000" ht="14.25" customHeight="1">
      <c r="A1000" s="208"/>
      <c r="B1000" s="208"/>
      <c r="C1000" s="208"/>
      <c r="D1000" s="208"/>
      <c r="E1000" s="208"/>
      <c r="F1000" s="208"/>
      <c r="G1000" s="208"/>
      <c r="H1000" s="208"/>
      <c r="I1000" s="208"/>
      <c r="J1000" s="208"/>
      <c r="K1000" s="208"/>
    </row>
    <row r="1001" ht="14.25" customHeight="1">
      <c r="A1001" s="208"/>
      <c r="B1001" s="208"/>
      <c r="C1001" s="208"/>
      <c r="D1001" s="208"/>
      <c r="E1001" s="208"/>
      <c r="F1001" s="208"/>
      <c r="G1001" s="208"/>
      <c r="H1001" s="208"/>
      <c r="I1001" s="208"/>
      <c r="J1001" s="208"/>
      <c r="K1001" s="208"/>
    </row>
    <row r="1002" ht="14.25" customHeight="1">
      <c r="A1002" s="208"/>
      <c r="B1002" s="208"/>
      <c r="C1002" s="208"/>
      <c r="D1002" s="208"/>
      <c r="E1002" s="208"/>
      <c r="F1002" s="208"/>
      <c r="G1002" s="208"/>
      <c r="H1002" s="208"/>
      <c r="I1002" s="208"/>
      <c r="J1002" s="208"/>
      <c r="K1002" s="208"/>
    </row>
    <row r="1003" ht="14.25" customHeight="1">
      <c r="A1003" s="208"/>
      <c r="B1003" s="208"/>
      <c r="C1003" s="208"/>
      <c r="D1003" s="208"/>
      <c r="E1003" s="208"/>
      <c r="F1003" s="208"/>
      <c r="G1003" s="208"/>
      <c r="H1003" s="208"/>
      <c r="I1003" s="208"/>
      <c r="J1003" s="208"/>
      <c r="K1003" s="208"/>
    </row>
    <row r="1004" ht="14.25" customHeight="1">
      <c r="A1004" s="208"/>
      <c r="B1004" s="208"/>
      <c r="C1004" s="208"/>
      <c r="D1004" s="208"/>
      <c r="E1004" s="208"/>
      <c r="F1004" s="208"/>
      <c r="G1004" s="208"/>
      <c r="H1004" s="208"/>
      <c r="I1004" s="208"/>
      <c r="J1004" s="208"/>
      <c r="K1004" s="208"/>
    </row>
    <row r="1005" ht="14.25" customHeight="1">
      <c r="A1005" s="208"/>
      <c r="B1005" s="208"/>
      <c r="C1005" s="208"/>
      <c r="D1005" s="208"/>
      <c r="E1005" s="208"/>
      <c r="F1005" s="208"/>
      <c r="G1005" s="208"/>
      <c r="H1005" s="208"/>
      <c r="I1005" s="208"/>
      <c r="J1005" s="208"/>
      <c r="K1005" s="208"/>
    </row>
    <row r="1006" ht="14.25" customHeight="1">
      <c r="A1006" s="208"/>
      <c r="B1006" s="208"/>
      <c r="C1006" s="208"/>
      <c r="D1006" s="208"/>
      <c r="E1006" s="208"/>
      <c r="F1006" s="208"/>
      <c r="G1006" s="208"/>
      <c r="H1006" s="208"/>
      <c r="I1006" s="208"/>
      <c r="J1006" s="208"/>
      <c r="K1006" s="208"/>
    </row>
    <row r="1007" ht="14.25" customHeight="1">
      <c r="A1007" s="208"/>
      <c r="B1007" s="208"/>
      <c r="C1007" s="208"/>
      <c r="D1007" s="208"/>
      <c r="E1007" s="208"/>
      <c r="F1007" s="208"/>
      <c r="G1007" s="208"/>
      <c r="H1007" s="208"/>
      <c r="I1007" s="208"/>
      <c r="J1007" s="208"/>
      <c r="K1007" s="208"/>
    </row>
    <row r="1008" ht="14.25" customHeight="1">
      <c r="A1008" s="208"/>
      <c r="B1008" s="208"/>
      <c r="C1008" s="208"/>
      <c r="D1008" s="208"/>
      <c r="E1008" s="208"/>
      <c r="F1008" s="208"/>
      <c r="G1008" s="208"/>
      <c r="H1008" s="208"/>
      <c r="I1008" s="208"/>
      <c r="J1008" s="208"/>
      <c r="K1008" s="208"/>
    </row>
    <row r="1009" ht="14.25" customHeight="1">
      <c r="A1009" s="208"/>
      <c r="B1009" s="208"/>
      <c r="C1009" s="208"/>
      <c r="D1009" s="208"/>
      <c r="E1009" s="208"/>
      <c r="F1009" s="208"/>
      <c r="G1009" s="208"/>
      <c r="H1009" s="208"/>
      <c r="I1009" s="208"/>
      <c r="J1009" s="208"/>
      <c r="K1009" s="208"/>
    </row>
    <row r="1010" ht="14.25" customHeight="1">
      <c r="A1010" s="208"/>
      <c r="B1010" s="208"/>
      <c r="C1010" s="208"/>
      <c r="D1010" s="208"/>
      <c r="E1010" s="208"/>
      <c r="F1010" s="208"/>
      <c r="G1010" s="208"/>
      <c r="H1010" s="208"/>
      <c r="I1010" s="208"/>
      <c r="J1010" s="208"/>
      <c r="K1010" s="208"/>
    </row>
    <row r="1011" ht="14.25" customHeight="1">
      <c r="A1011" s="208"/>
      <c r="B1011" s="208"/>
      <c r="C1011" s="208"/>
      <c r="D1011" s="208"/>
      <c r="E1011" s="208"/>
      <c r="F1011" s="208"/>
      <c r="G1011" s="208"/>
      <c r="H1011" s="208"/>
      <c r="I1011" s="208"/>
      <c r="J1011" s="208"/>
      <c r="K1011" s="208"/>
    </row>
  </sheetData>
  <mergeCells count="30">
    <mergeCell ref="A1:H1"/>
    <mergeCell ref="A9:M9"/>
    <mergeCell ref="A20:M20"/>
    <mergeCell ref="A45:M45"/>
    <mergeCell ref="A54:M54"/>
    <mergeCell ref="B55:M55"/>
    <mergeCell ref="B56:M56"/>
    <mergeCell ref="B57:M57"/>
    <mergeCell ref="B58:M58"/>
    <mergeCell ref="B59:M59"/>
    <mergeCell ref="B60:M60"/>
    <mergeCell ref="B61:M61"/>
    <mergeCell ref="B62:M62"/>
    <mergeCell ref="B63:M63"/>
    <mergeCell ref="B64:M64"/>
    <mergeCell ref="B65:M65"/>
    <mergeCell ref="B66:M66"/>
    <mergeCell ref="B67:M67"/>
    <mergeCell ref="B68:M68"/>
    <mergeCell ref="B69:M69"/>
    <mergeCell ref="B70:M70"/>
    <mergeCell ref="B78:M78"/>
    <mergeCell ref="B79:M79"/>
    <mergeCell ref="B71:M71"/>
    <mergeCell ref="B72:M72"/>
    <mergeCell ref="B73:M73"/>
    <mergeCell ref="B74:M74"/>
    <mergeCell ref="B75:M75"/>
    <mergeCell ref="B76:M76"/>
    <mergeCell ref="B77:M77"/>
  </mergeCells>
  <dataValidations>
    <dataValidation type="list" allowBlank="1" sqref="A22:A42 B47:B51">
      <formula1>"📌 ЗАДАЧА,📦 ПРОЕКТ,🔬 ГИПОТЕЗА,💡 ИДЕЯ"</formula1>
    </dataValidation>
    <dataValidation type="list" allowBlank="1" sqref="F11:F18">
      <formula1>"On track,Опаздываем,Выполнено,Не начато,Требует внимания"</formula1>
    </dataValidation>
    <dataValidation type="list" allowBlank="1" sqref="E47:E51">
      <formula1>"High,Medium,Low"</formula1>
    </dataValidation>
    <dataValidation type="list" allowBlank="1" sqref="B22:B42 D47:D51">
      <formula1>"Средний результат учеников,Подготовлено 12,2 ученика достигли,Годовой показатель NPS составил,Разработана организационная,Запущен внутренний обучающий курс,Подготовлен кадровый резерв,Система курсов полностью"</formula1>
    </dataValidation>
    <dataValidation type="list" allowBlank="1" sqref="F22:I33 F34:J34 F35:I35 F36:J40 F41:I42">
      <formula1>"⏸️ Не начато,🔄 В работе,✅ Выполнено,⏸️ На паузе,❌ Отменено,⚠️ Требует решения"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35.0"/>
    <col customWidth="1" min="4" max="4" width="15.0"/>
    <col customWidth="1" min="5" max="5" width="20.57"/>
    <col customWidth="1" min="6" max="6" width="17.29"/>
    <col customWidth="1" min="7" max="7" width="19.29"/>
    <col customWidth="1" min="8" max="8" width="22.86"/>
    <col customWidth="1" min="9" max="9" width="16.0"/>
    <col customWidth="1" min="10" max="11" width="25.0"/>
    <col customWidth="1" min="12" max="27" width="8.71"/>
  </cols>
  <sheetData>
    <row r="1" ht="21.0" customHeight="1">
      <c r="A1" s="228" t="s">
        <v>1428</v>
      </c>
      <c r="B1" s="206"/>
      <c r="C1" s="206"/>
      <c r="D1" s="206"/>
      <c r="E1" s="206"/>
      <c r="F1" s="206"/>
      <c r="G1" s="206"/>
      <c r="H1" s="207"/>
      <c r="I1" s="208"/>
      <c r="J1" s="208"/>
      <c r="K1" s="208"/>
    </row>
    <row r="2" ht="14.25" customHeight="1">
      <c r="A2" s="209" t="s">
        <v>991</v>
      </c>
      <c r="B2" s="229" t="s">
        <v>909</v>
      </c>
      <c r="C2" s="208"/>
      <c r="D2" s="208"/>
      <c r="E2" s="208"/>
      <c r="F2" s="208"/>
      <c r="G2" s="208"/>
      <c r="H2" s="208"/>
      <c r="I2" s="208"/>
      <c r="J2" s="208"/>
      <c r="K2" s="208"/>
    </row>
    <row r="3" ht="14.25" customHeight="1">
      <c r="A3" s="209" t="s">
        <v>992</v>
      </c>
      <c r="B3" s="229" t="s">
        <v>216</v>
      </c>
      <c r="C3" s="208"/>
      <c r="D3" s="208"/>
      <c r="E3" s="208"/>
      <c r="F3" s="208"/>
      <c r="G3" s="208"/>
      <c r="H3" s="208"/>
      <c r="I3" s="208"/>
      <c r="J3" s="208"/>
      <c r="K3" s="208"/>
    </row>
    <row r="4" ht="14.25" customHeight="1">
      <c r="A4" s="209" t="s">
        <v>993</v>
      </c>
      <c r="B4" s="229" t="s">
        <v>910</v>
      </c>
      <c r="C4" s="208"/>
      <c r="D4" s="208"/>
      <c r="E4" s="208"/>
      <c r="F4" s="208"/>
      <c r="G4" s="208"/>
      <c r="H4" s="208"/>
      <c r="I4" s="208"/>
      <c r="J4" s="208"/>
      <c r="K4" s="208"/>
    </row>
    <row r="5" ht="14.25" customHeight="1">
      <c r="A5" s="209" t="s">
        <v>994</v>
      </c>
      <c r="B5" s="229" t="s">
        <v>882</v>
      </c>
      <c r="C5" s="208"/>
      <c r="D5" s="208"/>
      <c r="E5" s="208"/>
      <c r="F5" s="208"/>
      <c r="G5" s="208"/>
      <c r="H5" s="208"/>
      <c r="I5" s="208"/>
      <c r="J5" s="208"/>
      <c r="K5" s="208"/>
    </row>
    <row r="6" ht="14.25" customHeight="1">
      <c r="A6" s="280" t="s">
        <v>995</v>
      </c>
      <c r="B6" s="281"/>
      <c r="C6" s="282" t="s">
        <v>1429</v>
      </c>
      <c r="D6" s="208"/>
      <c r="E6" s="208"/>
      <c r="F6" s="208"/>
      <c r="G6" s="208"/>
      <c r="H6" s="208"/>
      <c r="I6" s="208"/>
      <c r="J6" s="208"/>
      <c r="K6" s="208"/>
    </row>
    <row r="7" ht="14.25" customHeight="1">
      <c r="A7" s="280" t="s">
        <v>997</v>
      </c>
      <c r="B7" s="230" t="s">
        <v>1430</v>
      </c>
      <c r="C7" s="284" t="s">
        <v>1431</v>
      </c>
      <c r="D7" s="208"/>
      <c r="E7" s="208"/>
      <c r="F7" s="208"/>
      <c r="G7" s="208"/>
      <c r="H7" s="208"/>
      <c r="I7" s="208"/>
      <c r="J7" s="208"/>
      <c r="K7" s="208"/>
    </row>
    <row r="8" ht="14.25" customHeight="1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208"/>
    </row>
    <row r="9" ht="15.0" customHeight="1">
      <c r="A9" s="232" t="s">
        <v>999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7"/>
    </row>
    <row r="10" ht="28.5" customHeight="1">
      <c r="A10" s="233" t="s">
        <v>914</v>
      </c>
      <c r="B10" s="233" t="s">
        <v>1000</v>
      </c>
      <c r="C10" s="233" t="s">
        <v>915</v>
      </c>
      <c r="D10" s="233" t="s">
        <v>916</v>
      </c>
      <c r="E10" s="233" t="s">
        <v>917</v>
      </c>
      <c r="F10" s="233" t="s">
        <v>1001</v>
      </c>
      <c r="G10" s="233" t="s">
        <v>22</v>
      </c>
      <c r="H10" s="233" t="s">
        <v>1002</v>
      </c>
      <c r="I10" s="208"/>
      <c r="J10" s="208"/>
      <c r="K10" s="208"/>
    </row>
    <row r="11" ht="28.5" customHeight="1">
      <c r="A11" s="213" t="s">
        <v>981</v>
      </c>
      <c r="B11" s="213" t="s">
        <v>1432</v>
      </c>
      <c r="C11" s="213" t="s">
        <v>338</v>
      </c>
      <c r="D11" s="213"/>
      <c r="E11" s="213"/>
      <c r="F11" s="234" t="s">
        <v>1078</v>
      </c>
      <c r="G11" s="213" t="s">
        <v>131</v>
      </c>
      <c r="H11" s="234" t="s">
        <v>1433</v>
      </c>
      <c r="I11" s="208"/>
      <c r="J11" s="208"/>
      <c r="K11" s="208"/>
    </row>
    <row r="12" ht="72.0" customHeight="1">
      <c r="A12" s="213" t="s">
        <v>982</v>
      </c>
      <c r="B12" s="213" t="s">
        <v>1434</v>
      </c>
      <c r="C12" s="213" t="s">
        <v>340</v>
      </c>
      <c r="D12" s="213" t="s">
        <v>341</v>
      </c>
      <c r="E12" s="213"/>
      <c r="F12" s="234" t="s">
        <v>1078</v>
      </c>
      <c r="G12" s="234" t="s">
        <v>1435</v>
      </c>
      <c r="H12" s="234" t="s">
        <v>1436</v>
      </c>
      <c r="I12" s="208"/>
      <c r="J12" s="208"/>
      <c r="K12" s="208"/>
    </row>
    <row r="13" ht="86.25" customHeight="1">
      <c r="A13" s="213" t="s">
        <v>983</v>
      </c>
      <c r="B13" s="234" t="s">
        <v>1437</v>
      </c>
      <c r="C13" s="213" t="s">
        <v>343</v>
      </c>
      <c r="D13" s="213" t="s">
        <v>344</v>
      </c>
      <c r="E13" s="213" t="s">
        <v>345</v>
      </c>
      <c r="F13" s="234" t="s">
        <v>1078</v>
      </c>
      <c r="G13" s="234" t="s">
        <v>131</v>
      </c>
      <c r="H13" s="213"/>
      <c r="I13" s="208"/>
      <c r="J13" s="208"/>
      <c r="K13" s="208"/>
    </row>
    <row r="14" ht="28.5" customHeight="1">
      <c r="A14" s="213" t="s">
        <v>984</v>
      </c>
      <c r="B14" s="213" t="s">
        <v>1438</v>
      </c>
      <c r="C14" s="213" t="s">
        <v>346</v>
      </c>
      <c r="D14" s="290">
        <v>0.66</v>
      </c>
      <c r="E14" s="290">
        <v>0.8</v>
      </c>
      <c r="F14" s="234" t="s">
        <v>1078</v>
      </c>
      <c r="G14" s="213" t="s">
        <v>225</v>
      </c>
      <c r="H14" s="213"/>
      <c r="I14" s="208"/>
      <c r="J14" s="208"/>
      <c r="K14" s="208"/>
    </row>
    <row r="15" ht="42.75" customHeight="1">
      <c r="A15" s="295" t="s">
        <v>987</v>
      </c>
      <c r="B15" s="295" t="s">
        <v>1439</v>
      </c>
      <c r="C15" s="295" t="s">
        <v>347</v>
      </c>
      <c r="D15" s="213"/>
      <c r="E15" s="213"/>
      <c r="F15" s="234" t="s">
        <v>1105</v>
      </c>
      <c r="G15" s="213"/>
      <c r="H15" s="234" t="s">
        <v>1440</v>
      </c>
      <c r="I15" s="208"/>
      <c r="J15" s="208"/>
      <c r="K15" s="208"/>
    </row>
    <row r="16" ht="57.0" customHeight="1">
      <c r="A16" s="213" t="s">
        <v>988</v>
      </c>
      <c r="B16" s="213" t="s">
        <v>1441</v>
      </c>
      <c r="C16" s="213" t="s">
        <v>348</v>
      </c>
      <c r="D16" s="213"/>
      <c r="E16" s="213"/>
      <c r="F16" s="234" t="s">
        <v>1078</v>
      </c>
      <c r="G16" s="234" t="s">
        <v>1144</v>
      </c>
      <c r="H16" s="234" t="s">
        <v>1442</v>
      </c>
      <c r="I16" s="208"/>
      <c r="J16" s="208"/>
      <c r="K16" s="208"/>
    </row>
    <row r="17" ht="14.25" customHeight="1">
      <c r="A17" s="213" t="s">
        <v>989</v>
      </c>
      <c r="B17" s="213" t="s">
        <v>349</v>
      </c>
      <c r="C17" s="213" t="s">
        <v>349</v>
      </c>
      <c r="D17" s="213"/>
      <c r="E17" s="213"/>
      <c r="F17" s="234" t="s">
        <v>1443</v>
      </c>
      <c r="G17" s="213"/>
      <c r="H17" s="213"/>
      <c r="I17" s="208"/>
      <c r="J17" s="208"/>
      <c r="K17" s="208"/>
    </row>
    <row r="18" ht="14.25" customHeight="1">
      <c r="A18" s="208"/>
      <c r="B18" s="208"/>
      <c r="C18" s="208"/>
      <c r="D18" s="208"/>
      <c r="E18" s="208"/>
      <c r="F18" s="208"/>
      <c r="G18" s="208"/>
      <c r="H18" s="208"/>
      <c r="I18" s="208"/>
      <c r="J18" s="208"/>
      <c r="K18" s="208"/>
    </row>
    <row r="19" ht="15.0" customHeight="1">
      <c r="A19" s="218" t="s">
        <v>1014</v>
      </c>
      <c r="B19" s="206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7"/>
    </row>
    <row r="20" ht="14.25" customHeight="1">
      <c r="A20" s="235" t="s">
        <v>32</v>
      </c>
      <c r="B20" s="235" t="s">
        <v>1015</v>
      </c>
      <c r="C20" s="235" t="s">
        <v>1016</v>
      </c>
      <c r="D20" s="235" t="s">
        <v>23</v>
      </c>
      <c r="E20" s="235" t="s">
        <v>22</v>
      </c>
      <c r="F20" s="235" t="s">
        <v>1017</v>
      </c>
      <c r="G20" s="235" t="s">
        <v>1018</v>
      </c>
      <c r="H20" s="235" t="s">
        <v>1019</v>
      </c>
      <c r="I20" s="235" t="s">
        <v>1020</v>
      </c>
      <c r="J20" s="291" t="s">
        <v>1090</v>
      </c>
      <c r="K20" s="235" t="s">
        <v>1021</v>
      </c>
    </row>
    <row r="21" ht="14.25" customHeight="1">
      <c r="A21" s="213" t="s">
        <v>1024</v>
      </c>
      <c r="B21" s="213" t="s">
        <v>982</v>
      </c>
      <c r="C21" s="234" t="s">
        <v>1444</v>
      </c>
      <c r="D21" s="213" t="s">
        <v>339</v>
      </c>
      <c r="E21" s="213" t="s">
        <v>1445</v>
      </c>
      <c r="F21" s="213" t="s">
        <v>1045</v>
      </c>
      <c r="G21" s="234" t="s">
        <v>1043</v>
      </c>
      <c r="H21" s="213"/>
      <c r="I21" s="213"/>
      <c r="J21" s="213"/>
      <c r="K21" s="213" t="s">
        <v>1446</v>
      </c>
      <c r="L21" s="186" t="s">
        <v>1447</v>
      </c>
    </row>
    <row r="22" ht="14.25" customHeight="1">
      <c r="A22" s="213" t="s">
        <v>1023</v>
      </c>
      <c r="B22" s="213" t="s">
        <v>982</v>
      </c>
      <c r="C22" s="213" t="s">
        <v>1448</v>
      </c>
      <c r="D22" s="213" t="s">
        <v>339</v>
      </c>
      <c r="E22" s="213" t="s">
        <v>1144</v>
      </c>
      <c r="F22" s="213" t="s">
        <v>1045</v>
      </c>
      <c r="G22" s="234" t="s">
        <v>1045</v>
      </c>
      <c r="H22" s="234" t="s">
        <v>1045</v>
      </c>
      <c r="I22" s="234" t="s">
        <v>1045</v>
      </c>
      <c r="J22" s="213"/>
      <c r="K22" s="213" t="s">
        <v>1449</v>
      </c>
    </row>
    <row r="23" ht="14.25" customHeight="1">
      <c r="A23" s="213" t="s">
        <v>1024</v>
      </c>
      <c r="B23" s="213" t="s">
        <v>982</v>
      </c>
      <c r="C23" s="213" t="s">
        <v>1450</v>
      </c>
      <c r="D23" s="213" t="s">
        <v>339</v>
      </c>
      <c r="E23" s="213" t="s">
        <v>1220</v>
      </c>
      <c r="F23" s="213" t="s">
        <v>1045</v>
      </c>
      <c r="G23" s="234" t="s">
        <v>1043</v>
      </c>
      <c r="H23" s="234" t="s">
        <v>1043</v>
      </c>
      <c r="I23" s="213"/>
      <c r="J23" s="213"/>
      <c r="K23" s="213" t="s">
        <v>1451</v>
      </c>
    </row>
    <row r="24" ht="14.25" customHeight="1">
      <c r="A24" s="213" t="s">
        <v>1024</v>
      </c>
      <c r="B24" s="213" t="s">
        <v>988</v>
      </c>
      <c r="C24" s="213" t="s">
        <v>1452</v>
      </c>
      <c r="D24" s="213" t="s">
        <v>339</v>
      </c>
      <c r="E24" s="213" t="s">
        <v>1228</v>
      </c>
      <c r="F24" s="213" t="s">
        <v>1045</v>
      </c>
      <c r="G24" s="234" t="s">
        <v>1043</v>
      </c>
      <c r="H24" s="234" t="s">
        <v>1045</v>
      </c>
      <c r="I24" s="234" t="s">
        <v>1045</v>
      </c>
      <c r="J24" s="234" t="s">
        <v>1045</v>
      </c>
      <c r="K24" s="234" t="s">
        <v>1453</v>
      </c>
    </row>
    <row r="25" ht="14.25" customHeight="1">
      <c r="A25" s="213" t="s">
        <v>1022</v>
      </c>
      <c r="B25" s="213" t="s">
        <v>984</v>
      </c>
      <c r="C25" s="213" t="s">
        <v>1454</v>
      </c>
      <c r="D25" s="213" t="s">
        <v>339</v>
      </c>
      <c r="E25" s="213" t="s">
        <v>342</v>
      </c>
      <c r="F25" s="213" t="s">
        <v>1051</v>
      </c>
      <c r="G25" s="213"/>
      <c r="H25" s="234" t="s">
        <v>1045</v>
      </c>
      <c r="I25" s="234" t="s">
        <v>1047</v>
      </c>
      <c r="J25" s="234"/>
      <c r="K25" s="234" t="s">
        <v>1455</v>
      </c>
    </row>
    <row r="26" ht="14.25" customHeight="1">
      <c r="A26" s="213" t="s">
        <v>1022</v>
      </c>
      <c r="B26" s="213" t="s">
        <v>989</v>
      </c>
      <c r="C26" s="213" t="s">
        <v>1456</v>
      </c>
      <c r="D26" s="213" t="s">
        <v>339</v>
      </c>
      <c r="E26" s="213" t="s">
        <v>131</v>
      </c>
      <c r="F26" s="213" t="s">
        <v>1051</v>
      </c>
      <c r="G26" s="213"/>
      <c r="H26" s="234" t="s">
        <v>1049</v>
      </c>
      <c r="I26" s="213"/>
      <c r="J26" s="213"/>
      <c r="K26" s="213" t="s">
        <v>1457</v>
      </c>
    </row>
    <row r="27" ht="14.25" customHeight="1">
      <c r="A27" s="213" t="s">
        <v>1023</v>
      </c>
      <c r="B27" s="213" t="s">
        <v>989</v>
      </c>
      <c r="C27" s="213" t="s">
        <v>1458</v>
      </c>
      <c r="D27" s="213" t="s">
        <v>339</v>
      </c>
      <c r="E27" s="213" t="s">
        <v>131</v>
      </c>
      <c r="F27" s="213" t="s">
        <v>1051</v>
      </c>
      <c r="G27" s="213"/>
      <c r="H27" s="234" t="s">
        <v>1049</v>
      </c>
      <c r="I27" s="213"/>
      <c r="J27" s="213"/>
      <c r="K27" s="213" t="s">
        <v>1459</v>
      </c>
    </row>
    <row r="28" ht="14.25" customHeight="1">
      <c r="A28" s="213" t="s">
        <v>1025</v>
      </c>
      <c r="B28" s="213" t="s">
        <v>981</v>
      </c>
      <c r="C28" s="213" t="s">
        <v>1460</v>
      </c>
      <c r="D28" s="213" t="s">
        <v>339</v>
      </c>
      <c r="E28" s="213" t="s">
        <v>131</v>
      </c>
      <c r="F28" s="213" t="s">
        <v>1049</v>
      </c>
      <c r="G28" s="213"/>
      <c r="H28" s="234" t="s">
        <v>1045</v>
      </c>
      <c r="I28" s="234" t="s">
        <v>1045</v>
      </c>
      <c r="J28" s="234" t="s">
        <v>1045</v>
      </c>
      <c r="K28" s="234" t="s">
        <v>1461</v>
      </c>
    </row>
    <row r="29" ht="14.25" customHeight="1">
      <c r="A29" s="213" t="s">
        <v>1024</v>
      </c>
      <c r="B29" s="213"/>
      <c r="C29" s="234" t="s">
        <v>1462</v>
      </c>
      <c r="D29" s="213" t="s">
        <v>339</v>
      </c>
      <c r="E29" s="234" t="s">
        <v>1243</v>
      </c>
      <c r="F29" s="213"/>
      <c r="G29" s="234" t="s">
        <v>1045</v>
      </c>
      <c r="H29" s="234" t="s">
        <v>1043</v>
      </c>
      <c r="I29" s="234" t="s">
        <v>1043</v>
      </c>
      <c r="J29" s="234" t="s">
        <v>1045</v>
      </c>
      <c r="K29" s="234" t="s">
        <v>1463</v>
      </c>
    </row>
    <row r="30" ht="14.25" customHeight="1">
      <c r="A30" s="234" t="s">
        <v>1024</v>
      </c>
      <c r="B30" s="213"/>
      <c r="C30" s="234" t="s">
        <v>1464</v>
      </c>
      <c r="D30" s="213" t="s">
        <v>339</v>
      </c>
      <c r="E30" s="234" t="s">
        <v>1170</v>
      </c>
      <c r="F30" s="213"/>
      <c r="G30" s="234" t="s">
        <v>1045</v>
      </c>
      <c r="H30" s="234" t="s">
        <v>1045</v>
      </c>
      <c r="I30" s="234" t="s">
        <v>1045</v>
      </c>
      <c r="J30" s="234" t="s">
        <v>1045</v>
      </c>
      <c r="K30" s="213"/>
    </row>
    <row r="31" ht="14.25" customHeight="1">
      <c r="A31" s="234" t="s">
        <v>1024</v>
      </c>
      <c r="B31" s="234" t="s">
        <v>349</v>
      </c>
      <c r="C31" s="234" t="s">
        <v>1465</v>
      </c>
      <c r="D31" s="213" t="s">
        <v>339</v>
      </c>
      <c r="E31" s="234" t="s">
        <v>1466</v>
      </c>
      <c r="F31" s="213"/>
      <c r="G31" s="234" t="s">
        <v>1045</v>
      </c>
      <c r="H31" s="234" t="s">
        <v>1043</v>
      </c>
      <c r="I31" s="213"/>
      <c r="J31" s="234"/>
      <c r="K31" s="234" t="s">
        <v>1467</v>
      </c>
    </row>
    <row r="32" ht="14.25" customHeight="1">
      <c r="A32" s="234" t="s">
        <v>1024</v>
      </c>
      <c r="B32" s="213"/>
      <c r="C32" s="234" t="s">
        <v>1468</v>
      </c>
      <c r="D32" s="213" t="s">
        <v>339</v>
      </c>
      <c r="E32" s="213"/>
      <c r="F32" s="213"/>
      <c r="G32" s="234" t="s">
        <v>1045</v>
      </c>
      <c r="H32" s="234" t="s">
        <v>1043</v>
      </c>
      <c r="I32" s="213"/>
      <c r="J32" s="213"/>
      <c r="K32" s="213"/>
    </row>
    <row r="33" ht="14.25" customHeight="1">
      <c r="A33" s="234" t="s">
        <v>1022</v>
      </c>
      <c r="B33" s="213"/>
      <c r="C33" s="234" t="s">
        <v>1469</v>
      </c>
      <c r="D33" s="213" t="s">
        <v>339</v>
      </c>
      <c r="E33" s="234">
        <v>28.02</v>
      </c>
      <c r="F33" s="213"/>
      <c r="G33" s="213"/>
      <c r="H33" s="213"/>
      <c r="I33" s="234" t="s">
        <v>1043</v>
      </c>
      <c r="J33" s="213"/>
      <c r="K33" s="213"/>
    </row>
    <row r="34" ht="14.25" customHeight="1">
      <c r="A34" s="234" t="s">
        <v>1024</v>
      </c>
      <c r="B34" s="234" t="s">
        <v>1470</v>
      </c>
      <c r="C34" s="234" t="s">
        <v>1471</v>
      </c>
      <c r="D34" s="213" t="s">
        <v>339</v>
      </c>
      <c r="E34" s="234" t="s">
        <v>1472</v>
      </c>
      <c r="F34" s="213"/>
      <c r="G34" s="213"/>
      <c r="H34" s="213"/>
      <c r="I34" s="234" t="s">
        <v>1043</v>
      </c>
      <c r="J34" s="213"/>
      <c r="K34" s="213"/>
    </row>
    <row r="35" ht="14.25" customHeight="1">
      <c r="A35" s="234" t="s">
        <v>1024</v>
      </c>
      <c r="B35" s="213"/>
      <c r="C35" s="234" t="s">
        <v>1473</v>
      </c>
      <c r="D35" s="213" t="s">
        <v>339</v>
      </c>
      <c r="E35" s="234" t="s">
        <v>1324</v>
      </c>
      <c r="F35" s="213"/>
      <c r="G35" s="213"/>
      <c r="H35" s="213"/>
      <c r="I35" s="234" t="s">
        <v>1043</v>
      </c>
      <c r="J35" s="213"/>
      <c r="K35" s="213"/>
    </row>
    <row r="36" ht="14.25" customHeight="1">
      <c r="A36" s="234" t="s">
        <v>1024</v>
      </c>
      <c r="B36" s="213"/>
      <c r="C36" s="234" t="s">
        <v>1474</v>
      </c>
      <c r="D36" s="213" t="s">
        <v>339</v>
      </c>
      <c r="E36" s="234" t="s">
        <v>1324</v>
      </c>
      <c r="F36" s="213"/>
      <c r="G36" s="213"/>
      <c r="H36" s="213"/>
      <c r="I36" s="234" t="s">
        <v>1045</v>
      </c>
      <c r="J36" s="234" t="s">
        <v>1045</v>
      </c>
      <c r="K36" s="213"/>
    </row>
    <row r="37" ht="14.25" customHeight="1">
      <c r="A37" s="234" t="s">
        <v>1024</v>
      </c>
      <c r="B37" s="213"/>
      <c r="C37" s="234" t="s">
        <v>1475</v>
      </c>
      <c r="D37" s="234" t="s">
        <v>1476</v>
      </c>
      <c r="E37" s="234" t="s">
        <v>1477</v>
      </c>
      <c r="F37" s="213"/>
      <c r="G37" s="213"/>
      <c r="H37" s="213"/>
      <c r="I37" s="213"/>
      <c r="J37" s="234" t="s">
        <v>1045</v>
      </c>
      <c r="K37" s="213"/>
    </row>
    <row r="38" ht="14.25" customHeight="1">
      <c r="A38" s="234" t="s">
        <v>1022</v>
      </c>
      <c r="B38" s="213"/>
      <c r="C38" s="234" t="s">
        <v>1478</v>
      </c>
      <c r="D38" s="234" t="s">
        <v>1476</v>
      </c>
      <c r="E38" s="234" t="s">
        <v>1479</v>
      </c>
      <c r="F38" s="213"/>
      <c r="G38" s="213"/>
      <c r="H38" s="213"/>
      <c r="I38" s="213"/>
      <c r="J38" s="234" t="s">
        <v>1045</v>
      </c>
      <c r="K38" s="213"/>
    </row>
    <row r="39" ht="14.25" customHeight="1">
      <c r="A39" s="234" t="s">
        <v>1022</v>
      </c>
      <c r="B39" s="213"/>
      <c r="C39" s="234" t="s">
        <v>1480</v>
      </c>
      <c r="D39" s="234" t="s">
        <v>1481</v>
      </c>
      <c r="E39" s="234" t="s">
        <v>1170</v>
      </c>
      <c r="F39" s="213"/>
      <c r="G39" s="213"/>
      <c r="H39" s="213"/>
      <c r="I39" s="213"/>
      <c r="J39" s="234" t="s">
        <v>1045</v>
      </c>
      <c r="K39" s="213"/>
    </row>
    <row r="40" ht="14.25" customHeight="1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</row>
    <row r="41" ht="14.25" customHeight="1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</row>
    <row r="42" ht="14.25" customHeight="1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</row>
    <row r="43" ht="14.25" customHeight="1">
      <c r="A43" s="213" t="s">
        <v>1025</v>
      </c>
      <c r="B43" s="213"/>
      <c r="C43" s="213"/>
      <c r="D43" s="213"/>
      <c r="E43" s="213"/>
      <c r="F43" s="213"/>
      <c r="G43" s="213"/>
      <c r="H43" s="213"/>
      <c r="I43" s="213"/>
      <c r="J43" s="213"/>
      <c r="K43" s="213"/>
    </row>
    <row r="44" ht="14.25" customHeight="1">
      <c r="A44" s="208"/>
      <c r="B44" s="208"/>
      <c r="C44" s="208"/>
      <c r="D44" s="208"/>
      <c r="E44" s="208"/>
      <c r="F44" s="208"/>
      <c r="G44" s="208"/>
      <c r="H44" s="208"/>
      <c r="I44" s="208"/>
      <c r="J44" s="208"/>
      <c r="K44" s="208"/>
    </row>
    <row r="45" ht="14.25" customHeight="1">
      <c r="A45" s="208"/>
      <c r="B45" s="208"/>
      <c r="C45" s="208"/>
      <c r="D45" s="208"/>
      <c r="E45" s="208"/>
      <c r="F45" s="208"/>
      <c r="G45" s="208"/>
      <c r="H45" s="208"/>
      <c r="I45" s="208"/>
      <c r="J45" s="208"/>
      <c r="K45" s="208"/>
    </row>
    <row r="46" ht="14.25" customHeight="1">
      <c r="A46" s="236" t="s">
        <v>1026</v>
      </c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7"/>
    </row>
    <row r="47" ht="24.0" customHeight="1">
      <c r="A47" s="237" t="s">
        <v>377</v>
      </c>
      <c r="B47" s="237" t="s">
        <v>32</v>
      </c>
      <c r="C47" s="237" t="s">
        <v>1027</v>
      </c>
      <c r="D47" s="237" t="s">
        <v>1028</v>
      </c>
      <c r="E47" s="237" t="s">
        <v>154</v>
      </c>
      <c r="F47" s="237" t="s">
        <v>1029</v>
      </c>
      <c r="G47" s="237" t="s">
        <v>381</v>
      </c>
      <c r="H47" s="208"/>
      <c r="I47" s="208"/>
      <c r="J47" s="208"/>
      <c r="K47" s="208"/>
    </row>
    <row r="48" ht="14.25" customHeight="1">
      <c r="A48" s="238" t="s">
        <v>1116</v>
      </c>
      <c r="B48" s="238" t="s">
        <v>1025</v>
      </c>
      <c r="C48" s="286" t="s">
        <v>1482</v>
      </c>
      <c r="D48" s="238" t="s">
        <v>982</v>
      </c>
      <c r="E48" s="238" t="s">
        <v>1183</v>
      </c>
      <c r="F48" s="238" t="s">
        <v>1119</v>
      </c>
      <c r="G48" s="238" t="s">
        <v>1053</v>
      </c>
      <c r="H48" s="208"/>
      <c r="I48" s="208"/>
      <c r="J48" s="208"/>
      <c r="K48" s="208"/>
    </row>
    <row r="49" ht="14.25" customHeight="1">
      <c r="A49" s="238" t="s">
        <v>1120</v>
      </c>
      <c r="B49" s="238" t="s">
        <v>1025</v>
      </c>
      <c r="C49" s="286" t="s">
        <v>1483</v>
      </c>
      <c r="D49" s="238" t="s">
        <v>984</v>
      </c>
      <c r="E49" s="238" t="s">
        <v>1118</v>
      </c>
      <c r="F49" s="238" t="s">
        <v>1119</v>
      </c>
      <c r="G49" s="238" t="s">
        <v>1053</v>
      </c>
      <c r="H49" s="208"/>
      <c r="I49" s="208"/>
      <c r="J49" s="208"/>
      <c r="K49" s="208"/>
    </row>
    <row r="50" ht="14.25" customHeight="1">
      <c r="A50" s="238" t="s">
        <v>1122</v>
      </c>
      <c r="B50" s="238" t="s">
        <v>1025</v>
      </c>
      <c r="C50" s="286" t="s">
        <v>1484</v>
      </c>
      <c r="D50" s="238" t="s">
        <v>982</v>
      </c>
      <c r="E50" s="238" t="s">
        <v>1185</v>
      </c>
      <c r="F50" s="238" t="s">
        <v>1119</v>
      </c>
      <c r="G50" s="238" t="s">
        <v>1053</v>
      </c>
      <c r="H50" s="208"/>
      <c r="I50" s="208"/>
      <c r="J50" s="208"/>
      <c r="K50" s="208"/>
    </row>
    <row r="51" ht="14.25" customHeight="1">
      <c r="A51" s="238" t="s">
        <v>1187</v>
      </c>
      <c r="B51" s="238" t="s">
        <v>1022</v>
      </c>
      <c r="C51" s="286" t="s">
        <v>1485</v>
      </c>
      <c r="D51" s="238" t="s">
        <v>981</v>
      </c>
      <c r="E51" s="238" t="s">
        <v>1118</v>
      </c>
      <c r="F51" s="238" t="s">
        <v>1119</v>
      </c>
      <c r="G51" s="238" t="s">
        <v>1053</v>
      </c>
      <c r="H51" s="208"/>
      <c r="I51" s="208"/>
      <c r="J51" s="208"/>
      <c r="K51" s="208"/>
    </row>
    <row r="52" ht="14.25" customHeight="1">
      <c r="A52" s="238" t="s">
        <v>1486</v>
      </c>
      <c r="B52" s="238" t="s">
        <v>1025</v>
      </c>
      <c r="C52" s="286" t="s">
        <v>1487</v>
      </c>
      <c r="D52" s="238" t="s">
        <v>984</v>
      </c>
      <c r="E52" s="238" t="s">
        <v>1183</v>
      </c>
      <c r="F52" s="238" t="s">
        <v>1119</v>
      </c>
      <c r="G52" s="238" t="s">
        <v>1053</v>
      </c>
      <c r="H52" s="208"/>
      <c r="I52" s="208"/>
      <c r="J52" s="208"/>
      <c r="K52" s="208"/>
    </row>
    <row r="53" ht="14.25" customHeight="1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</row>
    <row r="54" ht="14.25" customHeight="1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</row>
    <row r="55" ht="14.25" customHeight="1">
      <c r="A55" s="239" t="s">
        <v>1030</v>
      </c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20"/>
    </row>
    <row r="56" ht="14.25" customHeight="1">
      <c r="A56" s="241"/>
      <c r="B56" s="242" t="s">
        <v>1031</v>
      </c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20"/>
    </row>
    <row r="57" ht="14.25" customHeight="1">
      <c r="A57" s="241" t="s">
        <v>1024</v>
      </c>
      <c r="B57" s="242" t="s">
        <v>1032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20"/>
    </row>
    <row r="58" ht="14.25" customHeight="1">
      <c r="A58" s="241" t="s">
        <v>1023</v>
      </c>
      <c r="B58" s="242" t="s">
        <v>1033</v>
      </c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20"/>
    </row>
    <row r="59" ht="14.25" customHeight="1">
      <c r="A59" s="241" t="s">
        <v>1022</v>
      </c>
      <c r="B59" s="242" t="s">
        <v>1034</v>
      </c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20"/>
    </row>
    <row r="60" ht="14.25" customHeight="1">
      <c r="A60" s="241" t="s">
        <v>1025</v>
      </c>
      <c r="B60" s="242" t="s">
        <v>1035</v>
      </c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20"/>
    </row>
    <row r="61" ht="14.25" customHeight="1">
      <c r="A61" s="241"/>
      <c r="B61" s="242" t="s">
        <v>1036</v>
      </c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20"/>
    </row>
    <row r="62" ht="14.25" customHeight="1">
      <c r="A62" s="241" t="s">
        <v>1037</v>
      </c>
      <c r="B62" s="242" t="s">
        <v>1038</v>
      </c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20"/>
    </row>
    <row r="63" ht="14.25" customHeight="1">
      <c r="A63" s="241" t="s">
        <v>1039</v>
      </c>
      <c r="B63" s="242" t="s">
        <v>1040</v>
      </c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20"/>
    </row>
    <row r="64" ht="14.25" customHeight="1">
      <c r="A64" s="241" t="s">
        <v>1041</v>
      </c>
      <c r="B64" s="242" t="s">
        <v>1042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20"/>
    </row>
    <row r="65" ht="14.25" customHeight="1">
      <c r="A65" s="241" t="s">
        <v>1043</v>
      </c>
      <c r="B65" s="242" t="s">
        <v>1044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20"/>
    </row>
    <row r="66" ht="14.25" customHeight="1">
      <c r="A66" s="241" t="s">
        <v>1045</v>
      </c>
      <c r="B66" s="242" t="s">
        <v>1046</v>
      </c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20"/>
    </row>
    <row r="67" ht="14.25" customHeight="1">
      <c r="A67" s="241" t="s">
        <v>1047</v>
      </c>
      <c r="B67" s="242" t="s">
        <v>1048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20"/>
    </row>
    <row r="68" ht="14.25" customHeight="1">
      <c r="A68" s="241" t="s">
        <v>1049</v>
      </c>
      <c r="B68" s="242" t="s">
        <v>1050</v>
      </c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20"/>
    </row>
    <row r="69" ht="14.25" customHeight="1">
      <c r="A69" s="241" t="s">
        <v>1051</v>
      </c>
      <c r="B69" s="242" t="s">
        <v>1052</v>
      </c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20"/>
    </row>
    <row r="70" ht="14.25" customHeight="1">
      <c r="A70" s="241" t="s">
        <v>1053</v>
      </c>
      <c r="B70" s="242" t="s">
        <v>1054</v>
      </c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20"/>
    </row>
    <row r="71" ht="14.25" customHeight="1">
      <c r="A71" s="241"/>
      <c r="B71" s="242" t="s">
        <v>1055</v>
      </c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20"/>
    </row>
    <row r="72" ht="14.25" customHeight="1">
      <c r="A72" s="241" t="s">
        <v>1056</v>
      </c>
      <c r="B72" s="242" t="s">
        <v>1057</v>
      </c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20"/>
    </row>
    <row r="73" ht="14.25" customHeight="1">
      <c r="A73" s="241" t="s">
        <v>1058</v>
      </c>
      <c r="B73" s="242" t="s">
        <v>1059</v>
      </c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20"/>
    </row>
    <row r="74" ht="14.25" customHeight="1">
      <c r="A74" s="241" t="s">
        <v>1060</v>
      </c>
      <c r="B74" s="242" t="s">
        <v>1061</v>
      </c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20"/>
    </row>
    <row r="75" ht="14.25" customHeight="1">
      <c r="A75" s="241" t="s">
        <v>1062</v>
      </c>
      <c r="B75" s="242" t="s">
        <v>1063</v>
      </c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20"/>
    </row>
    <row r="76" ht="14.25" customHeight="1">
      <c r="A76" s="241"/>
      <c r="B76" s="242" t="s">
        <v>1064</v>
      </c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20"/>
    </row>
    <row r="77" ht="14.25" customHeight="1">
      <c r="A77" s="241" t="s">
        <v>1065</v>
      </c>
      <c r="B77" s="242" t="s">
        <v>1066</v>
      </c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20"/>
    </row>
    <row r="78" ht="14.25" customHeight="1">
      <c r="A78" s="241" t="s">
        <v>1067</v>
      </c>
      <c r="B78" s="242" t="s">
        <v>1068</v>
      </c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20"/>
    </row>
    <row r="79" ht="14.25" customHeight="1">
      <c r="A79" s="241" t="s">
        <v>1069</v>
      </c>
      <c r="B79" s="242" t="s">
        <v>1070</v>
      </c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20"/>
    </row>
    <row r="80" ht="14.25" customHeight="1">
      <c r="A80" s="241" t="s">
        <v>1071</v>
      </c>
      <c r="B80" s="242" t="s">
        <v>1072</v>
      </c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20"/>
    </row>
    <row r="81" ht="14.25" customHeight="1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</row>
    <row r="82" ht="14.25" customHeight="1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</row>
    <row r="83" ht="14.25" customHeight="1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</row>
    <row r="84" ht="14.25" customHeight="1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</row>
    <row r="85" ht="14.25" customHeight="1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</row>
    <row r="86" ht="14.25" customHeight="1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</row>
    <row r="87" ht="14.25" customHeight="1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</row>
    <row r="88" ht="14.2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</row>
    <row r="89" ht="14.2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</row>
    <row r="90" ht="14.2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</row>
    <row r="91" ht="14.2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</row>
    <row r="92" ht="14.2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</row>
    <row r="93" ht="14.2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</row>
    <row r="94" ht="14.2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</row>
    <row r="95" ht="14.2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</row>
    <row r="96" ht="14.2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</row>
    <row r="97" ht="14.2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</row>
    <row r="98" ht="14.2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</row>
    <row r="99" ht="14.2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</row>
    <row r="100" ht="14.2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</row>
    <row r="101" ht="14.2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</row>
    <row r="102" ht="14.2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</row>
    <row r="103" ht="14.2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</row>
    <row r="104" ht="14.2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</row>
    <row r="105" ht="14.2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</row>
    <row r="106" ht="14.2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</row>
    <row r="107" ht="14.2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</row>
    <row r="108" ht="14.2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</row>
    <row r="109" ht="14.2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</row>
    <row r="110" ht="14.2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</row>
    <row r="111" ht="14.2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</row>
    <row r="112" ht="14.2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</row>
    <row r="113" ht="14.2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</row>
    <row r="114" ht="14.2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</row>
    <row r="115" ht="14.2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</row>
    <row r="116" ht="14.2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</row>
    <row r="117" ht="14.2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</row>
    <row r="118" ht="14.2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</row>
    <row r="119" ht="14.2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</row>
    <row r="120" ht="14.2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</row>
    <row r="121" ht="14.2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</row>
    <row r="122" ht="14.2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</row>
    <row r="123" ht="14.2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</row>
    <row r="124" ht="14.2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</row>
    <row r="125" ht="14.2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</row>
    <row r="126" ht="14.2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</row>
    <row r="127" ht="14.2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</row>
    <row r="128" ht="14.2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</row>
    <row r="129" ht="14.2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</row>
    <row r="130" ht="14.2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</row>
    <row r="131" ht="14.2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</row>
    <row r="132" ht="14.2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</row>
    <row r="133" ht="14.2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</row>
    <row r="134" ht="14.2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</row>
    <row r="135" ht="14.2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</row>
    <row r="136" ht="14.2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</row>
    <row r="137" ht="14.2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</row>
    <row r="138" ht="14.2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</row>
    <row r="139" ht="14.2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</row>
    <row r="140" ht="14.2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</row>
    <row r="141" ht="14.2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</row>
    <row r="142" ht="14.2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</row>
    <row r="143" ht="14.2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</row>
    <row r="144" ht="14.2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</row>
    <row r="145" ht="14.2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</row>
    <row r="146" ht="14.2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</row>
    <row r="147" ht="14.2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</row>
    <row r="148" ht="14.2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</row>
    <row r="149" ht="14.2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</row>
    <row r="150" ht="14.2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</row>
    <row r="151" ht="14.2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</row>
    <row r="152" ht="14.2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</row>
    <row r="153" ht="14.2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</row>
    <row r="154" ht="14.2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</row>
    <row r="155" ht="14.2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</row>
    <row r="156" ht="14.2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</row>
    <row r="157" ht="14.2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</row>
    <row r="158" ht="14.2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</row>
    <row r="159" ht="14.2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</row>
    <row r="160" ht="14.2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</row>
    <row r="161" ht="14.2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</row>
    <row r="162" ht="14.2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</row>
    <row r="163" ht="14.2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</row>
    <row r="164" ht="14.2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</row>
    <row r="165" ht="14.2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</row>
    <row r="166" ht="14.2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</row>
    <row r="167" ht="14.2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</row>
    <row r="168" ht="14.2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</row>
    <row r="169" ht="14.2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</row>
    <row r="170" ht="14.2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</row>
    <row r="171" ht="14.2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</row>
    <row r="172" ht="14.2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</row>
    <row r="173" ht="14.2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</row>
    <row r="174" ht="14.2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</row>
    <row r="175" ht="14.2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</row>
    <row r="176" ht="14.2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</row>
    <row r="177" ht="14.2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</row>
    <row r="178" ht="14.2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</row>
    <row r="179" ht="14.2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</row>
    <row r="180" ht="14.2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</row>
    <row r="181" ht="14.2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</row>
    <row r="182" ht="14.2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</row>
    <row r="183" ht="14.2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</row>
    <row r="184" ht="14.2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</row>
    <row r="185" ht="14.2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</row>
    <row r="186" ht="14.2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</row>
    <row r="187" ht="14.2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</row>
    <row r="188" ht="14.2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</row>
    <row r="189" ht="14.2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</row>
    <row r="190" ht="14.2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</row>
    <row r="191" ht="14.2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</row>
    <row r="192" ht="14.2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</row>
    <row r="193" ht="14.2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</row>
    <row r="194" ht="14.2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</row>
    <row r="195" ht="14.2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</row>
    <row r="196" ht="14.2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</row>
    <row r="197" ht="14.2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</row>
    <row r="198" ht="14.2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</row>
    <row r="199" ht="14.2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</row>
    <row r="200" ht="14.2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</row>
    <row r="201" ht="14.2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</row>
    <row r="202" ht="14.2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</row>
    <row r="203" ht="14.2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</row>
    <row r="204" ht="14.2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</row>
    <row r="205" ht="14.2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</row>
    <row r="206" ht="14.2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</row>
    <row r="207" ht="14.2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</row>
    <row r="208" ht="14.2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</row>
    <row r="209" ht="14.2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</row>
    <row r="210" ht="14.2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</row>
    <row r="211" ht="14.2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</row>
    <row r="212" ht="14.2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</row>
    <row r="213" ht="14.2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</row>
    <row r="214" ht="14.2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</row>
    <row r="215" ht="14.2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</row>
    <row r="216" ht="14.2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</row>
    <row r="217" ht="14.2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</row>
    <row r="218" ht="14.2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</row>
    <row r="219" ht="14.2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</row>
    <row r="220" ht="14.2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</row>
    <row r="221" ht="14.2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</row>
    <row r="222" ht="14.2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</row>
    <row r="223" ht="14.2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</row>
    <row r="224" ht="14.2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</row>
    <row r="225" ht="14.2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</row>
    <row r="226" ht="14.2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</row>
    <row r="227" ht="14.2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</row>
    <row r="228" ht="14.2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</row>
    <row r="229" ht="14.2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</row>
    <row r="230" ht="14.2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</row>
    <row r="231" ht="14.2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</row>
    <row r="232" ht="14.2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</row>
    <row r="233" ht="14.2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</row>
    <row r="234" ht="14.2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</row>
    <row r="235" ht="14.2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</row>
    <row r="236" ht="14.2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</row>
    <row r="237" ht="14.2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</row>
    <row r="238" ht="14.2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</row>
    <row r="239" ht="14.2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</row>
    <row r="240" ht="14.2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</row>
    <row r="241" ht="14.2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</row>
    <row r="242" ht="14.2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</row>
    <row r="243" ht="14.2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</row>
    <row r="244" ht="14.2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</row>
    <row r="245" ht="14.2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</row>
    <row r="246" ht="14.2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</row>
    <row r="247" ht="14.2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</row>
    <row r="248" ht="14.2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</row>
    <row r="249" ht="14.2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</row>
    <row r="250" ht="14.2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</row>
    <row r="251" ht="14.2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</row>
    <row r="252" ht="14.2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</row>
    <row r="253" ht="14.2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</row>
    <row r="254" ht="14.2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</row>
    <row r="255" ht="14.2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</row>
    <row r="256" ht="14.2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</row>
    <row r="257" ht="14.2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</row>
    <row r="258" ht="14.2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</row>
    <row r="259" ht="14.2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</row>
    <row r="260" ht="14.2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</row>
    <row r="261" ht="14.2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</row>
    <row r="262" ht="14.2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</row>
    <row r="263" ht="14.2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</row>
    <row r="264" ht="14.2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</row>
    <row r="265" ht="14.2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</row>
    <row r="266" ht="14.2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</row>
    <row r="267" ht="14.2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</row>
    <row r="268" ht="14.2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</row>
    <row r="269" ht="14.2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</row>
    <row r="270" ht="14.2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</row>
    <row r="271" ht="14.25" customHeight="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  <c r="K271" s="208"/>
    </row>
    <row r="272" ht="14.25" customHeight="1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</row>
    <row r="273" ht="14.25" customHeight="1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</row>
    <row r="274" ht="14.25" customHeight="1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  <c r="K274" s="208"/>
    </row>
    <row r="275" ht="14.25" customHeight="1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  <c r="K275" s="208"/>
    </row>
    <row r="276" ht="14.25" customHeight="1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  <c r="K276" s="208"/>
    </row>
    <row r="277" ht="14.25" customHeight="1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  <c r="K277" s="208"/>
    </row>
    <row r="278" ht="14.25" customHeight="1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</row>
    <row r="279" ht="14.25" customHeight="1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  <c r="K279" s="208"/>
    </row>
    <row r="280" ht="14.25" customHeight="1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  <c r="K280" s="208"/>
    </row>
    <row r="281" ht="14.25" customHeight="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  <c r="K281" s="208"/>
    </row>
    <row r="282" ht="14.25" customHeight="1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  <c r="K282" s="208"/>
    </row>
    <row r="283" ht="14.25" customHeight="1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  <c r="K283" s="208"/>
    </row>
    <row r="284" ht="14.25" customHeight="1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</row>
    <row r="285" ht="14.25" customHeight="1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</row>
    <row r="286" ht="14.25" customHeight="1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  <c r="K286" s="208"/>
    </row>
    <row r="287" ht="14.25" customHeight="1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</row>
    <row r="288" ht="14.25" customHeight="1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</row>
    <row r="289" ht="14.25" customHeight="1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  <c r="K289" s="208"/>
    </row>
    <row r="290" ht="14.25" customHeight="1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</row>
    <row r="291" ht="14.25" customHeight="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</row>
    <row r="292" ht="14.25" customHeight="1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  <c r="K292" s="208"/>
    </row>
    <row r="293" ht="14.25" customHeight="1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  <c r="K293" s="208"/>
    </row>
    <row r="294" ht="14.25" customHeight="1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  <c r="K294" s="208"/>
    </row>
    <row r="295" ht="14.25" customHeight="1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  <c r="K295" s="208"/>
    </row>
    <row r="296" ht="14.25" customHeight="1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</row>
    <row r="297" ht="14.25" customHeight="1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</row>
    <row r="298" ht="14.25" customHeight="1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  <c r="K298" s="208"/>
    </row>
    <row r="299" ht="14.25" customHeight="1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  <c r="K299" s="208"/>
    </row>
    <row r="300" ht="14.25" customHeight="1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</row>
    <row r="301" ht="14.25" customHeight="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</row>
    <row r="302" ht="14.25" customHeight="1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</row>
    <row r="303" ht="14.25" customHeight="1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  <c r="K303" s="208"/>
    </row>
    <row r="304" ht="14.25" customHeight="1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  <c r="K304" s="208"/>
    </row>
    <row r="305" ht="14.25" customHeight="1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  <c r="K305" s="208"/>
    </row>
    <row r="306" ht="14.25" customHeight="1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  <c r="K306" s="208"/>
    </row>
    <row r="307" ht="14.25" customHeight="1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  <c r="K307" s="208"/>
    </row>
    <row r="308" ht="14.25" customHeight="1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</row>
    <row r="309" ht="14.25" customHeight="1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  <c r="K309" s="208"/>
    </row>
    <row r="310" ht="14.25" customHeight="1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  <c r="K310" s="208"/>
    </row>
    <row r="311" ht="14.25" customHeight="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  <c r="K311" s="208"/>
    </row>
    <row r="312" ht="14.25" customHeight="1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  <c r="K312" s="208"/>
    </row>
    <row r="313" ht="14.25" customHeight="1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</row>
    <row r="314" ht="14.25" customHeight="1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</row>
    <row r="315" ht="14.25" customHeight="1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  <c r="K315" s="208"/>
    </row>
    <row r="316" ht="14.25" customHeight="1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  <c r="K316" s="208"/>
    </row>
    <row r="317" ht="14.25" customHeight="1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  <c r="K317" s="208"/>
    </row>
    <row r="318" ht="14.25" customHeight="1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  <c r="K318" s="208"/>
    </row>
    <row r="319" ht="14.25" customHeight="1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  <c r="K319" s="208"/>
    </row>
    <row r="320" ht="14.25" customHeight="1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</row>
    <row r="321" ht="14.25" customHeight="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  <c r="K321" s="208"/>
    </row>
    <row r="322" ht="14.25" customHeight="1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  <c r="K322" s="208"/>
    </row>
    <row r="323" ht="14.25" customHeight="1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  <c r="K323" s="208"/>
    </row>
    <row r="324" ht="14.25" customHeight="1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  <c r="K324" s="208"/>
    </row>
    <row r="325" ht="14.25" customHeight="1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  <c r="K325" s="208"/>
    </row>
    <row r="326" ht="14.25" customHeight="1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</row>
    <row r="327" ht="14.25" customHeight="1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  <c r="K327" s="208"/>
    </row>
    <row r="328" ht="14.25" customHeight="1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  <c r="K328" s="208"/>
    </row>
    <row r="329" ht="14.25" customHeight="1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  <c r="K329" s="208"/>
    </row>
    <row r="330" ht="14.25" customHeight="1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  <c r="K330" s="208"/>
    </row>
    <row r="331" ht="14.25" customHeight="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  <c r="K331" s="208"/>
    </row>
    <row r="332" ht="14.25" customHeight="1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</row>
    <row r="333" ht="14.25" customHeight="1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  <c r="K333" s="208"/>
    </row>
    <row r="334" ht="14.25" customHeight="1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  <c r="K334" s="208"/>
    </row>
    <row r="335" ht="14.25" customHeight="1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  <c r="K335" s="208"/>
    </row>
    <row r="336" ht="14.25" customHeight="1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  <c r="K336" s="208"/>
    </row>
    <row r="337" ht="14.25" customHeight="1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  <c r="K337" s="208"/>
    </row>
    <row r="338" ht="14.25" customHeight="1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</row>
    <row r="339" ht="14.25" customHeight="1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  <c r="K339" s="208"/>
    </row>
    <row r="340" ht="14.25" customHeight="1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  <c r="K340" s="208"/>
    </row>
    <row r="341" ht="14.25" customHeight="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  <c r="K341" s="208"/>
    </row>
    <row r="342" ht="14.25" customHeight="1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  <c r="K342" s="208"/>
    </row>
    <row r="343" ht="14.25" customHeight="1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  <c r="K343" s="208"/>
    </row>
    <row r="344" ht="14.25" customHeight="1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</row>
    <row r="345" ht="14.25" customHeight="1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  <c r="K345" s="208"/>
    </row>
    <row r="346" ht="14.25" customHeight="1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  <c r="K346" s="208"/>
    </row>
    <row r="347" ht="14.25" customHeight="1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  <c r="K347" s="208"/>
    </row>
    <row r="348" ht="14.25" customHeight="1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  <c r="K348" s="208"/>
    </row>
    <row r="349" ht="14.25" customHeight="1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  <c r="K349" s="208"/>
    </row>
    <row r="350" ht="14.25" customHeight="1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</row>
    <row r="351" ht="14.25" customHeight="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  <c r="K351" s="208"/>
    </row>
    <row r="352" ht="14.25" customHeight="1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  <c r="K352" s="208"/>
    </row>
    <row r="353" ht="14.25" customHeight="1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  <c r="K353" s="208"/>
    </row>
    <row r="354" ht="14.25" customHeight="1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  <c r="K354" s="208"/>
    </row>
    <row r="355" ht="14.25" customHeight="1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  <c r="K355" s="208"/>
    </row>
    <row r="356" ht="14.25" customHeight="1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</row>
    <row r="357" ht="14.25" customHeight="1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  <c r="K357" s="208"/>
    </row>
    <row r="358" ht="14.25" customHeight="1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  <c r="K358" s="208"/>
    </row>
    <row r="359" ht="14.25" customHeight="1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  <c r="K359" s="208"/>
    </row>
    <row r="360" ht="14.25" customHeight="1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  <c r="K360" s="208"/>
    </row>
    <row r="361" ht="14.25" customHeight="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</row>
    <row r="362" ht="14.25" customHeight="1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</row>
    <row r="363" ht="14.25" customHeight="1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  <c r="K363" s="208"/>
    </row>
    <row r="364" ht="14.25" customHeight="1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  <c r="K364" s="208"/>
    </row>
    <row r="365" ht="14.25" customHeight="1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  <c r="K365" s="208"/>
    </row>
    <row r="366" ht="14.25" customHeight="1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  <c r="K366" s="208"/>
    </row>
    <row r="367" ht="14.25" customHeight="1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  <c r="K367" s="208"/>
    </row>
    <row r="368" ht="14.25" customHeight="1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</row>
    <row r="369" ht="14.25" customHeight="1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  <c r="K369" s="208"/>
    </row>
    <row r="370" ht="14.25" customHeight="1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  <c r="K370" s="208"/>
    </row>
    <row r="371" ht="14.25" customHeight="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  <c r="K371" s="208"/>
    </row>
    <row r="372" ht="14.25" customHeight="1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</row>
    <row r="373" ht="14.25" customHeight="1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  <c r="K373" s="208"/>
    </row>
    <row r="374" ht="14.25" customHeight="1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</row>
    <row r="375" ht="14.25" customHeight="1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  <c r="K375" s="208"/>
    </row>
    <row r="376" ht="14.25" customHeight="1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</row>
    <row r="377" ht="14.25" customHeight="1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  <c r="K377" s="208"/>
    </row>
    <row r="378" ht="14.25" customHeight="1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  <c r="K378" s="208"/>
    </row>
    <row r="379" ht="14.25" customHeight="1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</row>
    <row r="380" ht="14.25" customHeight="1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</row>
    <row r="381" ht="14.25" customHeight="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  <c r="K381" s="208"/>
    </row>
    <row r="382" ht="14.25" customHeight="1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</row>
    <row r="383" ht="14.25" customHeight="1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  <c r="K383" s="208"/>
    </row>
    <row r="384" ht="14.25" customHeight="1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  <c r="K384" s="208"/>
    </row>
    <row r="385" ht="14.25" customHeight="1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  <c r="K385" s="208"/>
    </row>
    <row r="386" ht="14.25" customHeight="1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</row>
    <row r="387" ht="14.25" customHeight="1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  <c r="K387" s="208"/>
    </row>
    <row r="388" ht="14.25" customHeight="1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  <c r="K388" s="208"/>
    </row>
    <row r="389" ht="14.25" customHeight="1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  <c r="K389" s="208"/>
    </row>
    <row r="390" ht="14.25" customHeight="1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  <c r="K390" s="208"/>
    </row>
    <row r="391" ht="14.25" customHeight="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</row>
    <row r="392" ht="14.25" customHeight="1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</row>
    <row r="393" ht="14.25" customHeight="1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  <c r="K393" s="208"/>
    </row>
    <row r="394" ht="14.25" customHeight="1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  <c r="K394" s="208"/>
    </row>
    <row r="395" ht="14.25" customHeight="1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  <c r="K395" s="208"/>
    </row>
    <row r="396" ht="14.25" customHeight="1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  <c r="K396" s="208"/>
    </row>
    <row r="397" ht="14.25" customHeight="1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  <c r="K397" s="208"/>
    </row>
    <row r="398" ht="14.25" customHeight="1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</row>
    <row r="399" ht="14.25" customHeight="1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  <c r="K399" s="208"/>
    </row>
    <row r="400" ht="14.25" customHeight="1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  <c r="K400" s="208"/>
    </row>
    <row r="401" ht="14.25" customHeight="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</row>
    <row r="402" ht="14.25" customHeight="1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  <c r="K402" s="208"/>
    </row>
    <row r="403" ht="14.25" customHeight="1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  <c r="K403" s="208"/>
    </row>
    <row r="404" ht="14.25" customHeight="1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</row>
    <row r="405" ht="14.25" customHeight="1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  <c r="K405" s="208"/>
    </row>
    <row r="406" ht="14.25" customHeight="1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</row>
    <row r="407" ht="14.25" customHeight="1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  <c r="K407" s="208"/>
    </row>
    <row r="408" ht="14.25" customHeight="1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  <c r="K408" s="208"/>
    </row>
    <row r="409" ht="14.25" customHeight="1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  <c r="K409" s="208"/>
    </row>
    <row r="410" ht="14.25" customHeight="1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</row>
    <row r="411" ht="14.25" customHeight="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  <c r="K411" s="208"/>
    </row>
    <row r="412" ht="14.25" customHeight="1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  <c r="K412" s="208"/>
    </row>
    <row r="413" ht="14.25" customHeight="1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  <c r="K413" s="208"/>
    </row>
    <row r="414" ht="14.25" customHeight="1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  <c r="K414" s="208"/>
    </row>
    <row r="415" ht="14.25" customHeight="1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  <c r="K415" s="208"/>
    </row>
    <row r="416" ht="14.25" customHeight="1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</row>
    <row r="417" ht="14.25" customHeight="1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  <c r="K417" s="208"/>
    </row>
    <row r="418" ht="14.25" customHeight="1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  <c r="K418" s="208"/>
    </row>
    <row r="419" ht="14.25" customHeight="1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  <c r="K419" s="208"/>
    </row>
    <row r="420" ht="14.25" customHeight="1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  <c r="K420" s="208"/>
    </row>
    <row r="421" ht="14.25" customHeight="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  <c r="K421" s="208"/>
    </row>
    <row r="422" ht="14.25" customHeight="1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</row>
    <row r="423" ht="14.25" customHeight="1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</row>
    <row r="424" ht="14.25" customHeight="1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  <c r="K424" s="208"/>
    </row>
    <row r="425" ht="14.25" customHeight="1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  <c r="K425" s="208"/>
    </row>
    <row r="426" ht="14.25" customHeight="1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  <c r="K426" s="208"/>
    </row>
    <row r="427" ht="14.25" customHeight="1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  <c r="K427" s="208"/>
    </row>
    <row r="428" ht="14.25" customHeight="1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</row>
    <row r="429" ht="14.25" customHeight="1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  <c r="K429" s="208"/>
    </row>
    <row r="430" ht="14.25" customHeight="1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  <c r="K430" s="208"/>
    </row>
    <row r="431" ht="14.25" customHeight="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  <c r="K431" s="208"/>
    </row>
    <row r="432" ht="14.25" customHeight="1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  <c r="K432" s="208"/>
    </row>
    <row r="433" ht="14.25" customHeight="1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  <c r="K433" s="208"/>
    </row>
    <row r="434" ht="14.25" customHeight="1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</row>
    <row r="435" ht="14.25" customHeight="1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  <c r="K435" s="208"/>
    </row>
    <row r="436" ht="14.25" customHeight="1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  <c r="K436" s="208"/>
    </row>
    <row r="437" ht="14.25" customHeight="1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  <c r="K437" s="208"/>
    </row>
    <row r="438" ht="14.25" customHeight="1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  <c r="K438" s="208"/>
    </row>
    <row r="439" ht="14.25" customHeight="1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</row>
    <row r="440" ht="14.25" customHeight="1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</row>
    <row r="441" ht="14.25" customHeight="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  <c r="K441" s="208"/>
    </row>
    <row r="442" ht="14.25" customHeight="1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  <c r="K442" s="208"/>
    </row>
    <row r="443" ht="14.25" customHeight="1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  <c r="K443" s="208"/>
    </row>
    <row r="444" ht="14.25" customHeight="1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  <c r="K444" s="208"/>
    </row>
    <row r="445" ht="14.25" customHeight="1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  <c r="K445" s="208"/>
    </row>
    <row r="446" ht="14.25" customHeight="1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</row>
    <row r="447" ht="14.25" customHeight="1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  <c r="K447" s="208"/>
    </row>
    <row r="448" ht="14.25" customHeight="1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  <c r="K448" s="208"/>
    </row>
    <row r="449" ht="14.25" customHeight="1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  <c r="K449" s="208"/>
    </row>
    <row r="450" ht="14.25" customHeight="1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  <c r="K450" s="208"/>
    </row>
    <row r="451" ht="14.25" customHeight="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  <c r="K451" s="208"/>
    </row>
    <row r="452" ht="14.25" customHeight="1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</row>
    <row r="453" ht="14.25" customHeight="1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  <c r="K453" s="208"/>
    </row>
    <row r="454" ht="14.25" customHeight="1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  <c r="K454" s="208"/>
    </row>
    <row r="455" ht="14.25" customHeight="1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</row>
    <row r="456" ht="14.25" customHeight="1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  <c r="K456" s="208"/>
    </row>
    <row r="457" ht="14.25" customHeight="1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  <c r="K457" s="208"/>
    </row>
    <row r="458" ht="14.25" customHeight="1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</row>
    <row r="459" ht="14.25" customHeight="1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  <c r="K459" s="208"/>
    </row>
    <row r="460" ht="14.25" customHeight="1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  <c r="K460" s="208"/>
    </row>
    <row r="461" ht="14.25" customHeight="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  <c r="K461" s="208"/>
    </row>
    <row r="462" ht="14.25" customHeight="1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  <c r="K462" s="208"/>
    </row>
    <row r="463" ht="14.25" customHeight="1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  <c r="K463" s="208"/>
    </row>
    <row r="464" ht="14.25" customHeight="1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</row>
    <row r="465" ht="14.25" customHeight="1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  <c r="K465" s="208"/>
    </row>
    <row r="466" ht="14.25" customHeight="1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  <c r="K466" s="208"/>
    </row>
    <row r="467" ht="14.25" customHeight="1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  <c r="K467" s="208"/>
    </row>
    <row r="468" ht="14.25" customHeight="1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  <c r="K468" s="208"/>
    </row>
    <row r="469" ht="14.25" customHeight="1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</row>
    <row r="470" ht="14.25" customHeight="1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</row>
    <row r="471" ht="14.25" customHeight="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  <c r="K471" s="208"/>
    </row>
    <row r="472" ht="14.25" customHeight="1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</row>
    <row r="473" ht="14.25" customHeight="1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  <c r="K473" s="208"/>
    </row>
    <row r="474" ht="14.25" customHeight="1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</row>
    <row r="475" ht="14.25" customHeight="1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</row>
    <row r="476" ht="14.25" customHeight="1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</row>
    <row r="477" ht="14.25" customHeight="1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  <c r="K477" s="208"/>
    </row>
    <row r="478" ht="14.25" customHeight="1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</row>
    <row r="479" ht="14.25" customHeight="1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  <c r="K479" s="208"/>
    </row>
    <row r="480" ht="14.25" customHeight="1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  <c r="K480" s="208"/>
    </row>
    <row r="481" ht="14.25" customHeight="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  <c r="K481" s="208"/>
    </row>
    <row r="482" ht="14.25" customHeight="1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  <c r="K482" s="208"/>
    </row>
    <row r="483" ht="14.25" customHeight="1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  <c r="K483" s="208"/>
    </row>
    <row r="484" ht="14.25" customHeight="1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  <c r="K484" s="208"/>
    </row>
    <row r="485" ht="14.25" customHeight="1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</row>
    <row r="486" ht="14.25" customHeight="1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  <c r="K486" s="208"/>
    </row>
    <row r="487" ht="14.25" customHeight="1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</row>
    <row r="488" ht="14.25" customHeight="1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</row>
    <row r="489" ht="14.25" customHeight="1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  <c r="K489" s="208"/>
    </row>
    <row r="490" ht="14.25" customHeight="1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  <c r="K490" s="208"/>
    </row>
    <row r="491" ht="14.25" customHeight="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  <c r="K491" s="208"/>
    </row>
    <row r="492" ht="14.25" customHeight="1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  <c r="K492" s="208"/>
    </row>
    <row r="493" ht="14.25" customHeight="1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  <c r="K493" s="208"/>
    </row>
    <row r="494" ht="14.25" customHeight="1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</row>
    <row r="495" ht="14.25" customHeight="1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  <c r="K495" s="208"/>
    </row>
    <row r="496" ht="14.25" customHeight="1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  <c r="K496" s="208"/>
    </row>
    <row r="497" ht="14.25" customHeight="1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</row>
    <row r="498" ht="14.25" customHeight="1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  <c r="K498" s="208"/>
    </row>
    <row r="499" ht="14.25" customHeight="1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  <c r="K499" s="208"/>
    </row>
    <row r="500" ht="14.25" customHeight="1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  <c r="K500" s="208"/>
    </row>
    <row r="501" ht="14.25" customHeight="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  <c r="K501" s="208"/>
    </row>
    <row r="502" ht="14.25" customHeight="1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  <c r="K502" s="208"/>
    </row>
    <row r="503" ht="14.25" customHeight="1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  <c r="K503" s="208"/>
    </row>
    <row r="504" ht="14.25" customHeight="1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  <c r="K504" s="208"/>
    </row>
    <row r="505" ht="14.25" customHeight="1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  <c r="K505" s="208"/>
    </row>
    <row r="506" ht="14.25" customHeight="1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  <c r="K506" s="208"/>
    </row>
    <row r="507" ht="14.25" customHeight="1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  <c r="K507" s="208"/>
    </row>
    <row r="508" ht="14.25" customHeight="1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  <c r="K508" s="208"/>
    </row>
    <row r="509" ht="14.25" customHeight="1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  <c r="K509" s="208"/>
    </row>
    <row r="510" ht="14.25" customHeight="1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  <c r="K510" s="208"/>
    </row>
    <row r="511" ht="14.25" customHeight="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  <c r="K511" s="208"/>
    </row>
    <row r="512" ht="14.25" customHeight="1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  <c r="K512" s="208"/>
    </row>
    <row r="513" ht="14.25" customHeight="1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  <c r="K513" s="208"/>
    </row>
    <row r="514" ht="14.25" customHeight="1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  <c r="K514" s="208"/>
    </row>
    <row r="515" ht="14.25" customHeight="1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  <c r="K515" s="208"/>
    </row>
    <row r="516" ht="14.25" customHeight="1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  <c r="K516" s="208"/>
    </row>
    <row r="517" ht="14.25" customHeight="1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  <c r="K517" s="208"/>
    </row>
    <row r="518" ht="14.25" customHeight="1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  <c r="K518" s="208"/>
    </row>
    <row r="519" ht="14.25" customHeight="1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  <c r="K519" s="208"/>
    </row>
    <row r="520" ht="14.25" customHeight="1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  <c r="K520" s="208"/>
    </row>
    <row r="521" ht="14.25" customHeight="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  <c r="K521" s="208"/>
    </row>
    <row r="522" ht="14.25" customHeight="1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  <c r="K522" s="208"/>
    </row>
    <row r="523" ht="14.25" customHeight="1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  <c r="K523" s="208"/>
    </row>
    <row r="524" ht="14.25" customHeight="1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  <c r="K524" s="208"/>
    </row>
    <row r="525" ht="14.25" customHeight="1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  <c r="K525" s="208"/>
    </row>
    <row r="526" ht="14.25" customHeight="1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  <c r="K526" s="208"/>
    </row>
    <row r="527" ht="14.25" customHeight="1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  <c r="K527" s="208"/>
    </row>
    <row r="528" ht="14.25" customHeight="1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  <c r="K528" s="208"/>
    </row>
    <row r="529" ht="14.25" customHeight="1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  <c r="K529" s="208"/>
    </row>
    <row r="530" ht="14.25" customHeight="1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  <c r="K530" s="208"/>
    </row>
    <row r="531" ht="14.25" customHeight="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  <c r="K531" s="208"/>
    </row>
    <row r="532" ht="14.25" customHeight="1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  <c r="K532" s="208"/>
    </row>
    <row r="533" ht="14.25" customHeight="1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  <c r="K533" s="208"/>
    </row>
    <row r="534" ht="14.25" customHeight="1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  <c r="K534" s="208"/>
    </row>
    <row r="535" ht="14.25" customHeight="1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  <c r="K535" s="208"/>
    </row>
    <row r="536" ht="14.25" customHeight="1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  <c r="K536" s="208"/>
    </row>
    <row r="537" ht="14.25" customHeight="1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  <c r="K537" s="208"/>
    </row>
    <row r="538" ht="14.25" customHeight="1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  <c r="K538" s="208"/>
    </row>
    <row r="539" ht="14.25" customHeight="1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  <c r="K539" s="208"/>
    </row>
    <row r="540" ht="14.25" customHeight="1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  <c r="K540" s="208"/>
    </row>
    <row r="541" ht="14.25" customHeight="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  <c r="K541" s="208"/>
    </row>
    <row r="542" ht="14.25" customHeight="1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  <c r="K542" s="208"/>
    </row>
    <row r="543" ht="14.25" customHeight="1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  <c r="K543" s="208"/>
    </row>
    <row r="544" ht="14.25" customHeight="1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  <c r="K544" s="208"/>
    </row>
    <row r="545" ht="14.25" customHeight="1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</row>
    <row r="546" ht="14.25" customHeight="1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  <c r="K546" s="208"/>
    </row>
    <row r="547" ht="14.25" customHeight="1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  <c r="K547" s="208"/>
    </row>
    <row r="548" ht="14.25" customHeight="1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  <c r="K548" s="208"/>
    </row>
    <row r="549" ht="14.25" customHeight="1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  <c r="K549" s="208"/>
    </row>
    <row r="550" ht="14.25" customHeight="1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  <c r="K550" s="208"/>
    </row>
    <row r="551" ht="14.25" customHeight="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  <c r="K551" s="208"/>
    </row>
    <row r="552" ht="14.25" customHeight="1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  <c r="K552" s="208"/>
    </row>
    <row r="553" ht="14.25" customHeight="1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  <c r="K553" s="208"/>
    </row>
    <row r="554" ht="14.25" customHeight="1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</row>
    <row r="555" ht="14.25" customHeight="1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  <c r="K555" s="208"/>
    </row>
    <row r="556" ht="14.25" customHeight="1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  <c r="K556" s="208"/>
    </row>
    <row r="557" ht="14.25" customHeight="1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  <c r="K557" s="208"/>
    </row>
    <row r="558" ht="14.25" customHeight="1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  <c r="K558" s="208"/>
    </row>
    <row r="559" ht="14.25" customHeight="1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  <c r="K559" s="208"/>
    </row>
    <row r="560" ht="14.25" customHeight="1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  <c r="K560" s="208"/>
    </row>
    <row r="561" ht="14.25" customHeight="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</row>
    <row r="562" ht="14.25" customHeight="1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</row>
    <row r="563" ht="14.25" customHeight="1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  <c r="K563" s="208"/>
    </row>
    <row r="564" ht="14.25" customHeight="1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  <c r="K564" s="208"/>
    </row>
    <row r="565" ht="14.25" customHeight="1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  <c r="K565" s="208"/>
    </row>
    <row r="566" ht="14.25" customHeight="1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  <c r="K566" s="208"/>
    </row>
    <row r="567" ht="14.25" customHeight="1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  <c r="K567" s="208"/>
    </row>
    <row r="568" ht="14.25" customHeight="1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  <c r="K568" s="208"/>
    </row>
    <row r="569" ht="14.25" customHeight="1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</row>
    <row r="570" ht="14.25" customHeight="1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  <c r="K570" s="208"/>
    </row>
    <row r="571" ht="14.25" customHeight="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  <c r="K571" s="208"/>
    </row>
    <row r="572" ht="14.25" customHeight="1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  <c r="K572" s="208"/>
    </row>
    <row r="573" ht="14.25" customHeight="1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</row>
    <row r="574" ht="14.25" customHeight="1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  <c r="K574" s="208"/>
    </row>
    <row r="575" ht="14.25" customHeight="1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  <c r="K575" s="208"/>
    </row>
    <row r="576" ht="14.25" customHeight="1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  <c r="K576" s="208"/>
    </row>
    <row r="577" ht="14.25" customHeight="1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  <c r="K577" s="208"/>
    </row>
    <row r="578" ht="14.25" customHeight="1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  <c r="K578" s="208"/>
    </row>
    <row r="579" ht="14.25" customHeight="1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  <c r="K579" s="208"/>
    </row>
    <row r="580" ht="14.25" customHeight="1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  <c r="K580" s="208"/>
    </row>
    <row r="581" ht="14.25" customHeight="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  <c r="K581" s="208"/>
    </row>
    <row r="582" ht="14.25" customHeight="1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  <c r="K582" s="208"/>
    </row>
    <row r="583" ht="14.25" customHeight="1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  <c r="K583" s="208"/>
    </row>
    <row r="584" ht="14.25" customHeight="1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  <c r="K584" s="208"/>
    </row>
    <row r="585" ht="14.25" customHeight="1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  <c r="K585" s="208"/>
    </row>
    <row r="586" ht="14.25" customHeight="1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  <c r="K586" s="208"/>
    </row>
    <row r="587" ht="14.25" customHeight="1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  <c r="K587" s="208"/>
    </row>
    <row r="588" ht="14.25" customHeight="1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  <c r="K588" s="208"/>
    </row>
    <row r="589" ht="14.25" customHeight="1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  <c r="K589" s="208"/>
    </row>
    <row r="590" ht="14.25" customHeight="1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  <c r="K590" s="208"/>
    </row>
    <row r="591" ht="14.25" customHeight="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  <c r="K591" s="208"/>
    </row>
    <row r="592" ht="14.25" customHeight="1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  <c r="K592" s="208"/>
    </row>
    <row r="593" ht="14.25" customHeight="1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  <c r="K593" s="208"/>
    </row>
    <row r="594" ht="14.25" customHeight="1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  <c r="K594" s="208"/>
    </row>
    <row r="595" ht="14.25" customHeight="1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  <c r="K595" s="208"/>
    </row>
    <row r="596" ht="14.25" customHeight="1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  <c r="K596" s="208"/>
    </row>
    <row r="597" ht="14.25" customHeight="1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  <c r="K597" s="208"/>
    </row>
    <row r="598" ht="14.25" customHeight="1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  <c r="K598" s="208"/>
    </row>
    <row r="599" ht="14.25" customHeight="1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  <c r="K599" s="208"/>
    </row>
    <row r="600" ht="14.25" customHeight="1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  <c r="K600" s="208"/>
    </row>
    <row r="601" ht="14.25" customHeight="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  <c r="K601" s="208"/>
    </row>
    <row r="602" ht="14.25" customHeight="1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  <c r="K602" s="208"/>
    </row>
    <row r="603" ht="14.25" customHeight="1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  <c r="K603" s="208"/>
    </row>
    <row r="604" ht="14.25" customHeight="1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  <c r="K604" s="208"/>
    </row>
    <row r="605" ht="14.25" customHeight="1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  <c r="K605" s="208"/>
    </row>
    <row r="606" ht="14.25" customHeight="1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  <c r="K606" s="208"/>
    </row>
    <row r="607" ht="14.25" customHeight="1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  <c r="K607" s="208"/>
    </row>
    <row r="608" ht="14.25" customHeight="1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  <c r="K608" s="208"/>
    </row>
    <row r="609" ht="14.25" customHeight="1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  <c r="K609" s="208"/>
    </row>
    <row r="610" ht="14.25" customHeight="1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  <c r="K610" s="208"/>
    </row>
    <row r="611" ht="14.25" customHeight="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  <c r="K611" s="208"/>
    </row>
    <row r="612" ht="14.25" customHeight="1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</row>
    <row r="613" ht="14.25" customHeight="1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  <c r="K613" s="208"/>
    </row>
    <row r="614" ht="14.25" customHeight="1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</row>
    <row r="615" ht="14.25" customHeight="1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</row>
    <row r="616" ht="14.25" customHeight="1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  <c r="K616" s="208"/>
    </row>
    <row r="617" ht="14.25" customHeight="1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  <c r="K617" s="208"/>
    </row>
    <row r="618" ht="14.25" customHeight="1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</row>
    <row r="619" ht="14.25" customHeight="1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  <c r="K619" s="208"/>
    </row>
    <row r="620" ht="14.25" customHeight="1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  <c r="K620" s="208"/>
    </row>
    <row r="621" ht="14.25" customHeight="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  <c r="K621" s="208"/>
    </row>
    <row r="622" ht="14.25" customHeight="1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  <c r="K622" s="208"/>
    </row>
    <row r="623" ht="14.25" customHeight="1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  <c r="K623" s="208"/>
    </row>
    <row r="624" ht="14.25" customHeight="1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  <c r="K624" s="208"/>
    </row>
    <row r="625" ht="14.25" customHeight="1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  <c r="K625" s="208"/>
    </row>
    <row r="626" ht="14.25" customHeight="1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</row>
    <row r="627" ht="14.25" customHeight="1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  <c r="K627" s="208"/>
    </row>
    <row r="628" ht="14.25" customHeight="1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  <c r="K628" s="208"/>
    </row>
    <row r="629" ht="14.25" customHeight="1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  <c r="K629" s="208"/>
    </row>
    <row r="630" ht="14.25" customHeight="1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  <c r="K630" s="208"/>
    </row>
    <row r="631" ht="14.25" customHeight="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  <c r="K631" s="208"/>
    </row>
    <row r="632" ht="14.25" customHeight="1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  <c r="K632" s="208"/>
    </row>
    <row r="633" ht="14.25" customHeight="1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  <c r="K633" s="208"/>
    </row>
    <row r="634" ht="14.25" customHeight="1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  <c r="K634" s="208"/>
    </row>
    <row r="635" ht="14.25" customHeight="1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  <c r="K635" s="208"/>
    </row>
    <row r="636" ht="14.25" customHeight="1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  <c r="K636" s="208"/>
    </row>
    <row r="637" ht="14.25" customHeight="1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  <c r="K637" s="208"/>
    </row>
    <row r="638" ht="14.25" customHeight="1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  <c r="K638" s="208"/>
    </row>
    <row r="639" ht="14.25" customHeight="1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  <c r="K639" s="208"/>
    </row>
    <row r="640" ht="14.25" customHeight="1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  <c r="K640" s="208"/>
    </row>
    <row r="641" ht="14.25" customHeight="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  <c r="K641" s="208"/>
    </row>
    <row r="642" ht="14.25" customHeight="1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  <c r="K642" s="208"/>
    </row>
    <row r="643" ht="14.25" customHeight="1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  <c r="K643" s="208"/>
    </row>
    <row r="644" ht="14.25" customHeight="1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</row>
    <row r="645" ht="14.25" customHeight="1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  <c r="K645" s="208"/>
    </row>
    <row r="646" ht="14.25" customHeight="1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  <c r="K646" s="208"/>
    </row>
    <row r="647" ht="14.25" customHeight="1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  <c r="K647" s="208"/>
    </row>
    <row r="648" ht="14.25" customHeight="1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  <c r="K648" s="208"/>
    </row>
    <row r="649" ht="14.25" customHeight="1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  <c r="K649" s="208"/>
    </row>
    <row r="650" ht="14.25" customHeight="1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  <c r="K650" s="208"/>
    </row>
    <row r="651" ht="14.25" customHeight="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  <c r="K651" s="208"/>
    </row>
    <row r="652" ht="14.25" customHeight="1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  <c r="K652" s="208"/>
    </row>
    <row r="653" ht="14.25" customHeight="1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  <c r="K653" s="208"/>
    </row>
    <row r="654" ht="14.25" customHeight="1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  <c r="K654" s="208"/>
    </row>
    <row r="655" ht="14.25" customHeight="1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  <c r="K655" s="208"/>
    </row>
    <row r="656" ht="14.25" customHeight="1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  <c r="K656" s="208"/>
    </row>
    <row r="657" ht="14.25" customHeight="1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  <c r="K657" s="208"/>
    </row>
    <row r="658" ht="14.25" customHeight="1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  <c r="K658" s="208"/>
    </row>
    <row r="659" ht="14.25" customHeight="1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  <c r="K659" s="208"/>
    </row>
    <row r="660" ht="14.25" customHeight="1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  <c r="K660" s="208"/>
    </row>
    <row r="661" ht="14.25" customHeight="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  <c r="K661" s="208"/>
    </row>
    <row r="662" ht="14.25" customHeight="1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  <c r="K662" s="208"/>
    </row>
    <row r="663" ht="14.25" customHeight="1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  <c r="K663" s="208"/>
    </row>
    <row r="664" ht="14.25" customHeight="1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  <c r="K664" s="208"/>
    </row>
    <row r="665" ht="14.25" customHeight="1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  <c r="K665" s="208"/>
    </row>
    <row r="666" ht="14.25" customHeight="1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</row>
    <row r="667" ht="14.25" customHeight="1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  <c r="K667" s="208"/>
    </row>
    <row r="668" ht="14.25" customHeight="1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  <c r="K668" s="208"/>
    </row>
    <row r="669" ht="14.25" customHeight="1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  <c r="K669" s="208"/>
    </row>
    <row r="670" ht="14.25" customHeight="1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  <c r="K670" s="208"/>
    </row>
    <row r="671" ht="14.25" customHeight="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  <c r="K671" s="208"/>
    </row>
    <row r="672" ht="14.25" customHeight="1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  <c r="K672" s="208"/>
    </row>
    <row r="673" ht="14.25" customHeight="1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</row>
    <row r="674" ht="14.25" customHeight="1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  <c r="K674" s="208"/>
    </row>
    <row r="675" ht="14.25" customHeight="1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  <c r="K675" s="208"/>
    </row>
    <row r="676" ht="14.25" customHeight="1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  <c r="K676" s="208"/>
    </row>
    <row r="677" ht="14.25" customHeight="1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  <c r="K677" s="208"/>
    </row>
    <row r="678" ht="14.25" customHeight="1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  <c r="K678" s="208"/>
    </row>
    <row r="679" ht="14.25" customHeight="1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  <c r="K679" s="208"/>
    </row>
    <row r="680" ht="14.25" customHeight="1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  <c r="K680" s="208"/>
    </row>
    <row r="681" ht="14.25" customHeight="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  <c r="K681" s="208"/>
    </row>
    <row r="682" ht="14.25" customHeight="1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  <c r="K682" s="208"/>
    </row>
    <row r="683" ht="14.25" customHeight="1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  <c r="K683" s="208"/>
    </row>
    <row r="684" ht="14.25" customHeight="1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  <c r="K684" s="208"/>
    </row>
    <row r="685" ht="14.25" customHeight="1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  <c r="K685" s="208"/>
    </row>
    <row r="686" ht="14.25" customHeight="1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  <c r="K686" s="208"/>
    </row>
    <row r="687" ht="14.25" customHeight="1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  <c r="K687" s="208"/>
    </row>
    <row r="688" ht="14.25" customHeight="1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  <c r="K688" s="208"/>
    </row>
    <row r="689" ht="14.25" customHeight="1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  <c r="K689" s="208"/>
    </row>
    <row r="690" ht="14.25" customHeight="1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  <c r="K690" s="208"/>
    </row>
    <row r="691" ht="14.25" customHeight="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  <c r="K691" s="208"/>
    </row>
    <row r="692" ht="14.25" customHeight="1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  <c r="K692" s="208"/>
    </row>
    <row r="693" ht="14.25" customHeight="1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  <c r="K693" s="208"/>
    </row>
    <row r="694" ht="14.25" customHeight="1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  <c r="K694" s="208"/>
    </row>
    <row r="695" ht="14.25" customHeight="1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  <c r="K695" s="208"/>
    </row>
    <row r="696" ht="14.25" customHeight="1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  <c r="K696" s="208"/>
    </row>
    <row r="697" ht="14.25" customHeight="1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  <c r="K697" s="208"/>
    </row>
    <row r="698" ht="14.25" customHeight="1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  <c r="K698" s="208"/>
    </row>
    <row r="699" ht="14.25" customHeight="1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  <c r="K699" s="208"/>
    </row>
    <row r="700" ht="14.25" customHeight="1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</row>
    <row r="701" ht="14.25" customHeight="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  <c r="K701" s="208"/>
    </row>
    <row r="702" ht="14.25" customHeight="1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  <c r="K702" s="208"/>
    </row>
    <row r="703" ht="14.25" customHeight="1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  <c r="K703" s="208"/>
    </row>
    <row r="704" ht="14.25" customHeight="1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</row>
    <row r="705" ht="14.25" customHeight="1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  <c r="K705" s="208"/>
    </row>
    <row r="706" ht="14.25" customHeight="1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  <c r="K706" s="208"/>
    </row>
    <row r="707" ht="14.25" customHeight="1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  <c r="K707" s="208"/>
    </row>
    <row r="708" ht="14.25" customHeight="1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  <c r="K708" s="208"/>
    </row>
    <row r="709" ht="14.25" customHeight="1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  <c r="K709" s="208"/>
    </row>
    <row r="710" ht="14.25" customHeight="1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</row>
    <row r="711" ht="14.25" customHeight="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  <c r="K711" s="208"/>
    </row>
    <row r="712" ht="14.25" customHeight="1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  <c r="K712" s="208"/>
    </row>
    <row r="713" ht="14.25" customHeight="1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  <c r="K713" s="208"/>
    </row>
    <row r="714" ht="14.25" customHeight="1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  <c r="K714" s="208"/>
    </row>
    <row r="715" ht="14.25" customHeight="1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  <c r="K715" s="208"/>
    </row>
    <row r="716" ht="14.25" customHeight="1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  <c r="K716" s="208"/>
    </row>
    <row r="717" ht="14.25" customHeight="1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  <c r="K717" s="208"/>
    </row>
    <row r="718" ht="14.25" customHeight="1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  <c r="K718" s="208"/>
    </row>
    <row r="719" ht="14.25" customHeight="1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  <c r="K719" s="208"/>
    </row>
    <row r="720" ht="14.25" customHeight="1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  <c r="K720" s="208"/>
    </row>
    <row r="721" ht="14.25" customHeight="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</row>
    <row r="722" ht="14.25" customHeight="1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  <c r="K722" s="208"/>
    </row>
    <row r="723" ht="14.25" customHeight="1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  <c r="K723" s="208"/>
    </row>
    <row r="724" ht="14.25" customHeight="1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  <c r="K724" s="208"/>
    </row>
    <row r="725" ht="14.25" customHeight="1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  <c r="K725" s="208"/>
    </row>
    <row r="726" ht="14.25" customHeight="1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  <c r="K726" s="208"/>
    </row>
    <row r="727" ht="14.25" customHeight="1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</row>
    <row r="728" ht="14.25" customHeight="1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  <c r="K728" s="208"/>
    </row>
    <row r="729" ht="14.25" customHeight="1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  <c r="K729" s="208"/>
    </row>
    <row r="730" ht="14.25" customHeight="1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  <c r="K730" s="208"/>
    </row>
    <row r="731" ht="14.25" customHeight="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  <c r="K731" s="208"/>
    </row>
    <row r="732" ht="14.25" customHeight="1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</row>
    <row r="733" ht="14.25" customHeight="1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  <c r="K733" s="208"/>
    </row>
    <row r="734" ht="14.25" customHeight="1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  <c r="K734" s="208"/>
    </row>
    <row r="735" ht="14.25" customHeight="1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  <c r="K735" s="208"/>
    </row>
    <row r="736" ht="14.25" customHeight="1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  <c r="K736" s="208"/>
    </row>
    <row r="737" ht="14.25" customHeight="1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  <c r="K737" s="208"/>
    </row>
    <row r="738" ht="14.25" customHeight="1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  <c r="K738" s="208"/>
    </row>
    <row r="739" ht="14.25" customHeight="1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  <c r="K739" s="208"/>
    </row>
    <row r="740" ht="14.25" customHeight="1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</row>
    <row r="741" ht="14.25" customHeight="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  <c r="K741" s="208"/>
    </row>
    <row r="742" ht="14.25" customHeight="1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  <c r="K742" s="208"/>
    </row>
    <row r="743" ht="14.25" customHeight="1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  <c r="K743" s="208"/>
    </row>
    <row r="744" ht="14.25" customHeight="1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  <c r="K744" s="208"/>
    </row>
    <row r="745" ht="14.25" customHeight="1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  <c r="K745" s="208"/>
    </row>
    <row r="746" ht="14.25" customHeight="1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  <c r="K746" s="208"/>
    </row>
    <row r="747" ht="14.25" customHeight="1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</row>
    <row r="748" ht="14.25" customHeight="1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  <c r="K748" s="208"/>
    </row>
    <row r="749" ht="14.25" customHeight="1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  <c r="K749" s="208"/>
    </row>
    <row r="750" ht="14.25" customHeight="1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  <c r="K750" s="208"/>
    </row>
    <row r="751" ht="14.25" customHeight="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  <c r="K751" s="208"/>
    </row>
    <row r="752" ht="14.25" customHeight="1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  <c r="K752" s="208"/>
    </row>
    <row r="753" ht="14.25" customHeight="1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</row>
    <row r="754" ht="14.25" customHeight="1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  <c r="K754" s="208"/>
    </row>
    <row r="755" ht="14.25" customHeight="1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  <c r="K755" s="208"/>
    </row>
    <row r="756" ht="14.25" customHeight="1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  <c r="K756" s="208"/>
    </row>
    <row r="757" ht="14.25" customHeight="1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  <c r="K757" s="208"/>
    </row>
    <row r="758" ht="14.25" customHeight="1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</row>
    <row r="759" ht="14.25" customHeight="1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  <c r="K759" s="208"/>
    </row>
    <row r="760" ht="14.25" customHeight="1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  <c r="K760" s="208"/>
    </row>
    <row r="761" ht="14.25" customHeight="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</row>
    <row r="762" ht="14.25" customHeight="1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  <c r="K762" s="208"/>
    </row>
    <row r="763" ht="14.25" customHeight="1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  <c r="K763" s="208"/>
    </row>
    <row r="764" ht="14.25" customHeight="1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  <c r="K764" s="208"/>
    </row>
    <row r="765" ht="14.25" customHeight="1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  <c r="K765" s="208"/>
    </row>
    <row r="766" ht="14.25" customHeight="1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  <c r="K766" s="208"/>
    </row>
    <row r="767" ht="14.25" customHeight="1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  <c r="K767" s="208"/>
    </row>
    <row r="768" ht="14.25" customHeight="1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  <c r="K768" s="208"/>
    </row>
    <row r="769" ht="14.25" customHeight="1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  <c r="K769" s="208"/>
    </row>
    <row r="770" ht="14.25" customHeight="1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  <c r="K770" s="208"/>
    </row>
    <row r="771" ht="14.25" customHeight="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  <c r="K771" s="208"/>
    </row>
    <row r="772" ht="14.25" customHeight="1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  <c r="K772" s="208"/>
    </row>
    <row r="773" ht="14.25" customHeight="1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  <c r="K773" s="208"/>
    </row>
    <row r="774" ht="14.25" customHeight="1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  <c r="K774" s="208"/>
    </row>
    <row r="775" ht="14.25" customHeight="1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  <c r="K775" s="208"/>
    </row>
    <row r="776" ht="14.25" customHeight="1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  <c r="K776" s="208"/>
    </row>
    <row r="777" ht="14.25" customHeight="1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  <c r="K777" s="208"/>
    </row>
    <row r="778" ht="14.25" customHeight="1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  <c r="K778" s="208"/>
    </row>
    <row r="779" ht="14.25" customHeight="1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  <c r="K779" s="208"/>
    </row>
    <row r="780" ht="14.25" customHeight="1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  <c r="K780" s="208"/>
    </row>
    <row r="781" ht="14.25" customHeight="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  <c r="K781" s="208"/>
    </row>
    <row r="782" ht="14.25" customHeight="1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  <c r="K782" s="208"/>
    </row>
    <row r="783" ht="14.25" customHeight="1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  <c r="K783" s="208"/>
    </row>
    <row r="784" ht="14.25" customHeight="1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  <c r="K784" s="208"/>
    </row>
    <row r="785" ht="14.25" customHeight="1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</row>
    <row r="786" ht="14.25" customHeight="1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  <c r="K786" s="208"/>
    </row>
    <row r="787" ht="14.25" customHeight="1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  <c r="K787" s="208"/>
    </row>
    <row r="788" ht="14.25" customHeight="1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  <c r="K788" s="208"/>
    </row>
    <row r="789" ht="14.25" customHeight="1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  <c r="K789" s="208"/>
    </row>
    <row r="790" ht="14.25" customHeight="1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  <c r="K790" s="208"/>
    </row>
    <row r="791" ht="14.25" customHeight="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  <c r="K791" s="208"/>
    </row>
    <row r="792" ht="14.25" customHeight="1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  <c r="K792" s="208"/>
    </row>
    <row r="793" ht="14.25" customHeight="1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  <c r="K793" s="208"/>
    </row>
    <row r="794" ht="14.25" customHeight="1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  <c r="K794" s="208"/>
    </row>
    <row r="795" ht="14.25" customHeight="1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  <c r="K795" s="208"/>
    </row>
    <row r="796" ht="14.25" customHeight="1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  <c r="K796" s="208"/>
    </row>
    <row r="797" ht="14.25" customHeight="1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  <c r="K797" s="208"/>
    </row>
    <row r="798" ht="14.25" customHeight="1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  <c r="K798" s="208"/>
    </row>
    <row r="799" ht="14.25" customHeight="1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  <c r="K799" s="208"/>
    </row>
    <row r="800" ht="14.25" customHeight="1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  <c r="K800" s="208"/>
    </row>
    <row r="801" ht="14.25" customHeight="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  <c r="K801" s="208"/>
    </row>
    <row r="802" ht="14.25" customHeight="1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  <c r="K802" s="208"/>
    </row>
    <row r="803" ht="14.25" customHeight="1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  <c r="K803" s="208"/>
    </row>
    <row r="804" ht="14.25" customHeight="1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  <c r="K804" s="208"/>
    </row>
    <row r="805" ht="14.25" customHeight="1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  <c r="K805" s="208"/>
    </row>
    <row r="806" ht="14.25" customHeight="1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  <c r="K806" s="208"/>
    </row>
    <row r="807" ht="14.25" customHeight="1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  <c r="K807" s="208"/>
    </row>
    <row r="808" ht="14.25" customHeight="1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  <c r="K808" s="208"/>
    </row>
    <row r="809" ht="14.25" customHeight="1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  <c r="K809" s="208"/>
    </row>
    <row r="810" ht="14.25" customHeight="1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</row>
    <row r="811" ht="14.25" customHeight="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  <c r="K811" s="208"/>
    </row>
    <row r="812" ht="14.25" customHeight="1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  <c r="K812" s="208"/>
    </row>
    <row r="813" ht="14.25" customHeight="1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  <c r="K813" s="208"/>
    </row>
    <row r="814" ht="14.25" customHeight="1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  <c r="K814" s="208"/>
    </row>
    <row r="815" ht="14.25" customHeight="1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  <c r="K815" s="208"/>
    </row>
    <row r="816" ht="14.25" customHeight="1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  <c r="K816" s="208"/>
    </row>
    <row r="817" ht="14.25" customHeight="1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  <c r="K817" s="208"/>
    </row>
    <row r="818" ht="14.25" customHeight="1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  <c r="K818" s="208"/>
    </row>
    <row r="819" ht="14.25" customHeight="1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  <c r="K819" s="208"/>
    </row>
    <row r="820" ht="14.25" customHeight="1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  <c r="K820" s="208"/>
    </row>
    <row r="821" ht="14.25" customHeight="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  <c r="K821" s="208"/>
    </row>
    <row r="822" ht="14.25" customHeight="1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  <c r="K822" s="208"/>
    </row>
    <row r="823" ht="14.25" customHeight="1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  <c r="K823" s="208"/>
    </row>
    <row r="824" ht="14.25" customHeight="1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  <c r="K824" s="208"/>
    </row>
    <row r="825" ht="14.25" customHeight="1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  <c r="K825" s="208"/>
    </row>
    <row r="826" ht="14.25" customHeight="1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  <c r="K826" s="208"/>
    </row>
    <row r="827" ht="14.25" customHeight="1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  <c r="K827" s="208"/>
    </row>
    <row r="828" ht="14.25" customHeight="1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</row>
    <row r="829" ht="14.25" customHeight="1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  <c r="K829" s="208"/>
    </row>
    <row r="830" ht="14.25" customHeight="1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  <c r="K830" s="208"/>
    </row>
    <row r="831" ht="14.25" customHeight="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  <c r="K831" s="208"/>
    </row>
    <row r="832" ht="14.25" customHeight="1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  <c r="K832" s="208"/>
    </row>
    <row r="833" ht="14.25" customHeight="1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  <c r="K833" s="208"/>
    </row>
    <row r="834" ht="14.25" customHeight="1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  <c r="K834" s="208"/>
    </row>
    <row r="835" ht="14.25" customHeight="1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  <c r="K835" s="208"/>
    </row>
    <row r="836" ht="14.25" customHeight="1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  <c r="K836" s="208"/>
    </row>
    <row r="837" ht="14.25" customHeight="1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  <c r="K837" s="208"/>
    </row>
    <row r="838" ht="14.25" customHeight="1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  <c r="K838" s="208"/>
    </row>
    <row r="839" ht="14.25" customHeight="1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  <c r="K839" s="208"/>
    </row>
    <row r="840" ht="14.25" customHeight="1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  <c r="K840" s="208"/>
    </row>
    <row r="841" ht="14.25" customHeight="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  <c r="K841" s="208"/>
    </row>
    <row r="842" ht="14.25" customHeight="1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  <c r="K842" s="208"/>
    </row>
    <row r="843" ht="14.25" customHeight="1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  <c r="K843" s="208"/>
    </row>
    <row r="844" ht="14.25" customHeight="1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  <c r="K844" s="208"/>
    </row>
    <row r="845" ht="14.25" customHeight="1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  <c r="K845" s="208"/>
    </row>
    <row r="846" ht="14.25" customHeight="1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  <c r="K846" s="208"/>
    </row>
    <row r="847" ht="14.25" customHeight="1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  <c r="K847" s="208"/>
    </row>
    <row r="848" ht="14.25" customHeight="1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  <c r="K848" s="208"/>
    </row>
    <row r="849" ht="14.25" customHeight="1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  <c r="K849" s="208"/>
    </row>
    <row r="850" ht="14.25" customHeight="1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  <c r="K850" s="208"/>
    </row>
    <row r="851" ht="14.25" customHeight="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  <c r="K851" s="208"/>
    </row>
    <row r="852" ht="14.25" customHeight="1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  <c r="K852" s="208"/>
    </row>
    <row r="853" ht="14.25" customHeight="1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  <c r="K853" s="208"/>
    </row>
    <row r="854" ht="14.25" customHeight="1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  <c r="K854" s="208"/>
    </row>
    <row r="855" ht="14.25" customHeight="1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  <c r="K855" s="208"/>
    </row>
    <row r="856" ht="14.25" customHeight="1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</row>
    <row r="857" ht="14.25" customHeight="1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  <c r="K857" s="208"/>
    </row>
    <row r="858" ht="14.25" customHeight="1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  <c r="K858" s="208"/>
    </row>
    <row r="859" ht="14.25" customHeight="1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  <c r="K859" s="208"/>
    </row>
    <row r="860" ht="14.25" customHeight="1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  <c r="K860" s="208"/>
    </row>
    <row r="861" ht="14.25" customHeight="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  <c r="K861" s="208"/>
    </row>
    <row r="862" ht="14.25" customHeight="1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  <c r="K862" s="208"/>
    </row>
    <row r="863" ht="14.25" customHeight="1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  <c r="K863" s="208"/>
    </row>
    <row r="864" ht="14.25" customHeight="1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  <c r="K864" s="208"/>
    </row>
    <row r="865" ht="14.25" customHeight="1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  <c r="K865" s="208"/>
    </row>
    <row r="866" ht="14.25" customHeight="1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  <c r="K866" s="208"/>
    </row>
    <row r="867" ht="14.25" customHeight="1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  <c r="K867" s="208"/>
    </row>
    <row r="868" ht="14.25" customHeight="1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  <c r="K868" s="208"/>
    </row>
    <row r="869" ht="14.25" customHeight="1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  <c r="K869" s="208"/>
    </row>
    <row r="870" ht="14.25" customHeight="1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  <c r="K870" s="208"/>
    </row>
    <row r="871" ht="14.25" customHeight="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  <c r="K871" s="208"/>
    </row>
    <row r="872" ht="14.25" customHeight="1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  <c r="K872" s="208"/>
    </row>
    <row r="873" ht="14.25" customHeight="1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  <c r="K873" s="208"/>
    </row>
    <row r="874" ht="14.25" customHeight="1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  <c r="K874" s="208"/>
    </row>
    <row r="875" ht="14.25" customHeight="1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  <c r="K875" s="208"/>
    </row>
    <row r="876" ht="14.25" customHeight="1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  <c r="K876" s="208"/>
    </row>
    <row r="877" ht="14.25" customHeight="1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  <c r="K877" s="208"/>
    </row>
    <row r="878" ht="14.25" customHeight="1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  <c r="K878" s="208"/>
    </row>
    <row r="879" ht="14.25" customHeight="1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  <c r="K879" s="208"/>
    </row>
    <row r="880" ht="14.25" customHeight="1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  <c r="K880" s="208"/>
    </row>
    <row r="881" ht="14.25" customHeight="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  <c r="K881" s="208"/>
    </row>
    <row r="882" ht="14.25" customHeight="1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  <c r="K882" s="208"/>
    </row>
    <row r="883" ht="14.25" customHeight="1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  <c r="K883" s="208"/>
    </row>
    <row r="884" ht="14.25" customHeight="1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  <c r="K884" s="208"/>
    </row>
    <row r="885" ht="14.25" customHeight="1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  <c r="K885" s="208"/>
    </row>
    <row r="886" ht="14.25" customHeight="1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</row>
    <row r="887" ht="14.25" customHeight="1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  <c r="K887" s="208"/>
    </row>
    <row r="888" ht="14.25" customHeight="1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  <c r="K888" s="208"/>
    </row>
    <row r="889" ht="14.25" customHeight="1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  <c r="K889" s="208"/>
    </row>
    <row r="890" ht="14.25" customHeight="1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  <c r="K890" s="208"/>
    </row>
    <row r="891" ht="14.25" customHeight="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  <c r="K891" s="208"/>
    </row>
    <row r="892" ht="14.25" customHeight="1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  <c r="K892" s="208"/>
    </row>
    <row r="893" ht="14.25" customHeight="1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  <c r="K893" s="208"/>
    </row>
    <row r="894" ht="14.25" customHeight="1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  <c r="K894" s="208"/>
    </row>
    <row r="895" ht="14.25" customHeight="1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</row>
    <row r="896" ht="14.25" customHeight="1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  <c r="K896" s="208"/>
    </row>
    <row r="897" ht="14.25" customHeight="1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  <c r="K897" s="208"/>
    </row>
    <row r="898" ht="14.25" customHeight="1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  <c r="K898" s="208"/>
    </row>
    <row r="899" ht="14.25" customHeight="1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  <c r="K899" s="208"/>
    </row>
    <row r="900" ht="14.25" customHeight="1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  <c r="K900" s="208"/>
    </row>
    <row r="901" ht="14.25" customHeight="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  <c r="K901" s="208"/>
    </row>
    <row r="902" ht="14.25" customHeight="1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  <c r="K902" s="208"/>
    </row>
    <row r="903" ht="14.25" customHeight="1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  <c r="K903" s="208"/>
    </row>
    <row r="904" ht="14.25" customHeight="1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  <c r="K904" s="208"/>
    </row>
    <row r="905" ht="14.25" customHeight="1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  <c r="K905" s="208"/>
    </row>
    <row r="906" ht="14.25" customHeight="1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  <c r="K906" s="208"/>
    </row>
    <row r="907" ht="14.25" customHeight="1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  <c r="K907" s="208"/>
    </row>
    <row r="908" ht="14.25" customHeight="1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  <c r="K908" s="208"/>
    </row>
    <row r="909" ht="14.25" customHeight="1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  <c r="K909" s="208"/>
    </row>
    <row r="910" ht="14.25" customHeight="1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  <c r="K910" s="208"/>
    </row>
    <row r="911" ht="14.25" customHeight="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  <c r="K911" s="208"/>
    </row>
    <row r="912" ht="14.25" customHeight="1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  <c r="K912" s="208"/>
    </row>
    <row r="913" ht="14.25" customHeight="1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  <c r="K913" s="208"/>
    </row>
    <row r="914" ht="14.25" customHeight="1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  <c r="K914" s="208"/>
    </row>
    <row r="915" ht="14.25" customHeight="1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  <c r="K915" s="208"/>
    </row>
    <row r="916" ht="14.25" customHeight="1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  <c r="K916" s="208"/>
    </row>
    <row r="917" ht="14.25" customHeight="1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  <c r="K917" s="208"/>
    </row>
    <row r="918" ht="14.25" customHeight="1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  <c r="K918" s="208"/>
    </row>
    <row r="919" ht="14.25" customHeight="1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  <c r="K919" s="208"/>
    </row>
    <row r="920" ht="14.25" customHeight="1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  <c r="K920" s="208"/>
    </row>
    <row r="921" ht="14.25" customHeight="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  <c r="K921" s="208"/>
    </row>
    <row r="922" ht="14.25" customHeight="1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</row>
    <row r="923" ht="14.25" customHeight="1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  <c r="K923" s="208"/>
    </row>
    <row r="924" ht="14.25" customHeight="1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  <c r="K924" s="208"/>
    </row>
    <row r="925" ht="14.25" customHeight="1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  <c r="K925" s="208"/>
    </row>
    <row r="926" ht="14.25" customHeight="1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  <c r="K926" s="208"/>
    </row>
    <row r="927" ht="14.25" customHeight="1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  <c r="K927" s="208"/>
    </row>
    <row r="928" ht="14.25" customHeight="1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  <c r="K928" s="208"/>
    </row>
    <row r="929" ht="14.25" customHeight="1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  <c r="K929" s="208"/>
    </row>
    <row r="930" ht="14.25" customHeight="1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  <c r="K930" s="208"/>
    </row>
    <row r="931" ht="14.25" customHeight="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  <c r="K931" s="208"/>
    </row>
    <row r="932" ht="14.25" customHeight="1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  <c r="K932" s="208"/>
    </row>
    <row r="933" ht="14.25" customHeight="1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  <c r="K933" s="208"/>
    </row>
    <row r="934" ht="14.25" customHeight="1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  <c r="K934" s="208"/>
    </row>
    <row r="935" ht="14.25" customHeight="1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  <c r="K935" s="208"/>
    </row>
    <row r="936" ht="14.25" customHeight="1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  <c r="K936" s="208"/>
    </row>
    <row r="937" ht="14.25" customHeight="1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  <c r="K937" s="208"/>
    </row>
    <row r="938" ht="14.25" customHeight="1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  <c r="K938" s="208"/>
    </row>
    <row r="939" ht="14.25" customHeight="1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  <c r="K939" s="208"/>
    </row>
    <row r="940" ht="14.25" customHeight="1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  <c r="K940" s="208"/>
    </row>
    <row r="941" ht="14.25" customHeight="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  <c r="K941" s="208"/>
    </row>
    <row r="942" ht="14.25" customHeight="1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  <c r="K942" s="208"/>
    </row>
    <row r="943" ht="14.25" customHeight="1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  <c r="K943" s="208"/>
    </row>
    <row r="944" ht="14.25" customHeight="1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  <c r="K944" s="208"/>
    </row>
    <row r="945" ht="14.25" customHeight="1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  <c r="K945" s="208"/>
    </row>
    <row r="946" ht="14.25" customHeight="1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  <c r="K946" s="208"/>
    </row>
    <row r="947" ht="14.25" customHeight="1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  <c r="K947" s="208"/>
    </row>
    <row r="948" ht="14.25" customHeight="1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  <c r="K948" s="208"/>
    </row>
    <row r="949" ht="14.25" customHeight="1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  <c r="K949" s="208"/>
    </row>
    <row r="950" ht="14.25" customHeight="1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  <c r="K950" s="208"/>
    </row>
    <row r="951" ht="14.25" customHeight="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</row>
    <row r="952" ht="14.25" customHeight="1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  <c r="K952" s="208"/>
    </row>
    <row r="953" ht="14.25" customHeight="1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  <c r="K953" s="208"/>
    </row>
    <row r="954" ht="14.25" customHeight="1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  <c r="K954" s="208"/>
    </row>
    <row r="955" ht="14.25" customHeight="1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  <c r="K955" s="208"/>
    </row>
    <row r="956" ht="14.25" customHeight="1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  <c r="K956" s="208"/>
    </row>
    <row r="957" ht="14.25" customHeight="1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  <c r="K957" s="208"/>
    </row>
    <row r="958" ht="14.25" customHeight="1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  <c r="K958" s="208"/>
    </row>
    <row r="959" ht="14.25" customHeight="1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  <c r="K959" s="208"/>
    </row>
    <row r="960" ht="14.25" customHeight="1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  <c r="K960" s="208"/>
    </row>
    <row r="961" ht="14.25" customHeight="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</row>
    <row r="962" ht="14.25" customHeight="1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  <c r="K962" s="208"/>
    </row>
    <row r="963" ht="14.25" customHeight="1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  <c r="K963" s="208"/>
    </row>
    <row r="964" ht="14.25" customHeight="1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  <c r="K964" s="208"/>
    </row>
    <row r="965" ht="14.25" customHeight="1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  <c r="K965" s="208"/>
    </row>
    <row r="966" ht="14.25" customHeight="1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  <c r="K966" s="208"/>
    </row>
    <row r="967" ht="14.25" customHeight="1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  <c r="K967" s="208"/>
    </row>
    <row r="968" ht="14.25" customHeight="1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  <c r="K968" s="208"/>
    </row>
    <row r="969" ht="14.25" customHeight="1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  <c r="K969" s="208"/>
    </row>
    <row r="970" ht="14.25" customHeight="1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</row>
    <row r="971" ht="14.25" customHeight="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</row>
    <row r="972" ht="14.25" customHeight="1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  <c r="K972" s="208"/>
    </row>
    <row r="973" ht="14.25" customHeight="1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  <c r="K973" s="208"/>
    </row>
    <row r="974" ht="14.25" customHeight="1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  <c r="K974" s="208"/>
    </row>
    <row r="975" ht="14.25" customHeight="1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  <c r="K975" s="208"/>
    </row>
    <row r="976" ht="14.25" customHeight="1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  <c r="K976" s="208"/>
    </row>
    <row r="977" ht="14.25" customHeight="1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  <c r="K977" s="208"/>
    </row>
    <row r="978" ht="14.25" customHeight="1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  <c r="K978" s="208"/>
    </row>
    <row r="979" ht="14.25" customHeight="1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  <c r="K979" s="208"/>
    </row>
    <row r="980" ht="14.25" customHeight="1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</row>
    <row r="981" ht="14.25" customHeight="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  <c r="K981" s="208"/>
    </row>
    <row r="982" ht="14.25" customHeight="1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  <c r="K982" s="208"/>
    </row>
    <row r="983" ht="14.25" customHeight="1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  <c r="K983" s="208"/>
    </row>
    <row r="984" ht="14.25" customHeight="1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  <c r="K984" s="208"/>
    </row>
    <row r="985" ht="14.25" customHeight="1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  <c r="K985" s="208"/>
    </row>
    <row r="986" ht="14.25" customHeight="1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  <c r="K986" s="208"/>
    </row>
    <row r="987" ht="14.25" customHeight="1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  <c r="K987" s="208"/>
    </row>
    <row r="988" ht="14.25" customHeight="1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  <c r="K988" s="208"/>
    </row>
    <row r="989" ht="14.25" customHeight="1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</row>
    <row r="990" ht="14.25" customHeight="1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  <c r="K990" s="208"/>
    </row>
    <row r="991" ht="14.25" customHeight="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  <c r="K991" s="208"/>
    </row>
    <row r="992" ht="14.25" customHeight="1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  <c r="K992" s="208"/>
    </row>
    <row r="993" ht="14.25" customHeight="1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  <c r="K993" s="208"/>
    </row>
    <row r="994" ht="14.25" customHeight="1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  <c r="K994" s="208"/>
    </row>
    <row r="995" ht="14.25" customHeight="1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  <c r="K995" s="208"/>
    </row>
    <row r="996" ht="14.25" customHeight="1">
      <c r="A996" s="208"/>
      <c r="B996" s="208"/>
      <c r="C996" s="208"/>
      <c r="D996" s="208"/>
      <c r="E996" s="208"/>
      <c r="F996" s="208"/>
      <c r="G996" s="208"/>
      <c r="H996" s="208"/>
      <c r="I996" s="208"/>
      <c r="J996" s="208"/>
      <c r="K996" s="208"/>
    </row>
    <row r="997" ht="14.25" customHeight="1">
      <c r="A997" s="208"/>
      <c r="B997" s="208"/>
      <c r="C997" s="208"/>
      <c r="D997" s="208"/>
      <c r="E997" s="208"/>
      <c r="F997" s="208"/>
      <c r="G997" s="208"/>
      <c r="H997" s="208"/>
      <c r="I997" s="208"/>
      <c r="J997" s="208"/>
      <c r="K997" s="208"/>
    </row>
    <row r="998" ht="14.25" customHeight="1">
      <c r="A998" s="208"/>
      <c r="B998" s="208"/>
      <c r="C998" s="208"/>
      <c r="D998" s="208"/>
      <c r="E998" s="208"/>
      <c r="F998" s="208"/>
      <c r="G998" s="208"/>
      <c r="H998" s="208"/>
      <c r="I998" s="208"/>
      <c r="J998" s="208"/>
      <c r="K998" s="208"/>
    </row>
    <row r="999" ht="14.25" customHeight="1">
      <c r="A999" s="208"/>
      <c r="B999" s="208"/>
      <c r="C999" s="208"/>
      <c r="D999" s="208"/>
      <c r="E999" s="208"/>
      <c r="F999" s="208"/>
      <c r="G999" s="208"/>
      <c r="H999" s="208"/>
      <c r="I999" s="208"/>
      <c r="J999" s="208"/>
      <c r="K999" s="208"/>
    </row>
    <row r="1000" ht="14.25" customHeight="1">
      <c r="A1000" s="208"/>
      <c r="B1000" s="208"/>
      <c r="C1000" s="208"/>
      <c r="D1000" s="208"/>
      <c r="E1000" s="208"/>
      <c r="F1000" s="208"/>
      <c r="G1000" s="208"/>
      <c r="H1000" s="208"/>
      <c r="I1000" s="208"/>
      <c r="J1000" s="208"/>
      <c r="K1000" s="208"/>
    </row>
    <row r="1001" ht="14.25" customHeight="1">
      <c r="A1001" s="208"/>
      <c r="B1001" s="208"/>
      <c r="C1001" s="208"/>
      <c r="D1001" s="208"/>
      <c r="E1001" s="208"/>
      <c r="F1001" s="208"/>
      <c r="G1001" s="208"/>
      <c r="H1001" s="208"/>
      <c r="I1001" s="208"/>
      <c r="J1001" s="208"/>
      <c r="K1001" s="208"/>
    </row>
    <row r="1002" ht="14.25" customHeight="1">
      <c r="A1002" s="208"/>
      <c r="B1002" s="208"/>
      <c r="C1002" s="208"/>
      <c r="D1002" s="208"/>
      <c r="E1002" s="208"/>
      <c r="F1002" s="208"/>
      <c r="G1002" s="208"/>
      <c r="H1002" s="208"/>
      <c r="I1002" s="208"/>
      <c r="J1002" s="208"/>
      <c r="K1002" s="208"/>
    </row>
    <row r="1003" ht="14.25" customHeight="1">
      <c r="A1003" s="208"/>
      <c r="B1003" s="208"/>
      <c r="C1003" s="208"/>
      <c r="D1003" s="208"/>
      <c r="E1003" s="208"/>
      <c r="F1003" s="208"/>
      <c r="G1003" s="208"/>
      <c r="H1003" s="208"/>
      <c r="I1003" s="208"/>
      <c r="J1003" s="208"/>
      <c r="K1003" s="208"/>
    </row>
    <row r="1004" ht="14.25" customHeight="1">
      <c r="A1004" s="208"/>
      <c r="B1004" s="208"/>
      <c r="C1004" s="208"/>
      <c r="D1004" s="208"/>
      <c r="E1004" s="208"/>
      <c r="F1004" s="208"/>
      <c r="G1004" s="208"/>
      <c r="H1004" s="208"/>
      <c r="I1004" s="208"/>
      <c r="J1004" s="208"/>
      <c r="K1004" s="208"/>
    </row>
    <row r="1005" ht="14.25" customHeight="1">
      <c r="A1005" s="208"/>
      <c r="B1005" s="208"/>
      <c r="C1005" s="208"/>
      <c r="D1005" s="208"/>
      <c r="E1005" s="208"/>
      <c r="F1005" s="208"/>
      <c r="G1005" s="208"/>
      <c r="H1005" s="208"/>
      <c r="I1005" s="208"/>
      <c r="J1005" s="208"/>
      <c r="K1005" s="208"/>
    </row>
    <row r="1006" ht="14.25" customHeight="1">
      <c r="A1006" s="208"/>
      <c r="B1006" s="208"/>
      <c r="C1006" s="208"/>
      <c r="D1006" s="208"/>
      <c r="E1006" s="208"/>
      <c r="F1006" s="208"/>
      <c r="G1006" s="208"/>
      <c r="H1006" s="208"/>
      <c r="I1006" s="208"/>
      <c r="J1006" s="208"/>
      <c r="K1006" s="208"/>
    </row>
    <row r="1007" ht="14.25" customHeight="1">
      <c r="A1007" s="208"/>
      <c r="B1007" s="208"/>
      <c r="C1007" s="208"/>
      <c r="D1007" s="208"/>
      <c r="E1007" s="208"/>
      <c r="F1007" s="208"/>
      <c r="G1007" s="208"/>
      <c r="H1007" s="208"/>
      <c r="I1007" s="208"/>
      <c r="J1007" s="208"/>
      <c r="K1007" s="208"/>
    </row>
    <row r="1008" ht="14.25" customHeight="1">
      <c r="A1008" s="208"/>
      <c r="B1008" s="208"/>
      <c r="C1008" s="208"/>
      <c r="D1008" s="208"/>
      <c r="E1008" s="208"/>
      <c r="F1008" s="208"/>
      <c r="G1008" s="208"/>
      <c r="H1008" s="208"/>
      <c r="I1008" s="208"/>
      <c r="J1008" s="208"/>
      <c r="K1008" s="208"/>
    </row>
    <row r="1009" ht="14.25" customHeight="1">
      <c r="A1009" s="208"/>
      <c r="B1009" s="208"/>
      <c r="C1009" s="208"/>
      <c r="D1009" s="208"/>
      <c r="E1009" s="208"/>
      <c r="F1009" s="208"/>
      <c r="G1009" s="208"/>
      <c r="H1009" s="208"/>
      <c r="I1009" s="208"/>
      <c r="J1009" s="208"/>
      <c r="K1009" s="208"/>
    </row>
    <row r="1010" ht="14.25" customHeight="1">
      <c r="A1010" s="208"/>
      <c r="B1010" s="208"/>
      <c r="C1010" s="208"/>
      <c r="D1010" s="208"/>
      <c r="E1010" s="208"/>
      <c r="F1010" s="208"/>
      <c r="G1010" s="208"/>
      <c r="H1010" s="208"/>
      <c r="I1010" s="208"/>
      <c r="J1010" s="208"/>
      <c r="K1010" s="208"/>
    </row>
    <row r="1011" ht="14.25" customHeight="1">
      <c r="A1011" s="208"/>
      <c r="B1011" s="208"/>
      <c r="C1011" s="208"/>
      <c r="D1011" s="208"/>
      <c r="E1011" s="208"/>
      <c r="F1011" s="208"/>
      <c r="G1011" s="208"/>
      <c r="H1011" s="208"/>
      <c r="I1011" s="208"/>
      <c r="J1011" s="208"/>
      <c r="K1011" s="208"/>
    </row>
    <row r="1012" ht="14.25" customHeight="1">
      <c r="A1012" s="208"/>
      <c r="B1012" s="208"/>
      <c r="C1012" s="208"/>
      <c r="D1012" s="208"/>
      <c r="E1012" s="208"/>
      <c r="F1012" s="208"/>
      <c r="G1012" s="208"/>
      <c r="H1012" s="208"/>
      <c r="I1012" s="208"/>
      <c r="J1012" s="208"/>
      <c r="K1012" s="208"/>
    </row>
    <row r="1013" ht="14.25" customHeight="1">
      <c r="A1013" s="208"/>
      <c r="B1013" s="208"/>
      <c r="C1013" s="208"/>
      <c r="D1013" s="208"/>
      <c r="E1013" s="208"/>
      <c r="F1013" s="208"/>
      <c r="G1013" s="208"/>
      <c r="H1013" s="208"/>
      <c r="I1013" s="208"/>
      <c r="J1013" s="208"/>
      <c r="K1013" s="208"/>
    </row>
  </sheetData>
  <mergeCells count="30">
    <mergeCell ref="A1:H1"/>
    <mergeCell ref="A9:M9"/>
    <mergeCell ref="A19:M19"/>
    <mergeCell ref="A46:M46"/>
    <mergeCell ref="A55:M55"/>
    <mergeCell ref="B56:M56"/>
    <mergeCell ref="B57:M57"/>
    <mergeCell ref="B58:M58"/>
    <mergeCell ref="B59:M59"/>
    <mergeCell ref="B60:M60"/>
    <mergeCell ref="B61:M61"/>
    <mergeCell ref="B62:M62"/>
    <mergeCell ref="B63:M63"/>
    <mergeCell ref="B64:M64"/>
    <mergeCell ref="B65:M65"/>
    <mergeCell ref="B66:M66"/>
    <mergeCell ref="B67:M67"/>
    <mergeCell ref="B68:M68"/>
    <mergeCell ref="B69:M69"/>
    <mergeCell ref="B70:M70"/>
    <mergeCell ref="B71:M71"/>
    <mergeCell ref="B79:M79"/>
    <mergeCell ref="B80:M80"/>
    <mergeCell ref="B72:M72"/>
    <mergeCell ref="B73:M73"/>
    <mergeCell ref="B74:M74"/>
    <mergeCell ref="B75:M75"/>
    <mergeCell ref="B76:M76"/>
    <mergeCell ref="B77:M77"/>
    <mergeCell ref="B78:M78"/>
  </mergeCells>
  <dataValidations>
    <dataValidation type="list" allowBlank="1" sqref="A21:A43 B48:B52">
      <formula1>"📌 ЗАДАЧА,📦 ПРОЕКТ,🔬 ГИПОТЕЗА,💡 ИДЕЯ"</formula1>
    </dataValidation>
    <dataValidation type="list" allowBlank="1" sqref="B21:B43 D48:D52">
      <formula1>"Внедрена RACI-матрица полномочий,Сформирована внедрена,каждого топ-менеджера разработан,Повысить eNPS сотрудников до,Сформирован мидл менеджмент,Все функциональные обязанности,HR-бренд компании"</formula1>
    </dataValidation>
    <dataValidation type="list" allowBlank="1" sqref="F11:F14 F16:F17">
      <formula1>"On track,Опаздываем,Выполнено,Не начато,Требует внимания"</formula1>
    </dataValidation>
    <dataValidation type="list" allowBlank="1" sqref="F15">
      <formula1>"On track,Опаздываем,Выполнено,Не начато,Требует внимания,Обсуждается"</formula1>
    </dataValidation>
    <dataValidation type="list" allowBlank="1" sqref="E48:E52">
      <formula1>"High,Medium,Low"</formula1>
    </dataValidation>
    <dataValidation type="list" allowBlank="1" sqref="F21:I23 F24:J24 F25:I27 F28:J30 F31:I35 F36:J39 F40:I43">
      <formula1>"⏸️ Не начато,🔄 В работе,✅ Выполнено,⏸️ На паузе,❌ Отменено,⚠️ Требует решения"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43.57"/>
    <col customWidth="1" min="4" max="4" width="25.57"/>
    <col customWidth="1" min="5" max="5" width="17.43"/>
    <col customWidth="1" min="6" max="6" width="16.71"/>
    <col customWidth="1" min="7" max="7" width="19.0"/>
    <col customWidth="1" min="8" max="8" width="19.86"/>
    <col customWidth="1" min="9" max="9" width="15.0"/>
    <col customWidth="1" min="10" max="10" width="21.57"/>
    <col customWidth="1" min="11" max="11" width="25.0"/>
    <col customWidth="1" min="12" max="12" width="20.29"/>
    <col customWidth="1" min="13" max="13" width="18.14"/>
    <col customWidth="1" min="14" max="27" width="8.71"/>
  </cols>
  <sheetData>
    <row r="1" ht="21.0" customHeight="1">
      <c r="A1" s="287" t="s">
        <v>1488</v>
      </c>
      <c r="B1" s="206"/>
      <c r="C1" s="206"/>
      <c r="D1" s="206"/>
      <c r="E1" s="206"/>
      <c r="F1" s="206"/>
      <c r="G1" s="206"/>
      <c r="H1" s="207"/>
      <c r="I1" s="208"/>
      <c r="J1" s="208"/>
      <c r="K1" s="208"/>
    </row>
    <row r="2" ht="14.25" customHeight="1">
      <c r="A2" s="209" t="s">
        <v>991</v>
      </c>
      <c r="B2" s="229" t="s">
        <v>911</v>
      </c>
      <c r="C2" s="208"/>
      <c r="D2" s="208"/>
      <c r="E2" s="208"/>
      <c r="F2" s="208"/>
      <c r="G2" s="208"/>
      <c r="H2" s="208"/>
      <c r="I2" s="208"/>
      <c r="J2" s="208"/>
      <c r="K2" s="208"/>
    </row>
    <row r="3" ht="14.25" customHeight="1">
      <c r="A3" s="209" t="s">
        <v>992</v>
      </c>
      <c r="B3" s="229" t="s">
        <v>101</v>
      </c>
      <c r="C3" s="208"/>
      <c r="D3" s="208"/>
      <c r="E3" s="208"/>
      <c r="F3" s="208"/>
      <c r="G3" s="208"/>
      <c r="H3" s="208"/>
      <c r="I3" s="208"/>
      <c r="J3" s="208"/>
      <c r="K3" s="208"/>
    </row>
    <row r="4" ht="14.25" customHeight="1">
      <c r="A4" s="209" t="s">
        <v>993</v>
      </c>
      <c r="B4" s="229" t="s">
        <v>912</v>
      </c>
      <c r="C4" s="208"/>
      <c r="D4" s="208"/>
      <c r="E4" s="208"/>
      <c r="F4" s="208"/>
      <c r="G4" s="208"/>
      <c r="H4" s="208"/>
      <c r="I4" s="208"/>
      <c r="J4" s="208"/>
      <c r="K4" s="208"/>
    </row>
    <row r="5" ht="14.25" customHeight="1">
      <c r="A5" s="209" t="s">
        <v>994</v>
      </c>
      <c r="B5" s="229" t="s">
        <v>882</v>
      </c>
      <c r="C5" s="208"/>
      <c r="D5" s="208"/>
      <c r="E5" s="208"/>
      <c r="F5" s="208"/>
      <c r="G5" s="208"/>
      <c r="H5" s="208"/>
      <c r="I5" s="208"/>
      <c r="J5" s="208"/>
      <c r="K5" s="208"/>
    </row>
    <row r="6" ht="14.25" customHeight="1">
      <c r="A6" s="280" t="s">
        <v>995</v>
      </c>
      <c r="B6" s="284" t="s">
        <v>1338</v>
      </c>
      <c r="C6" s="282" t="s">
        <v>1489</v>
      </c>
      <c r="D6" s="208"/>
      <c r="E6" s="208"/>
      <c r="F6" s="208"/>
      <c r="G6" s="208"/>
      <c r="H6" s="208"/>
      <c r="I6" s="208"/>
      <c r="J6" s="208"/>
      <c r="K6" s="208"/>
    </row>
    <row r="7" ht="14.25" customHeight="1">
      <c r="A7" s="280" t="s">
        <v>997</v>
      </c>
      <c r="B7" s="284" t="s">
        <v>1490</v>
      </c>
      <c r="C7" s="282" t="s">
        <v>1491</v>
      </c>
      <c r="D7" s="208"/>
      <c r="E7" s="208"/>
      <c r="F7" s="208"/>
      <c r="G7" s="208"/>
      <c r="H7" s="208"/>
      <c r="I7" s="208"/>
      <c r="J7" s="208"/>
      <c r="K7" s="208"/>
    </row>
    <row r="8" ht="14.25" customHeight="1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208"/>
    </row>
    <row r="9" ht="15.0" customHeight="1">
      <c r="A9" s="288" t="s">
        <v>999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7"/>
    </row>
    <row r="10" ht="28.5" customHeight="1">
      <c r="A10" s="233" t="s">
        <v>914</v>
      </c>
      <c r="B10" s="233" t="s">
        <v>1000</v>
      </c>
      <c r="C10" s="233" t="s">
        <v>915</v>
      </c>
      <c r="D10" s="233" t="s">
        <v>916</v>
      </c>
      <c r="E10" s="233" t="s">
        <v>917</v>
      </c>
      <c r="F10" s="233" t="s">
        <v>1001</v>
      </c>
      <c r="G10" s="233" t="s">
        <v>22</v>
      </c>
      <c r="H10" s="233" t="s">
        <v>1002</v>
      </c>
      <c r="I10" s="208"/>
      <c r="J10" s="208"/>
      <c r="K10" s="208"/>
    </row>
    <row r="11" ht="57.0" customHeight="1">
      <c r="A11" s="213" t="s">
        <v>975</v>
      </c>
      <c r="B11" s="213" t="s">
        <v>1492</v>
      </c>
      <c r="C11" s="213" t="s">
        <v>351</v>
      </c>
      <c r="D11" s="213"/>
      <c r="E11" s="213"/>
      <c r="F11" s="234" t="s">
        <v>1078</v>
      </c>
      <c r="G11" s="213" t="s">
        <v>225</v>
      </c>
      <c r="H11" s="213"/>
      <c r="I11" s="208"/>
      <c r="J11" s="208"/>
      <c r="K11" s="208"/>
    </row>
    <row r="12" ht="57.0" customHeight="1">
      <c r="A12" s="213" t="s">
        <v>976</v>
      </c>
      <c r="B12" s="213" t="s">
        <v>1493</v>
      </c>
      <c r="C12" s="213" t="s">
        <v>353</v>
      </c>
      <c r="D12" s="213"/>
      <c r="E12" s="234" t="s">
        <v>1494</v>
      </c>
      <c r="F12" s="234" t="s">
        <v>1078</v>
      </c>
      <c r="G12" s="213"/>
      <c r="H12" s="213"/>
      <c r="I12" s="208"/>
      <c r="J12" s="208"/>
      <c r="K12" s="208"/>
    </row>
    <row r="13" ht="28.5" customHeight="1">
      <c r="A13" s="213" t="s">
        <v>977</v>
      </c>
      <c r="B13" s="213" t="s">
        <v>1495</v>
      </c>
      <c r="C13" s="213" t="s">
        <v>354</v>
      </c>
      <c r="D13" s="213"/>
      <c r="E13" s="213"/>
      <c r="F13" s="234" t="s">
        <v>1206</v>
      </c>
      <c r="G13" s="213"/>
      <c r="H13" s="234" t="s">
        <v>1496</v>
      </c>
      <c r="I13" s="208"/>
      <c r="J13" s="208"/>
      <c r="K13" s="208"/>
    </row>
    <row r="14" ht="28.5" customHeight="1">
      <c r="A14" s="213" t="s">
        <v>978</v>
      </c>
      <c r="B14" s="213" t="s">
        <v>1497</v>
      </c>
      <c r="C14" s="213" t="s">
        <v>355</v>
      </c>
      <c r="D14" s="213"/>
      <c r="E14" s="213"/>
      <c r="F14" s="234" t="s">
        <v>1206</v>
      </c>
      <c r="G14" s="234" t="s">
        <v>124</v>
      </c>
      <c r="H14" s="213"/>
      <c r="I14" s="208"/>
      <c r="J14" s="208"/>
      <c r="K14" s="208"/>
    </row>
    <row r="15" ht="28.5" customHeight="1">
      <c r="A15" s="213" t="s">
        <v>979</v>
      </c>
      <c r="B15" s="213" t="s">
        <v>1498</v>
      </c>
      <c r="C15" s="213" t="s">
        <v>356</v>
      </c>
      <c r="D15" s="213"/>
      <c r="E15" s="213"/>
      <c r="F15" s="234" t="s">
        <v>1206</v>
      </c>
      <c r="G15" s="213"/>
      <c r="H15" s="213"/>
      <c r="I15" s="208"/>
      <c r="J15" s="208"/>
      <c r="K15" s="208"/>
    </row>
    <row r="16" ht="14.25" customHeight="1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</row>
    <row r="17" ht="15.0" customHeight="1">
      <c r="A17" s="218" t="s">
        <v>1014</v>
      </c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7"/>
    </row>
    <row r="18" ht="14.25" customHeight="1">
      <c r="A18" s="235" t="s">
        <v>32</v>
      </c>
      <c r="B18" s="235" t="s">
        <v>1015</v>
      </c>
      <c r="C18" s="235" t="s">
        <v>1016</v>
      </c>
      <c r="D18" s="235" t="s">
        <v>23</v>
      </c>
      <c r="E18" s="235" t="s">
        <v>22</v>
      </c>
      <c r="F18" s="235" t="s">
        <v>1017</v>
      </c>
      <c r="G18" s="235" t="s">
        <v>1018</v>
      </c>
      <c r="H18" s="235" t="s">
        <v>1019</v>
      </c>
      <c r="I18" s="235" t="s">
        <v>1020</v>
      </c>
      <c r="J18" s="291" t="s">
        <v>1090</v>
      </c>
      <c r="K18" s="235" t="s">
        <v>1021</v>
      </c>
    </row>
    <row r="19" ht="86.25" customHeight="1">
      <c r="A19" s="213" t="s">
        <v>1023</v>
      </c>
      <c r="B19" s="234" t="s">
        <v>1492</v>
      </c>
      <c r="C19" s="213" t="s">
        <v>1499</v>
      </c>
      <c r="D19" s="213" t="s">
        <v>352</v>
      </c>
      <c r="E19" s="213" t="s">
        <v>225</v>
      </c>
      <c r="F19" s="213" t="s">
        <v>1045</v>
      </c>
      <c r="G19" s="234" t="s">
        <v>1045</v>
      </c>
      <c r="H19" s="234" t="s">
        <v>1045</v>
      </c>
      <c r="I19" s="234" t="s">
        <v>1045</v>
      </c>
      <c r="J19" s="234" t="s">
        <v>1043</v>
      </c>
      <c r="K19" s="213" t="s">
        <v>1500</v>
      </c>
      <c r="L19" s="169" t="s">
        <v>1501</v>
      </c>
      <c r="M19" s="186" t="s">
        <v>1502</v>
      </c>
    </row>
    <row r="20" ht="86.25" customHeight="1">
      <c r="A20" s="213" t="s">
        <v>1024</v>
      </c>
      <c r="B20" s="213" t="s">
        <v>976</v>
      </c>
      <c r="C20" s="213" t="s">
        <v>1503</v>
      </c>
      <c r="D20" s="213" t="s">
        <v>352</v>
      </c>
      <c r="E20" s="213" t="s">
        <v>131</v>
      </c>
      <c r="F20" s="213" t="s">
        <v>1051</v>
      </c>
      <c r="G20" s="234" t="s">
        <v>1156</v>
      </c>
      <c r="H20" s="213"/>
      <c r="I20" s="213"/>
      <c r="J20" s="213"/>
      <c r="K20" s="213" t="s">
        <v>1504</v>
      </c>
    </row>
    <row r="21" ht="86.25" customHeight="1">
      <c r="A21" s="213" t="s">
        <v>1022</v>
      </c>
      <c r="B21" s="213" t="s">
        <v>976</v>
      </c>
      <c r="C21" s="213" t="s">
        <v>1505</v>
      </c>
      <c r="D21" s="213" t="s">
        <v>352</v>
      </c>
      <c r="E21" s="213" t="s">
        <v>131</v>
      </c>
      <c r="F21" s="213" t="s">
        <v>1051</v>
      </c>
      <c r="G21" s="234" t="s">
        <v>1045</v>
      </c>
      <c r="H21" s="234" t="s">
        <v>1045</v>
      </c>
      <c r="I21" s="213"/>
      <c r="J21" s="213"/>
      <c r="K21" s="213" t="s">
        <v>1506</v>
      </c>
      <c r="L21" s="169" t="s">
        <v>1507</v>
      </c>
    </row>
    <row r="22" ht="57.0" customHeight="1">
      <c r="A22" s="213" t="s">
        <v>1024</v>
      </c>
      <c r="B22" s="213" t="s">
        <v>977</v>
      </c>
      <c r="C22" s="213" t="s">
        <v>1508</v>
      </c>
      <c r="D22" s="213" t="s">
        <v>352</v>
      </c>
      <c r="E22" s="213" t="s">
        <v>225</v>
      </c>
      <c r="F22" s="213" t="s">
        <v>1045</v>
      </c>
      <c r="G22" s="234" t="s">
        <v>1047</v>
      </c>
      <c r="H22" s="213"/>
      <c r="I22" s="213"/>
      <c r="J22" s="213"/>
      <c r="K22" s="213" t="s">
        <v>1509</v>
      </c>
    </row>
    <row r="23" ht="86.25" customHeight="1">
      <c r="A23" s="213" t="s">
        <v>1023</v>
      </c>
      <c r="B23" s="213" t="s">
        <v>978</v>
      </c>
      <c r="C23" s="213" t="s">
        <v>1510</v>
      </c>
      <c r="D23" s="213" t="s">
        <v>352</v>
      </c>
      <c r="E23" s="213" t="s">
        <v>124</v>
      </c>
      <c r="F23" s="213" t="s">
        <v>1045</v>
      </c>
      <c r="G23" s="234" t="s">
        <v>1047</v>
      </c>
      <c r="H23" s="213"/>
      <c r="I23" s="213"/>
      <c r="J23" s="213"/>
      <c r="K23" s="213" t="s">
        <v>1511</v>
      </c>
    </row>
    <row r="24" ht="86.25" customHeight="1">
      <c r="A24" s="213" t="s">
        <v>1024</v>
      </c>
      <c r="B24" s="213" t="s">
        <v>979</v>
      </c>
      <c r="C24" s="213" t="s">
        <v>1512</v>
      </c>
      <c r="D24" s="213" t="s">
        <v>352</v>
      </c>
      <c r="E24" s="213" t="s">
        <v>1228</v>
      </c>
      <c r="F24" s="213" t="s">
        <v>1049</v>
      </c>
      <c r="G24" s="234" t="s">
        <v>1043</v>
      </c>
      <c r="H24" s="213"/>
      <c r="I24" s="213"/>
      <c r="J24" s="234" t="s">
        <v>1043</v>
      </c>
      <c r="K24" s="213" t="s">
        <v>1513</v>
      </c>
    </row>
    <row r="25" ht="86.25" customHeight="1">
      <c r="A25" s="213" t="s">
        <v>1022</v>
      </c>
      <c r="B25" s="213" t="s">
        <v>976</v>
      </c>
      <c r="C25" s="213" t="s">
        <v>1514</v>
      </c>
      <c r="D25" s="213" t="s">
        <v>352</v>
      </c>
      <c r="E25" s="213" t="s">
        <v>131</v>
      </c>
      <c r="F25" s="213" t="s">
        <v>1051</v>
      </c>
      <c r="G25" s="234" t="s">
        <v>1045</v>
      </c>
      <c r="H25" s="234" t="s">
        <v>1045</v>
      </c>
      <c r="I25" s="213"/>
      <c r="J25" s="234" t="s">
        <v>1047</v>
      </c>
      <c r="K25" s="213" t="s">
        <v>1515</v>
      </c>
    </row>
    <row r="26" ht="86.25" customHeight="1">
      <c r="A26" s="213" t="s">
        <v>1025</v>
      </c>
      <c r="B26" s="213" t="s">
        <v>976</v>
      </c>
      <c r="C26" s="213" t="s">
        <v>1516</v>
      </c>
      <c r="D26" s="213" t="s">
        <v>352</v>
      </c>
      <c r="E26" s="213" t="s">
        <v>131</v>
      </c>
      <c r="F26" s="213" t="s">
        <v>1051</v>
      </c>
      <c r="G26" s="234" t="s">
        <v>1047</v>
      </c>
      <c r="H26" s="213"/>
      <c r="I26" s="213"/>
      <c r="J26" s="234" t="s">
        <v>1045</v>
      </c>
      <c r="K26" s="213" t="s">
        <v>1517</v>
      </c>
    </row>
    <row r="27" ht="14.25" customHeight="1">
      <c r="A27" s="234" t="s">
        <v>1024</v>
      </c>
      <c r="B27" s="213"/>
      <c r="C27" s="234" t="s">
        <v>1518</v>
      </c>
      <c r="D27" s="213"/>
      <c r="E27" s="213"/>
      <c r="F27" s="213"/>
      <c r="G27" s="234" t="s">
        <v>1045</v>
      </c>
      <c r="H27" s="234" t="s">
        <v>1047</v>
      </c>
      <c r="I27" s="213"/>
      <c r="J27" s="234" t="s">
        <v>1047</v>
      </c>
      <c r="K27" s="213"/>
    </row>
    <row r="28" ht="14.25" customHeight="1">
      <c r="A28" s="213" t="s">
        <v>1024</v>
      </c>
      <c r="B28" s="213"/>
      <c r="C28" s="234" t="s">
        <v>1519</v>
      </c>
      <c r="D28" s="213"/>
      <c r="E28" s="213"/>
      <c r="F28" s="213"/>
      <c r="G28" s="234" t="s">
        <v>1045</v>
      </c>
      <c r="H28" s="234" t="s">
        <v>1045</v>
      </c>
      <c r="I28" s="234" t="s">
        <v>1043</v>
      </c>
      <c r="J28" s="234"/>
      <c r="K28" s="234" t="s">
        <v>1520</v>
      </c>
    </row>
    <row r="29" ht="14.25" customHeight="1">
      <c r="A29" s="234" t="s">
        <v>1025</v>
      </c>
      <c r="B29" s="213"/>
      <c r="C29" s="234" t="s">
        <v>1521</v>
      </c>
      <c r="D29" s="213"/>
      <c r="E29" s="213"/>
      <c r="F29" s="213"/>
      <c r="G29" s="234" t="s">
        <v>1045</v>
      </c>
      <c r="H29" s="234" t="s">
        <v>1043</v>
      </c>
      <c r="I29" s="213"/>
      <c r="J29" s="213"/>
      <c r="K29" s="213"/>
    </row>
    <row r="30" ht="14.25" customHeight="1">
      <c r="A30" s="234" t="s">
        <v>1024</v>
      </c>
      <c r="B30" s="213"/>
      <c r="C30" s="234" t="s">
        <v>1522</v>
      </c>
      <c r="D30" s="213" t="s">
        <v>352</v>
      </c>
      <c r="E30" s="234" t="s">
        <v>1159</v>
      </c>
      <c r="F30" s="213"/>
      <c r="G30" s="234"/>
      <c r="H30" s="234" t="s">
        <v>1045</v>
      </c>
      <c r="I30" s="213"/>
      <c r="J30" s="234" t="s">
        <v>1043</v>
      </c>
      <c r="K30" s="213"/>
    </row>
    <row r="31" ht="14.25" customHeight="1">
      <c r="A31" s="234" t="s">
        <v>1024</v>
      </c>
      <c r="B31" s="213"/>
      <c r="C31" s="234" t="s">
        <v>1523</v>
      </c>
      <c r="D31" s="213" t="s">
        <v>352</v>
      </c>
      <c r="E31" s="234" t="s">
        <v>1170</v>
      </c>
      <c r="F31" s="213"/>
      <c r="G31" s="234"/>
      <c r="H31" s="234"/>
      <c r="I31" s="213"/>
      <c r="J31" s="234" t="s">
        <v>1045</v>
      </c>
      <c r="K31" s="213"/>
    </row>
    <row r="32" ht="14.25" customHeight="1">
      <c r="A32" s="234" t="s">
        <v>1022</v>
      </c>
      <c r="B32" s="213"/>
      <c r="C32" s="234" t="s">
        <v>1524</v>
      </c>
      <c r="D32" s="213" t="s">
        <v>352</v>
      </c>
      <c r="E32" s="234" t="s">
        <v>1170</v>
      </c>
      <c r="F32" s="213"/>
      <c r="G32" s="234"/>
      <c r="H32" s="234"/>
      <c r="I32" s="213"/>
      <c r="J32" s="213"/>
      <c r="K32" s="213"/>
    </row>
    <row r="33" ht="14.25" customHeight="1">
      <c r="A33" s="234" t="s">
        <v>1024</v>
      </c>
      <c r="B33" s="213"/>
      <c r="C33" s="234" t="s">
        <v>1525</v>
      </c>
      <c r="D33" s="213" t="s">
        <v>352</v>
      </c>
      <c r="E33" s="234" t="s">
        <v>1170</v>
      </c>
      <c r="F33" s="213"/>
      <c r="G33" s="234"/>
      <c r="H33" s="234"/>
      <c r="I33" s="213"/>
      <c r="J33" s="213"/>
      <c r="K33" s="213"/>
    </row>
    <row r="34" ht="14.25" customHeight="1">
      <c r="A34" s="213"/>
      <c r="B34" s="213"/>
      <c r="C34" s="234"/>
      <c r="D34" s="213"/>
      <c r="E34" s="213"/>
      <c r="F34" s="213"/>
      <c r="G34" s="234"/>
      <c r="H34" s="234"/>
      <c r="I34" s="213"/>
      <c r="J34" s="213"/>
      <c r="K34" s="213"/>
    </row>
    <row r="35" ht="14.25" customHeight="1">
      <c r="A35" s="213"/>
      <c r="B35" s="213"/>
      <c r="D35" s="213"/>
      <c r="E35" s="213"/>
      <c r="F35" s="213"/>
      <c r="G35" s="234"/>
      <c r="H35" s="234"/>
      <c r="I35" s="213"/>
      <c r="J35" s="213"/>
      <c r="K35" s="213"/>
    </row>
    <row r="36" ht="14.25" customHeight="1">
      <c r="A36" s="213"/>
      <c r="B36" s="213"/>
      <c r="C36" s="234"/>
      <c r="D36" s="213"/>
      <c r="E36" s="213"/>
      <c r="F36" s="213"/>
      <c r="G36" s="234"/>
      <c r="H36" s="234"/>
      <c r="I36" s="213"/>
      <c r="J36" s="213"/>
      <c r="K36" s="213"/>
    </row>
    <row r="37" ht="14.25" customHeight="1">
      <c r="A37" s="213"/>
      <c r="B37" s="213"/>
      <c r="C37" s="234"/>
      <c r="D37" s="213"/>
      <c r="E37" s="213"/>
      <c r="F37" s="213"/>
      <c r="G37" s="234"/>
      <c r="H37" s="234"/>
      <c r="I37" s="213"/>
      <c r="J37" s="213"/>
      <c r="K37" s="213"/>
    </row>
    <row r="38" ht="14.25" customHeight="1">
      <c r="A38" s="213" t="s">
        <v>1025</v>
      </c>
      <c r="B38" s="213"/>
      <c r="C38" s="234"/>
      <c r="D38" s="213"/>
      <c r="E38" s="213"/>
      <c r="F38" s="213"/>
      <c r="G38" s="234" t="s">
        <v>1102</v>
      </c>
      <c r="H38" s="234" t="s">
        <v>1102</v>
      </c>
      <c r="I38" s="213"/>
      <c r="J38" s="213"/>
      <c r="K38" s="213"/>
    </row>
    <row r="39" ht="14.25" customHeight="1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</row>
    <row r="40" ht="14.25" customHeight="1">
      <c r="A40" s="208"/>
      <c r="B40" s="208"/>
      <c r="C40" s="208"/>
      <c r="D40" s="208"/>
      <c r="E40" s="208"/>
      <c r="F40" s="208"/>
      <c r="G40" s="208"/>
      <c r="H40" s="208"/>
      <c r="I40" s="208"/>
      <c r="J40" s="208"/>
      <c r="K40" s="208"/>
    </row>
    <row r="41" ht="14.25" customHeight="1">
      <c r="A41" s="236" t="s">
        <v>1026</v>
      </c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7"/>
    </row>
    <row r="42" ht="24.0" customHeight="1">
      <c r="A42" s="237" t="s">
        <v>377</v>
      </c>
      <c r="B42" s="237" t="s">
        <v>32</v>
      </c>
      <c r="C42" s="237" t="s">
        <v>1027</v>
      </c>
      <c r="D42" s="237" t="s">
        <v>1028</v>
      </c>
      <c r="E42" s="237" t="s">
        <v>154</v>
      </c>
      <c r="F42" s="237" t="s">
        <v>1029</v>
      </c>
      <c r="G42" s="237" t="s">
        <v>381</v>
      </c>
      <c r="H42" s="208"/>
      <c r="I42" s="208"/>
      <c r="J42" s="208"/>
      <c r="K42" s="208"/>
    </row>
    <row r="43" ht="14.25" customHeight="1">
      <c r="A43" s="238" t="s">
        <v>1116</v>
      </c>
      <c r="B43" s="238" t="s">
        <v>1025</v>
      </c>
      <c r="C43" s="238" t="s">
        <v>1526</v>
      </c>
      <c r="D43" s="238" t="s">
        <v>1527</v>
      </c>
      <c r="E43" s="238" t="s">
        <v>1118</v>
      </c>
      <c r="F43" s="238" t="s">
        <v>1119</v>
      </c>
      <c r="G43" s="238" t="s">
        <v>1053</v>
      </c>
      <c r="H43" s="208"/>
      <c r="I43" s="208"/>
      <c r="J43" s="208"/>
      <c r="K43" s="208"/>
    </row>
    <row r="44" ht="14.25" customHeight="1">
      <c r="A44" s="238" t="s">
        <v>1120</v>
      </c>
      <c r="B44" s="238" t="s">
        <v>1022</v>
      </c>
      <c r="C44" s="238" t="s">
        <v>1528</v>
      </c>
      <c r="D44" s="238" t="s">
        <v>976</v>
      </c>
      <c r="E44" s="238" t="s">
        <v>1183</v>
      </c>
      <c r="F44" s="238" t="s">
        <v>1119</v>
      </c>
      <c r="G44" s="238" t="s">
        <v>1053</v>
      </c>
      <c r="H44" s="208"/>
      <c r="I44" s="208"/>
      <c r="J44" s="208"/>
      <c r="K44" s="208"/>
    </row>
    <row r="45" ht="14.25" customHeight="1">
      <c r="A45" s="238" t="s">
        <v>1122</v>
      </c>
      <c r="B45" s="238" t="s">
        <v>1025</v>
      </c>
      <c r="C45" s="238" t="s">
        <v>1529</v>
      </c>
      <c r="D45" s="238" t="s">
        <v>975</v>
      </c>
      <c r="E45" s="238" t="s">
        <v>1118</v>
      </c>
      <c r="F45" s="238" t="s">
        <v>1119</v>
      </c>
      <c r="G45" s="238" t="s">
        <v>1053</v>
      </c>
      <c r="H45" s="208"/>
      <c r="I45" s="208"/>
      <c r="J45" s="208"/>
      <c r="K45" s="208"/>
    </row>
    <row r="46" ht="14.25" customHeight="1">
      <c r="A46" s="238" t="s">
        <v>1187</v>
      </c>
      <c r="B46" s="238" t="s">
        <v>1025</v>
      </c>
      <c r="C46" s="238" t="s">
        <v>1530</v>
      </c>
      <c r="D46" s="238" t="s">
        <v>1531</v>
      </c>
      <c r="E46" s="238" t="s">
        <v>1183</v>
      </c>
      <c r="F46" s="238" t="s">
        <v>1119</v>
      </c>
      <c r="G46" s="238" t="s">
        <v>1053</v>
      </c>
      <c r="H46" s="208"/>
      <c r="I46" s="208"/>
      <c r="J46" s="208"/>
      <c r="K46" s="208"/>
    </row>
    <row r="47" ht="14.25" customHeight="1">
      <c r="A47" s="238"/>
      <c r="B47" s="238"/>
      <c r="C47" s="294" t="s">
        <v>1532</v>
      </c>
      <c r="D47" s="238"/>
      <c r="E47" s="238"/>
      <c r="F47" s="238"/>
      <c r="G47" s="238"/>
      <c r="H47" s="208"/>
      <c r="I47" s="208"/>
      <c r="J47" s="208"/>
      <c r="K47" s="208"/>
    </row>
    <row r="48" ht="14.25" customHeight="1">
      <c r="A48" s="238"/>
      <c r="B48" s="238"/>
      <c r="C48" s="238"/>
      <c r="D48" s="238"/>
      <c r="E48" s="238"/>
      <c r="F48" s="238"/>
      <c r="G48" s="238"/>
      <c r="H48" s="208"/>
      <c r="I48" s="208"/>
      <c r="J48" s="208"/>
      <c r="K48" s="208"/>
    </row>
    <row r="49" ht="14.25" customHeight="1">
      <c r="A49" s="238"/>
      <c r="B49" s="238"/>
      <c r="C49" s="238"/>
      <c r="D49" s="238"/>
      <c r="E49" s="238"/>
      <c r="F49" s="238"/>
      <c r="G49" s="238"/>
      <c r="H49" s="208"/>
      <c r="I49" s="208"/>
      <c r="J49" s="208"/>
      <c r="K49" s="208"/>
    </row>
    <row r="50" ht="14.25" customHeight="1">
      <c r="A50" s="238"/>
      <c r="B50" s="238"/>
      <c r="C50" s="238"/>
      <c r="D50" s="238"/>
      <c r="E50" s="238"/>
      <c r="F50" s="238"/>
      <c r="G50" s="238"/>
      <c r="H50" s="208"/>
      <c r="I50" s="208"/>
      <c r="J50" s="208"/>
      <c r="K50" s="208"/>
    </row>
    <row r="51" ht="14.25" customHeight="1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</row>
    <row r="52" ht="14.25" customHeight="1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</row>
    <row r="53" ht="14.25" customHeight="1">
      <c r="A53" s="239" t="s">
        <v>1030</v>
      </c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20"/>
    </row>
    <row r="54" ht="14.25" customHeight="1">
      <c r="A54" s="241"/>
      <c r="B54" s="242" t="s">
        <v>1031</v>
      </c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20"/>
    </row>
    <row r="55" ht="14.25" customHeight="1">
      <c r="A55" s="241" t="s">
        <v>1024</v>
      </c>
      <c r="B55" s="242" t="s">
        <v>1032</v>
      </c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20"/>
    </row>
    <row r="56" ht="14.25" customHeight="1">
      <c r="A56" s="241" t="s">
        <v>1023</v>
      </c>
      <c r="B56" s="242" t="s">
        <v>1033</v>
      </c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20"/>
    </row>
    <row r="57" ht="14.25" customHeight="1">
      <c r="A57" s="241" t="s">
        <v>1022</v>
      </c>
      <c r="B57" s="242" t="s">
        <v>1034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20"/>
    </row>
    <row r="58" ht="14.25" customHeight="1">
      <c r="A58" s="241" t="s">
        <v>1025</v>
      </c>
      <c r="B58" s="242" t="s">
        <v>1035</v>
      </c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20"/>
    </row>
    <row r="59" ht="14.25" customHeight="1">
      <c r="A59" s="241"/>
      <c r="B59" s="242" t="s">
        <v>1036</v>
      </c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20"/>
    </row>
    <row r="60" ht="14.25" customHeight="1">
      <c r="A60" s="241" t="s">
        <v>1037</v>
      </c>
      <c r="B60" s="242" t="s">
        <v>1038</v>
      </c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20"/>
    </row>
    <row r="61" ht="14.25" customHeight="1">
      <c r="A61" s="241" t="s">
        <v>1039</v>
      </c>
      <c r="B61" s="242" t="s">
        <v>1040</v>
      </c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20"/>
    </row>
    <row r="62" ht="14.25" customHeight="1">
      <c r="A62" s="241" t="s">
        <v>1041</v>
      </c>
      <c r="B62" s="242" t="s">
        <v>1042</v>
      </c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20"/>
    </row>
    <row r="63" ht="14.25" customHeight="1">
      <c r="A63" s="241" t="s">
        <v>1043</v>
      </c>
      <c r="B63" s="242" t="s">
        <v>1044</v>
      </c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20"/>
    </row>
    <row r="64" ht="14.25" customHeight="1">
      <c r="A64" s="241" t="s">
        <v>1045</v>
      </c>
      <c r="B64" s="242" t="s">
        <v>1046</v>
      </c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20"/>
    </row>
    <row r="65" ht="14.25" customHeight="1">
      <c r="A65" s="241" t="s">
        <v>1047</v>
      </c>
      <c r="B65" s="242" t="s">
        <v>1048</v>
      </c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20"/>
    </row>
    <row r="66" ht="14.25" customHeight="1">
      <c r="A66" s="241" t="s">
        <v>1049</v>
      </c>
      <c r="B66" s="242" t="s">
        <v>1050</v>
      </c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20"/>
    </row>
    <row r="67" ht="14.25" customHeight="1">
      <c r="A67" s="241" t="s">
        <v>1051</v>
      </c>
      <c r="B67" s="242" t="s">
        <v>1052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20"/>
    </row>
    <row r="68" ht="14.25" customHeight="1">
      <c r="A68" s="241" t="s">
        <v>1053</v>
      </c>
      <c r="B68" s="242" t="s">
        <v>1054</v>
      </c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20"/>
    </row>
    <row r="69" ht="14.25" customHeight="1">
      <c r="A69" s="241"/>
      <c r="B69" s="242" t="s">
        <v>1055</v>
      </c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20"/>
    </row>
    <row r="70" ht="14.25" customHeight="1">
      <c r="A70" s="241" t="s">
        <v>1056</v>
      </c>
      <c r="B70" s="242" t="s">
        <v>1057</v>
      </c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20"/>
    </row>
    <row r="71" ht="14.25" customHeight="1">
      <c r="A71" s="241" t="s">
        <v>1058</v>
      </c>
      <c r="B71" s="242" t="s">
        <v>1059</v>
      </c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20"/>
    </row>
    <row r="72" ht="14.25" customHeight="1">
      <c r="A72" s="241" t="s">
        <v>1060</v>
      </c>
      <c r="B72" s="242" t="s">
        <v>1061</v>
      </c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20"/>
    </row>
    <row r="73" ht="14.25" customHeight="1">
      <c r="A73" s="241" t="s">
        <v>1062</v>
      </c>
      <c r="B73" s="242" t="s">
        <v>1063</v>
      </c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20"/>
    </row>
    <row r="74" ht="14.25" customHeight="1">
      <c r="A74" s="241"/>
      <c r="B74" s="242" t="s">
        <v>1064</v>
      </c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20"/>
    </row>
    <row r="75" ht="14.25" customHeight="1">
      <c r="A75" s="241" t="s">
        <v>1065</v>
      </c>
      <c r="B75" s="242" t="s">
        <v>1066</v>
      </c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20"/>
    </row>
    <row r="76" ht="14.25" customHeight="1">
      <c r="A76" s="241" t="s">
        <v>1067</v>
      </c>
      <c r="B76" s="242" t="s">
        <v>1068</v>
      </c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20"/>
    </row>
    <row r="77" ht="14.25" customHeight="1">
      <c r="A77" s="241" t="s">
        <v>1069</v>
      </c>
      <c r="B77" s="242" t="s">
        <v>1070</v>
      </c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20"/>
    </row>
    <row r="78" ht="14.25" customHeight="1">
      <c r="A78" s="241" t="s">
        <v>1071</v>
      </c>
      <c r="B78" s="242" t="s">
        <v>1072</v>
      </c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20"/>
    </row>
    <row r="79" ht="14.25" customHeight="1">
      <c r="A79" s="208"/>
      <c r="B79" s="208"/>
      <c r="C79" s="208"/>
      <c r="D79" s="208"/>
      <c r="E79" s="208"/>
      <c r="F79" s="208"/>
      <c r="G79" s="208"/>
      <c r="H79" s="208"/>
      <c r="I79" s="208"/>
      <c r="J79" s="208"/>
      <c r="K79" s="208"/>
    </row>
    <row r="80" ht="14.25" customHeight="1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</row>
    <row r="81" ht="14.25" customHeight="1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</row>
    <row r="82" ht="14.25" customHeight="1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</row>
    <row r="83" ht="14.25" customHeight="1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</row>
    <row r="84" ht="14.25" customHeight="1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</row>
    <row r="85" ht="14.25" customHeight="1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</row>
    <row r="86" ht="14.25" customHeight="1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</row>
    <row r="87" ht="14.25" customHeight="1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</row>
    <row r="88" ht="14.2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</row>
    <row r="89" ht="14.2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</row>
    <row r="90" ht="14.2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</row>
    <row r="91" ht="14.2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</row>
    <row r="92" ht="14.2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</row>
    <row r="93" ht="14.2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</row>
    <row r="94" ht="14.2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</row>
    <row r="95" ht="14.2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</row>
    <row r="96" ht="14.2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</row>
    <row r="97" ht="14.2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</row>
    <row r="98" ht="14.2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</row>
    <row r="99" ht="14.2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</row>
    <row r="100" ht="14.2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</row>
    <row r="101" ht="14.2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</row>
    <row r="102" ht="14.2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</row>
    <row r="103" ht="14.2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</row>
    <row r="104" ht="14.2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</row>
    <row r="105" ht="14.2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</row>
    <row r="106" ht="14.2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</row>
    <row r="107" ht="14.2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</row>
    <row r="108" ht="14.2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</row>
    <row r="109" ht="14.2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</row>
    <row r="110" ht="14.2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</row>
    <row r="111" ht="14.2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</row>
    <row r="112" ht="14.2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</row>
    <row r="113" ht="14.2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</row>
    <row r="114" ht="14.2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</row>
    <row r="115" ht="14.2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</row>
    <row r="116" ht="14.2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</row>
    <row r="117" ht="14.2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</row>
    <row r="118" ht="14.2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</row>
    <row r="119" ht="14.2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</row>
    <row r="120" ht="14.2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</row>
    <row r="121" ht="14.2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</row>
    <row r="122" ht="14.2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</row>
    <row r="123" ht="14.2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</row>
    <row r="124" ht="14.2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</row>
    <row r="125" ht="14.2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</row>
    <row r="126" ht="14.2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</row>
    <row r="127" ht="14.2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</row>
    <row r="128" ht="14.2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</row>
    <row r="129" ht="14.2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</row>
    <row r="130" ht="14.2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</row>
    <row r="131" ht="14.2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</row>
    <row r="132" ht="14.2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</row>
    <row r="133" ht="14.2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</row>
    <row r="134" ht="14.2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</row>
    <row r="135" ht="14.2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</row>
    <row r="136" ht="14.2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</row>
    <row r="137" ht="14.2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</row>
    <row r="138" ht="14.2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</row>
    <row r="139" ht="14.2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</row>
    <row r="140" ht="14.2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</row>
    <row r="141" ht="14.2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</row>
    <row r="142" ht="14.2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</row>
    <row r="143" ht="14.2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</row>
    <row r="144" ht="14.2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</row>
    <row r="145" ht="14.2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</row>
    <row r="146" ht="14.2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</row>
    <row r="147" ht="14.2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</row>
    <row r="148" ht="14.2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</row>
    <row r="149" ht="14.2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</row>
    <row r="150" ht="14.2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</row>
    <row r="151" ht="14.2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</row>
    <row r="152" ht="14.2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</row>
    <row r="153" ht="14.2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</row>
    <row r="154" ht="14.2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</row>
    <row r="155" ht="14.2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</row>
    <row r="156" ht="14.2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</row>
    <row r="157" ht="14.2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</row>
    <row r="158" ht="14.2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</row>
    <row r="159" ht="14.2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</row>
    <row r="160" ht="14.2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</row>
    <row r="161" ht="14.2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</row>
    <row r="162" ht="14.2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</row>
    <row r="163" ht="14.2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</row>
    <row r="164" ht="14.2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</row>
    <row r="165" ht="14.2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</row>
    <row r="166" ht="14.2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</row>
    <row r="167" ht="14.2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</row>
    <row r="168" ht="14.2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</row>
    <row r="169" ht="14.2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</row>
    <row r="170" ht="14.2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</row>
    <row r="171" ht="14.2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</row>
    <row r="172" ht="14.2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</row>
    <row r="173" ht="14.2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</row>
    <row r="174" ht="14.2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</row>
    <row r="175" ht="14.2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</row>
    <row r="176" ht="14.2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</row>
    <row r="177" ht="14.2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</row>
    <row r="178" ht="14.2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</row>
    <row r="179" ht="14.2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</row>
    <row r="180" ht="14.2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</row>
    <row r="181" ht="14.2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</row>
    <row r="182" ht="14.2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</row>
    <row r="183" ht="14.2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</row>
    <row r="184" ht="14.2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</row>
    <row r="185" ht="14.2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</row>
    <row r="186" ht="14.2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</row>
    <row r="187" ht="14.2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</row>
    <row r="188" ht="14.2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</row>
    <row r="189" ht="14.2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</row>
    <row r="190" ht="14.2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</row>
    <row r="191" ht="14.2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</row>
    <row r="192" ht="14.2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</row>
    <row r="193" ht="14.2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</row>
    <row r="194" ht="14.2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</row>
    <row r="195" ht="14.2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</row>
    <row r="196" ht="14.2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</row>
    <row r="197" ht="14.2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</row>
    <row r="198" ht="14.2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</row>
    <row r="199" ht="14.2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</row>
    <row r="200" ht="14.2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</row>
    <row r="201" ht="14.2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</row>
    <row r="202" ht="14.2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</row>
    <row r="203" ht="14.2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</row>
    <row r="204" ht="14.2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</row>
    <row r="205" ht="14.2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</row>
    <row r="206" ht="14.2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</row>
    <row r="207" ht="14.2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</row>
    <row r="208" ht="14.2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</row>
    <row r="209" ht="14.2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</row>
    <row r="210" ht="14.2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</row>
    <row r="211" ht="14.2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</row>
    <row r="212" ht="14.2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</row>
    <row r="213" ht="14.2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</row>
    <row r="214" ht="14.2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</row>
    <row r="215" ht="14.2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</row>
    <row r="216" ht="14.2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</row>
    <row r="217" ht="14.2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</row>
    <row r="218" ht="14.2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</row>
    <row r="219" ht="14.2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</row>
    <row r="220" ht="14.2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</row>
    <row r="221" ht="14.2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</row>
    <row r="222" ht="14.2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</row>
    <row r="223" ht="14.2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</row>
    <row r="224" ht="14.2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</row>
    <row r="225" ht="14.2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</row>
    <row r="226" ht="14.2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</row>
    <row r="227" ht="14.2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</row>
    <row r="228" ht="14.2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</row>
    <row r="229" ht="14.2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</row>
    <row r="230" ht="14.2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</row>
    <row r="231" ht="14.2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</row>
    <row r="232" ht="14.2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</row>
    <row r="233" ht="14.2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</row>
    <row r="234" ht="14.2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</row>
    <row r="235" ht="14.2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</row>
    <row r="236" ht="14.2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</row>
    <row r="237" ht="14.2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</row>
    <row r="238" ht="14.2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</row>
    <row r="239" ht="14.2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</row>
    <row r="240" ht="14.2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</row>
    <row r="241" ht="14.2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</row>
    <row r="242" ht="14.2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</row>
    <row r="243" ht="14.2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</row>
    <row r="244" ht="14.2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</row>
    <row r="245" ht="14.2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</row>
    <row r="246" ht="14.2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</row>
    <row r="247" ht="14.2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</row>
    <row r="248" ht="14.2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</row>
    <row r="249" ht="14.2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</row>
    <row r="250" ht="14.2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</row>
    <row r="251" ht="14.2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</row>
    <row r="252" ht="14.2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</row>
    <row r="253" ht="14.2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</row>
    <row r="254" ht="14.2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</row>
    <row r="255" ht="14.2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</row>
    <row r="256" ht="14.2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</row>
    <row r="257" ht="14.2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</row>
    <row r="258" ht="14.2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</row>
    <row r="259" ht="14.2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</row>
    <row r="260" ht="14.2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</row>
    <row r="261" ht="14.2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</row>
    <row r="262" ht="14.2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</row>
    <row r="263" ht="14.2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</row>
    <row r="264" ht="14.2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</row>
    <row r="265" ht="14.2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</row>
    <row r="266" ht="14.2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</row>
    <row r="267" ht="14.2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</row>
    <row r="268" ht="14.2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</row>
    <row r="269" ht="14.2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</row>
    <row r="270" ht="14.2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</row>
    <row r="271" ht="14.25" customHeight="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  <c r="K271" s="208"/>
    </row>
    <row r="272" ht="14.25" customHeight="1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</row>
    <row r="273" ht="14.25" customHeight="1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</row>
    <row r="274" ht="14.25" customHeight="1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  <c r="K274" s="208"/>
    </row>
    <row r="275" ht="14.25" customHeight="1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  <c r="K275" s="208"/>
    </row>
    <row r="276" ht="14.25" customHeight="1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  <c r="K276" s="208"/>
    </row>
    <row r="277" ht="14.25" customHeight="1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  <c r="K277" s="208"/>
    </row>
    <row r="278" ht="14.25" customHeight="1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</row>
    <row r="279" ht="14.25" customHeight="1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  <c r="K279" s="208"/>
    </row>
    <row r="280" ht="14.25" customHeight="1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  <c r="K280" s="208"/>
    </row>
    <row r="281" ht="14.25" customHeight="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  <c r="K281" s="208"/>
    </row>
    <row r="282" ht="14.25" customHeight="1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  <c r="K282" s="208"/>
    </row>
    <row r="283" ht="14.25" customHeight="1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  <c r="K283" s="208"/>
    </row>
    <row r="284" ht="14.25" customHeight="1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</row>
    <row r="285" ht="14.25" customHeight="1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</row>
    <row r="286" ht="14.25" customHeight="1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  <c r="K286" s="208"/>
    </row>
    <row r="287" ht="14.25" customHeight="1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</row>
    <row r="288" ht="14.25" customHeight="1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</row>
    <row r="289" ht="14.25" customHeight="1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  <c r="K289" s="208"/>
    </row>
    <row r="290" ht="14.25" customHeight="1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</row>
    <row r="291" ht="14.25" customHeight="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</row>
    <row r="292" ht="14.25" customHeight="1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  <c r="K292" s="208"/>
    </row>
    <row r="293" ht="14.25" customHeight="1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  <c r="K293" s="208"/>
    </row>
    <row r="294" ht="14.25" customHeight="1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  <c r="K294" s="208"/>
    </row>
    <row r="295" ht="14.25" customHeight="1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  <c r="K295" s="208"/>
    </row>
    <row r="296" ht="14.25" customHeight="1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</row>
    <row r="297" ht="14.25" customHeight="1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</row>
    <row r="298" ht="14.25" customHeight="1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  <c r="K298" s="208"/>
    </row>
    <row r="299" ht="14.25" customHeight="1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  <c r="K299" s="208"/>
    </row>
    <row r="300" ht="14.25" customHeight="1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</row>
    <row r="301" ht="14.25" customHeight="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</row>
    <row r="302" ht="14.25" customHeight="1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</row>
    <row r="303" ht="14.25" customHeight="1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  <c r="K303" s="208"/>
    </row>
    <row r="304" ht="14.25" customHeight="1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  <c r="K304" s="208"/>
    </row>
    <row r="305" ht="14.25" customHeight="1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  <c r="K305" s="208"/>
    </row>
    <row r="306" ht="14.25" customHeight="1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  <c r="K306" s="208"/>
    </row>
    <row r="307" ht="14.25" customHeight="1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  <c r="K307" s="208"/>
    </row>
    <row r="308" ht="14.25" customHeight="1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</row>
    <row r="309" ht="14.25" customHeight="1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  <c r="K309" s="208"/>
    </row>
    <row r="310" ht="14.25" customHeight="1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  <c r="K310" s="208"/>
    </row>
    <row r="311" ht="14.25" customHeight="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  <c r="K311" s="208"/>
    </row>
    <row r="312" ht="14.25" customHeight="1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  <c r="K312" s="208"/>
    </row>
    <row r="313" ht="14.25" customHeight="1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</row>
    <row r="314" ht="14.25" customHeight="1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</row>
    <row r="315" ht="14.25" customHeight="1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  <c r="K315" s="208"/>
    </row>
    <row r="316" ht="14.25" customHeight="1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  <c r="K316" s="208"/>
    </row>
    <row r="317" ht="14.25" customHeight="1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  <c r="K317" s="208"/>
    </row>
    <row r="318" ht="14.25" customHeight="1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  <c r="K318" s="208"/>
    </row>
    <row r="319" ht="14.25" customHeight="1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  <c r="K319" s="208"/>
    </row>
    <row r="320" ht="14.25" customHeight="1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</row>
    <row r="321" ht="14.25" customHeight="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  <c r="K321" s="208"/>
    </row>
    <row r="322" ht="14.25" customHeight="1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  <c r="K322" s="208"/>
    </row>
    <row r="323" ht="14.25" customHeight="1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  <c r="K323" s="208"/>
    </row>
    <row r="324" ht="14.25" customHeight="1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  <c r="K324" s="208"/>
    </row>
    <row r="325" ht="14.25" customHeight="1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  <c r="K325" s="208"/>
    </row>
    <row r="326" ht="14.25" customHeight="1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</row>
    <row r="327" ht="14.25" customHeight="1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  <c r="K327" s="208"/>
    </row>
    <row r="328" ht="14.25" customHeight="1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  <c r="K328" s="208"/>
    </row>
    <row r="329" ht="14.25" customHeight="1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  <c r="K329" s="208"/>
    </row>
    <row r="330" ht="14.25" customHeight="1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  <c r="K330" s="208"/>
    </row>
    <row r="331" ht="14.25" customHeight="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  <c r="K331" s="208"/>
    </row>
    <row r="332" ht="14.25" customHeight="1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</row>
    <row r="333" ht="14.25" customHeight="1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  <c r="K333" s="208"/>
    </row>
    <row r="334" ht="14.25" customHeight="1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  <c r="K334" s="208"/>
    </row>
    <row r="335" ht="14.25" customHeight="1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  <c r="K335" s="208"/>
    </row>
    <row r="336" ht="14.25" customHeight="1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  <c r="K336" s="208"/>
    </row>
    <row r="337" ht="14.25" customHeight="1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  <c r="K337" s="208"/>
    </row>
    <row r="338" ht="14.25" customHeight="1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</row>
    <row r="339" ht="14.25" customHeight="1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  <c r="K339" s="208"/>
    </row>
    <row r="340" ht="14.25" customHeight="1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  <c r="K340" s="208"/>
    </row>
    <row r="341" ht="14.25" customHeight="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  <c r="K341" s="208"/>
    </row>
    <row r="342" ht="14.25" customHeight="1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  <c r="K342" s="208"/>
    </row>
    <row r="343" ht="14.25" customHeight="1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  <c r="K343" s="208"/>
    </row>
    <row r="344" ht="14.25" customHeight="1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</row>
    <row r="345" ht="14.25" customHeight="1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  <c r="K345" s="208"/>
    </row>
    <row r="346" ht="14.25" customHeight="1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  <c r="K346" s="208"/>
    </row>
    <row r="347" ht="14.25" customHeight="1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  <c r="K347" s="208"/>
    </row>
    <row r="348" ht="14.25" customHeight="1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  <c r="K348" s="208"/>
    </row>
    <row r="349" ht="14.25" customHeight="1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  <c r="K349" s="208"/>
    </row>
    <row r="350" ht="14.25" customHeight="1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</row>
    <row r="351" ht="14.25" customHeight="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  <c r="K351" s="208"/>
    </row>
    <row r="352" ht="14.25" customHeight="1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  <c r="K352" s="208"/>
    </row>
    <row r="353" ht="14.25" customHeight="1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  <c r="K353" s="208"/>
    </row>
    <row r="354" ht="14.25" customHeight="1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  <c r="K354" s="208"/>
    </row>
    <row r="355" ht="14.25" customHeight="1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  <c r="K355" s="208"/>
    </row>
    <row r="356" ht="14.25" customHeight="1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</row>
    <row r="357" ht="14.25" customHeight="1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  <c r="K357" s="208"/>
    </row>
    <row r="358" ht="14.25" customHeight="1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  <c r="K358" s="208"/>
    </row>
    <row r="359" ht="14.25" customHeight="1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  <c r="K359" s="208"/>
    </row>
    <row r="360" ht="14.25" customHeight="1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  <c r="K360" s="208"/>
    </row>
    <row r="361" ht="14.25" customHeight="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</row>
    <row r="362" ht="14.25" customHeight="1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</row>
    <row r="363" ht="14.25" customHeight="1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  <c r="K363" s="208"/>
    </row>
    <row r="364" ht="14.25" customHeight="1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  <c r="K364" s="208"/>
    </row>
    <row r="365" ht="14.25" customHeight="1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  <c r="K365" s="208"/>
    </row>
    <row r="366" ht="14.25" customHeight="1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  <c r="K366" s="208"/>
    </row>
    <row r="367" ht="14.25" customHeight="1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  <c r="K367" s="208"/>
    </row>
    <row r="368" ht="14.25" customHeight="1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</row>
    <row r="369" ht="14.25" customHeight="1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  <c r="K369" s="208"/>
    </row>
    <row r="370" ht="14.25" customHeight="1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  <c r="K370" s="208"/>
    </row>
    <row r="371" ht="14.25" customHeight="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  <c r="K371" s="208"/>
    </row>
    <row r="372" ht="14.25" customHeight="1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</row>
    <row r="373" ht="14.25" customHeight="1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  <c r="K373" s="208"/>
    </row>
    <row r="374" ht="14.25" customHeight="1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</row>
    <row r="375" ht="14.25" customHeight="1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  <c r="K375" s="208"/>
    </row>
    <row r="376" ht="14.25" customHeight="1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</row>
    <row r="377" ht="14.25" customHeight="1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  <c r="K377" s="208"/>
    </row>
    <row r="378" ht="14.25" customHeight="1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  <c r="K378" s="208"/>
    </row>
    <row r="379" ht="14.25" customHeight="1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</row>
    <row r="380" ht="14.25" customHeight="1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</row>
    <row r="381" ht="14.25" customHeight="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  <c r="K381" s="208"/>
    </row>
    <row r="382" ht="14.25" customHeight="1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</row>
    <row r="383" ht="14.25" customHeight="1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  <c r="K383" s="208"/>
    </row>
    <row r="384" ht="14.25" customHeight="1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  <c r="K384" s="208"/>
    </row>
    <row r="385" ht="14.25" customHeight="1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  <c r="K385" s="208"/>
    </row>
    <row r="386" ht="14.25" customHeight="1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</row>
    <row r="387" ht="14.25" customHeight="1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  <c r="K387" s="208"/>
    </row>
    <row r="388" ht="14.25" customHeight="1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  <c r="K388" s="208"/>
    </row>
    <row r="389" ht="14.25" customHeight="1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  <c r="K389" s="208"/>
    </row>
    <row r="390" ht="14.25" customHeight="1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  <c r="K390" s="208"/>
    </row>
    <row r="391" ht="14.25" customHeight="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</row>
    <row r="392" ht="14.25" customHeight="1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</row>
    <row r="393" ht="14.25" customHeight="1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  <c r="K393" s="208"/>
    </row>
    <row r="394" ht="14.25" customHeight="1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  <c r="K394" s="208"/>
    </row>
    <row r="395" ht="14.25" customHeight="1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  <c r="K395" s="208"/>
    </row>
    <row r="396" ht="14.25" customHeight="1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  <c r="K396" s="208"/>
    </row>
    <row r="397" ht="14.25" customHeight="1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  <c r="K397" s="208"/>
    </row>
    <row r="398" ht="14.25" customHeight="1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</row>
    <row r="399" ht="14.25" customHeight="1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  <c r="K399" s="208"/>
    </row>
    <row r="400" ht="14.25" customHeight="1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  <c r="K400" s="208"/>
    </row>
    <row r="401" ht="14.25" customHeight="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</row>
    <row r="402" ht="14.25" customHeight="1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  <c r="K402" s="208"/>
    </row>
    <row r="403" ht="14.25" customHeight="1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  <c r="K403" s="208"/>
    </row>
    <row r="404" ht="14.25" customHeight="1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</row>
    <row r="405" ht="14.25" customHeight="1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  <c r="K405" s="208"/>
    </row>
    <row r="406" ht="14.25" customHeight="1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</row>
    <row r="407" ht="14.25" customHeight="1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  <c r="K407" s="208"/>
    </row>
    <row r="408" ht="14.25" customHeight="1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  <c r="K408" s="208"/>
    </row>
    <row r="409" ht="14.25" customHeight="1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  <c r="K409" s="208"/>
    </row>
    <row r="410" ht="14.25" customHeight="1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</row>
    <row r="411" ht="14.25" customHeight="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  <c r="K411" s="208"/>
    </row>
    <row r="412" ht="14.25" customHeight="1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  <c r="K412" s="208"/>
    </row>
    <row r="413" ht="14.25" customHeight="1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  <c r="K413" s="208"/>
    </row>
    <row r="414" ht="14.25" customHeight="1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  <c r="K414" s="208"/>
    </row>
    <row r="415" ht="14.25" customHeight="1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  <c r="K415" s="208"/>
    </row>
    <row r="416" ht="14.25" customHeight="1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</row>
    <row r="417" ht="14.25" customHeight="1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  <c r="K417" s="208"/>
    </row>
    <row r="418" ht="14.25" customHeight="1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  <c r="K418" s="208"/>
    </row>
    <row r="419" ht="14.25" customHeight="1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  <c r="K419" s="208"/>
    </row>
    <row r="420" ht="14.25" customHeight="1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  <c r="K420" s="208"/>
    </row>
    <row r="421" ht="14.25" customHeight="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  <c r="K421" s="208"/>
    </row>
    <row r="422" ht="14.25" customHeight="1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</row>
    <row r="423" ht="14.25" customHeight="1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</row>
    <row r="424" ht="14.25" customHeight="1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  <c r="K424" s="208"/>
    </row>
    <row r="425" ht="14.25" customHeight="1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  <c r="K425" s="208"/>
    </row>
    <row r="426" ht="14.25" customHeight="1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  <c r="K426" s="208"/>
    </row>
    <row r="427" ht="14.25" customHeight="1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  <c r="K427" s="208"/>
    </row>
    <row r="428" ht="14.25" customHeight="1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</row>
    <row r="429" ht="14.25" customHeight="1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  <c r="K429" s="208"/>
    </row>
    <row r="430" ht="14.25" customHeight="1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  <c r="K430" s="208"/>
    </row>
    <row r="431" ht="14.25" customHeight="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  <c r="K431" s="208"/>
    </row>
    <row r="432" ht="14.25" customHeight="1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  <c r="K432" s="208"/>
    </row>
    <row r="433" ht="14.25" customHeight="1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  <c r="K433" s="208"/>
    </row>
    <row r="434" ht="14.25" customHeight="1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</row>
    <row r="435" ht="14.25" customHeight="1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  <c r="K435" s="208"/>
    </row>
    <row r="436" ht="14.25" customHeight="1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  <c r="K436" s="208"/>
    </row>
    <row r="437" ht="14.25" customHeight="1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  <c r="K437" s="208"/>
    </row>
    <row r="438" ht="14.25" customHeight="1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  <c r="K438" s="208"/>
    </row>
    <row r="439" ht="14.25" customHeight="1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</row>
    <row r="440" ht="14.25" customHeight="1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</row>
    <row r="441" ht="14.25" customHeight="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  <c r="K441" s="208"/>
    </row>
    <row r="442" ht="14.25" customHeight="1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  <c r="K442" s="208"/>
    </row>
    <row r="443" ht="14.25" customHeight="1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  <c r="K443" s="208"/>
    </row>
    <row r="444" ht="14.25" customHeight="1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  <c r="K444" s="208"/>
    </row>
    <row r="445" ht="14.25" customHeight="1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  <c r="K445" s="208"/>
    </row>
    <row r="446" ht="14.25" customHeight="1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</row>
    <row r="447" ht="14.25" customHeight="1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  <c r="K447" s="208"/>
    </row>
    <row r="448" ht="14.25" customHeight="1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  <c r="K448" s="208"/>
    </row>
    <row r="449" ht="14.25" customHeight="1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  <c r="K449" s="208"/>
    </row>
    <row r="450" ht="14.25" customHeight="1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  <c r="K450" s="208"/>
    </row>
    <row r="451" ht="14.25" customHeight="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  <c r="K451" s="208"/>
    </row>
    <row r="452" ht="14.25" customHeight="1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</row>
    <row r="453" ht="14.25" customHeight="1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  <c r="K453" s="208"/>
    </row>
    <row r="454" ht="14.25" customHeight="1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  <c r="K454" s="208"/>
    </row>
    <row r="455" ht="14.25" customHeight="1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</row>
    <row r="456" ht="14.25" customHeight="1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  <c r="K456" s="208"/>
    </row>
    <row r="457" ht="14.25" customHeight="1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  <c r="K457" s="208"/>
    </row>
    <row r="458" ht="14.25" customHeight="1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</row>
    <row r="459" ht="14.25" customHeight="1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  <c r="K459" s="208"/>
    </row>
    <row r="460" ht="14.25" customHeight="1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  <c r="K460" s="208"/>
    </row>
    <row r="461" ht="14.25" customHeight="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  <c r="K461" s="208"/>
    </row>
    <row r="462" ht="14.25" customHeight="1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  <c r="K462" s="208"/>
    </row>
    <row r="463" ht="14.25" customHeight="1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  <c r="K463" s="208"/>
    </row>
    <row r="464" ht="14.25" customHeight="1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</row>
    <row r="465" ht="14.25" customHeight="1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  <c r="K465" s="208"/>
    </row>
    <row r="466" ht="14.25" customHeight="1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  <c r="K466" s="208"/>
    </row>
    <row r="467" ht="14.25" customHeight="1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  <c r="K467" s="208"/>
    </row>
    <row r="468" ht="14.25" customHeight="1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  <c r="K468" s="208"/>
    </row>
    <row r="469" ht="14.25" customHeight="1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</row>
    <row r="470" ht="14.25" customHeight="1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</row>
    <row r="471" ht="14.25" customHeight="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  <c r="K471" s="208"/>
    </row>
    <row r="472" ht="14.25" customHeight="1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</row>
    <row r="473" ht="14.25" customHeight="1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  <c r="K473" s="208"/>
    </row>
    <row r="474" ht="14.25" customHeight="1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</row>
    <row r="475" ht="14.25" customHeight="1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</row>
    <row r="476" ht="14.25" customHeight="1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</row>
    <row r="477" ht="14.25" customHeight="1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  <c r="K477" s="208"/>
    </row>
    <row r="478" ht="14.25" customHeight="1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</row>
    <row r="479" ht="14.25" customHeight="1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  <c r="K479" s="208"/>
    </row>
    <row r="480" ht="14.25" customHeight="1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  <c r="K480" s="208"/>
    </row>
    <row r="481" ht="14.25" customHeight="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  <c r="K481" s="208"/>
    </row>
    <row r="482" ht="14.25" customHeight="1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  <c r="K482" s="208"/>
    </row>
    <row r="483" ht="14.25" customHeight="1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  <c r="K483" s="208"/>
    </row>
    <row r="484" ht="14.25" customHeight="1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  <c r="K484" s="208"/>
    </row>
    <row r="485" ht="14.25" customHeight="1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</row>
    <row r="486" ht="14.25" customHeight="1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  <c r="K486" s="208"/>
    </row>
    <row r="487" ht="14.25" customHeight="1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</row>
    <row r="488" ht="14.25" customHeight="1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</row>
    <row r="489" ht="14.25" customHeight="1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  <c r="K489" s="208"/>
    </row>
    <row r="490" ht="14.25" customHeight="1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  <c r="K490" s="208"/>
    </row>
    <row r="491" ht="14.25" customHeight="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  <c r="K491" s="208"/>
    </row>
    <row r="492" ht="14.25" customHeight="1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  <c r="K492" s="208"/>
    </row>
    <row r="493" ht="14.25" customHeight="1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  <c r="K493" s="208"/>
    </row>
    <row r="494" ht="14.25" customHeight="1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</row>
    <row r="495" ht="14.25" customHeight="1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  <c r="K495" s="208"/>
    </row>
    <row r="496" ht="14.25" customHeight="1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  <c r="K496" s="208"/>
    </row>
    <row r="497" ht="14.25" customHeight="1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</row>
    <row r="498" ht="14.25" customHeight="1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  <c r="K498" s="208"/>
    </row>
    <row r="499" ht="14.25" customHeight="1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  <c r="K499" s="208"/>
    </row>
    <row r="500" ht="14.25" customHeight="1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  <c r="K500" s="208"/>
    </row>
    <row r="501" ht="14.25" customHeight="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  <c r="K501" s="208"/>
    </row>
    <row r="502" ht="14.25" customHeight="1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  <c r="K502" s="208"/>
    </row>
    <row r="503" ht="14.25" customHeight="1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  <c r="K503" s="208"/>
    </row>
    <row r="504" ht="14.25" customHeight="1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  <c r="K504" s="208"/>
    </row>
    <row r="505" ht="14.25" customHeight="1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  <c r="K505" s="208"/>
    </row>
    <row r="506" ht="14.25" customHeight="1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  <c r="K506" s="208"/>
    </row>
    <row r="507" ht="14.25" customHeight="1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  <c r="K507" s="208"/>
    </row>
    <row r="508" ht="14.25" customHeight="1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  <c r="K508" s="208"/>
    </row>
    <row r="509" ht="14.25" customHeight="1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  <c r="K509" s="208"/>
    </row>
    <row r="510" ht="14.25" customHeight="1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  <c r="K510" s="208"/>
    </row>
    <row r="511" ht="14.25" customHeight="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  <c r="K511" s="208"/>
    </row>
    <row r="512" ht="14.25" customHeight="1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  <c r="K512" s="208"/>
    </row>
    <row r="513" ht="14.25" customHeight="1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  <c r="K513" s="208"/>
    </row>
    <row r="514" ht="14.25" customHeight="1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  <c r="K514" s="208"/>
    </row>
    <row r="515" ht="14.25" customHeight="1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  <c r="K515" s="208"/>
    </row>
    <row r="516" ht="14.25" customHeight="1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  <c r="K516" s="208"/>
    </row>
    <row r="517" ht="14.25" customHeight="1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  <c r="K517" s="208"/>
    </row>
    <row r="518" ht="14.25" customHeight="1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  <c r="K518" s="208"/>
    </row>
    <row r="519" ht="14.25" customHeight="1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  <c r="K519" s="208"/>
    </row>
    <row r="520" ht="14.25" customHeight="1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  <c r="K520" s="208"/>
    </row>
    <row r="521" ht="14.25" customHeight="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  <c r="K521" s="208"/>
    </row>
    <row r="522" ht="14.25" customHeight="1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  <c r="K522" s="208"/>
    </row>
    <row r="523" ht="14.25" customHeight="1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  <c r="K523" s="208"/>
    </row>
    <row r="524" ht="14.25" customHeight="1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  <c r="K524" s="208"/>
    </row>
    <row r="525" ht="14.25" customHeight="1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  <c r="K525" s="208"/>
    </row>
    <row r="526" ht="14.25" customHeight="1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  <c r="K526" s="208"/>
    </row>
    <row r="527" ht="14.25" customHeight="1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  <c r="K527" s="208"/>
    </row>
    <row r="528" ht="14.25" customHeight="1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  <c r="K528" s="208"/>
    </row>
    <row r="529" ht="14.25" customHeight="1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  <c r="K529" s="208"/>
    </row>
    <row r="530" ht="14.25" customHeight="1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  <c r="K530" s="208"/>
    </row>
    <row r="531" ht="14.25" customHeight="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  <c r="K531" s="208"/>
    </row>
    <row r="532" ht="14.25" customHeight="1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  <c r="K532" s="208"/>
    </row>
    <row r="533" ht="14.25" customHeight="1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  <c r="K533" s="208"/>
    </row>
    <row r="534" ht="14.25" customHeight="1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  <c r="K534" s="208"/>
    </row>
    <row r="535" ht="14.25" customHeight="1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  <c r="K535" s="208"/>
    </row>
    <row r="536" ht="14.25" customHeight="1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  <c r="K536" s="208"/>
    </row>
    <row r="537" ht="14.25" customHeight="1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  <c r="K537" s="208"/>
    </row>
    <row r="538" ht="14.25" customHeight="1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  <c r="K538" s="208"/>
    </row>
    <row r="539" ht="14.25" customHeight="1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  <c r="K539" s="208"/>
    </row>
    <row r="540" ht="14.25" customHeight="1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  <c r="K540" s="208"/>
    </row>
    <row r="541" ht="14.25" customHeight="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  <c r="K541" s="208"/>
    </row>
    <row r="542" ht="14.25" customHeight="1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  <c r="K542" s="208"/>
    </row>
    <row r="543" ht="14.25" customHeight="1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  <c r="K543" s="208"/>
    </row>
    <row r="544" ht="14.25" customHeight="1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  <c r="K544" s="208"/>
    </row>
    <row r="545" ht="14.25" customHeight="1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</row>
    <row r="546" ht="14.25" customHeight="1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  <c r="K546" s="208"/>
    </row>
    <row r="547" ht="14.25" customHeight="1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  <c r="K547" s="208"/>
    </row>
    <row r="548" ht="14.25" customHeight="1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  <c r="K548" s="208"/>
    </row>
    <row r="549" ht="14.25" customHeight="1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  <c r="K549" s="208"/>
    </row>
    <row r="550" ht="14.25" customHeight="1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  <c r="K550" s="208"/>
    </row>
    <row r="551" ht="14.25" customHeight="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  <c r="K551" s="208"/>
    </row>
    <row r="552" ht="14.25" customHeight="1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  <c r="K552" s="208"/>
    </row>
    <row r="553" ht="14.25" customHeight="1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  <c r="K553" s="208"/>
    </row>
    <row r="554" ht="14.25" customHeight="1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</row>
    <row r="555" ht="14.25" customHeight="1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  <c r="K555" s="208"/>
    </row>
    <row r="556" ht="14.25" customHeight="1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  <c r="K556" s="208"/>
    </row>
    <row r="557" ht="14.25" customHeight="1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  <c r="K557" s="208"/>
    </row>
    <row r="558" ht="14.25" customHeight="1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  <c r="K558" s="208"/>
    </row>
    <row r="559" ht="14.25" customHeight="1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  <c r="K559" s="208"/>
    </row>
    <row r="560" ht="14.25" customHeight="1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  <c r="K560" s="208"/>
    </row>
    <row r="561" ht="14.25" customHeight="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</row>
    <row r="562" ht="14.25" customHeight="1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</row>
    <row r="563" ht="14.25" customHeight="1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  <c r="K563" s="208"/>
    </row>
    <row r="564" ht="14.25" customHeight="1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  <c r="K564" s="208"/>
    </row>
    <row r="565" ht="14.25" customHeight="1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  <c r="K565" s="208"/>
    </row>
    <row r="566" ht="14.25" customHeight="1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  <c r="K566" s="208"/>
    </row>
    <row r="567" ht="14.25" customHeight="1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  <c r="K567" s="208"/>
    </row>
    <row r="568" ht="14.25" customHeight="1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  <c r="K568" s="208"/>
    </row>
    <row r="569" ht="14.25" customHeight="1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</row>
    <row r="570" ht="14.25" customHeight="1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  <c r="K570" s="208"/>
    </row>
    <row r="571" ht="14.25" customHeight="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  <c r="K571" s="208"/>
    </row>
    <row r="572" ht="14.25" customHeight="1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  <c r="K572" s="208"/>
    </row>
    <row r="573" ht="14.25" customHeight="1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</row>
    <row r="574" ht="14.25" customHeight="1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  <c r="K574" s="208"/>
    </row>
    <row r="575" ht="14.25" customHeight="1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  <c r="K575" s="208"/>
    </row>
    <row r="576" ht="14.25" customHeight="1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  <c r="K576" s="208"/>
    </row>
    <row r="577" ht="14.25" customHeight="1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  <c r="K577" s="208"/>
    </row>
    <row r="578" ht="14.25" customHeight="1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  <c r="K578" s="208"/>
    </row>
    <row r="579" ht="14.25" customHeight="1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  <c r="K579" s="208"/>
    </row>
    <row r="580" ht="14.25" customHeight="1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  <c r="K580" s="208"/>
    </row>
    <row r="581" ht="14.25" customHeight="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  <c r="K581" s="208"/>
    </row>
    <row r="582" ht="14.25" customHeight="1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  <c r="K582" s="208"/>
    </row>
    <row r="583" ht="14.25" customHeight="1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  <c r="K583" s="208"/>
    </row>
    <row r="584" ht="14.25" customHeight="1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  <c r="K584" s="208"/>
    </row>
    <row r="585" ht="14.25" customHeight="1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  <c r="K585" s="208"/>
    </row>
    <row r="586" ht="14.25" customHeight="1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  <c r="K586" s="208"/>
    </row>
    <row r="587" ht="14.25" customHeight="1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  <c r="K587" s="208"/>
    </row>
    <row r="588" ht="14.25" customHeight="1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  <c r="K588" s="208"/>
    </row>
    <row r="589" ht="14.25" customHeight="1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  <c r="K589" s="208"/>
    </row>
    <row r="590" ht="14.25" customHeight="1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  <c r="K590" s="208"/>
    </row>
    <row r="591" ht="14.25" customHeight="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  <c r="K591" s="208"/>
    </row>
    <row r="592" ht="14.25" customHeight="1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  <c r="K592" s="208"/>
    </row>
    <row r="593" ht="14.25" customHeight="1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  <c r="K593" s="208"/>
    </row>
    <row r="594" ht="14.25" customHeight="1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  <c r="K594" s="208"/>
    </row>
    <row r="595" ht="14.25" customHeight="1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  <c r="K595" s="208"/>
    </row>
    <row r="596" ht="14.25" customHeight="1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  <c r="K596" s="208"/>
    </row>
    <row r="597" ht="14.25" customHeight="1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  <c r="K597" s="208"/>
    </row>
    <row r="598" ht="14.25" customHeight="1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  <c r="K598" s="208"/>
    </row>
    <row r="599" ht="14.25" customHeight="1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  <c r="K599" s="208"/>
    </row>
    <row r="600" ht="14.25" customHeight="1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  <c r="K600" s="208"/>
    </row>
    <row r="601" ht="14.25" customHeight="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  <c r="K601" s="208"/>
    </row>
    <row r="602" ht="14.25" customHeight="1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  <c r="K602" s="208"/>
    </row>
    <row r="603" ht="14.25" customHeight="1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  <c r="K603" s="208"/>
    </row>
    <row r="604" ht="14.25" customHeight="1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  <c r="K604" s="208"/>
    </row>
    <row r="605" ht="14.25" customHeight="1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  <c r="K605" s="208"/>
    </row>
    <row r="606" ht="14.25" customHeight="1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  <c r="K606" s="208"/>
    </row>
    <row r="607" ht="14.25" customHeight="1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  <c r="K607" s="208"/>
    </row>
    <row r="608" ht="14.25" customHeight="1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  <c r="K608" s="208"/>
    </row>
    <row r="609" ht="14.25" customHeight="1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  <c r="K609" s="208"/>
    </row>
    <row r="610" ht="14.25" customHeight="1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  <c r="K610" s="208"/>
    </row>
    <row r="611" ht="14.25" customHeight="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  <c r="K611" s="208"/>
    </row>
    <row r="612" ht="14.25" customHeight="1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</row>
    <row r="613" ht="14.25" customHeight="1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  <c r="K613" s="208"/>
    </row>
    <row r="614" ht="14.25" customHeight="1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</row>
    <row r="615" ht="14.25" customHeight="1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</row>
    <row r="616" ht="14.25" customHeight="1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  <c r="K616" s="208"/>
    </row>
    <row r="617" ht="14.25" customHeight="1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  <c r="K617" s="208"/>
    </row>
    <row r="618" ht="14.25" customHeight="1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</row>
    <row r="619" ht="14.25" customHeight="1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  <c r="K619" s="208"/>
    </row>
    <row r="620" ht="14.25" customHeight="1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  <c r="K620" s="208"/>
    </row>
    <row r="621" ht="14.25" customHeight="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  <c r="K621" s="208"/>
    </row>
    <row r="622" ht="14.25" customHeight="1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  <c r="K622" s="208"/>
    </row>
    <row r="623" ht="14.25" customHeight="1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  <c r="K623" s="208"/>
    </row>
    <row r="624" ht="14.25" customHeight="1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  <c r="K624" s="208"/>
    </row>
    <row r="625" ht="14.25" customHeight="1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  <c r="K625" s="208"/>
    </row>
    <row r="626" ht="14.25" customHeight="1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</row>
    <row r="627" ht="14.25" customHeight="1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  <c r="K627" s="208"/>
    </row>
    <row r="628" ht="14.25" customHeight="1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  <c r="K628" s="208"/>
    </row>
    <row r="629" ht="14.25" customHeight="1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  <c r="K629" s="208"/>
    </row>
    <row r="630" ht="14.25" customHeight="1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  <c r="K630" s="208"/>
    </row>
    <row r="631" ht="14.25" customHeight="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  <c r="K631" s="208"/>
    </row>
    <row r="632" ht="14.25" customHeight="1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  <c r="K632" s="208"/>
    </row>
    <row r="633" ht="14.25" customHeight="1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  <c r="K633" s="208"/>
    </row>
    <row r="634" ht="14.25" customHeight="1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  <c r="K634" s="208"/>
    </row>
    <row r="635" ht="14.25" customHeight="1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  <c r="K635" s="208"/>
    </row>
    <row r="636" ht="14.25" customHeight="1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  <c r="K636" s="208"/>
    </row>
    <row r="637" ht="14.25" customHeight="1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  <c r="K637" s="208"/>
    </row>
    <row r="638" ht="14.25" customHeight="1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  <c r="K638" s="208"/>
    </row>
    <row r="639" ht="14.25" customHeight="1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  <c r="K639" s="208"/>
    </row>
    <row r="640" ht="14.25" customHeight="1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  <c r="K640" s="208"/>
    </row>
    <row r="641" ht="14.25" customHeight="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  <c r="K641" s="208"/>
    </row>
    <row r="642" ht="14.25" customHeight="1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  <c r="K642" s="208"/>
    </row>
    <row r="643" ht="14.25" customHeight="1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  <c r="K643" s="208"/>
    </row>
    <row r="644" ht="14.25" customHeight="1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</row>
    <row r="645" ht="14.25" customHeight="1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  <c r="K645" s="208"/>
    </row>
    <row r="646" ht="14.25" customHeight="1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  <c r="K646" s="208"/>
    </row>
    <row r="647" ht="14.25" customHeight="1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  <c r="K647" s="208"/>
    </row>
    <row r="648" ht="14.25" customHeight="1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  <c r="K648" s="208"/>
    </row>
    <row r="649" ht="14.25" customHeight="1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  <c r="K649" s="208"/>
    </row>
    <row r="650" ht="14.25" customHeight="1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  <c r="K650" s="208"/>
    </row>
    <row r="651" ht="14.25" customHeight="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  <c r="K651" s="208"/>
    </row>
    <row r="652" ht="14.25" customHeight="1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  <c r="K652" s="208"/>
    </row>
    <row r="653" ht="14.25" customHeight="1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  <c r="K653" s="208"/>
    </row>
    <row r="654" ht="14.25" customHeight="1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  <c r="K654" s="208"/>
    </row>
    <row r="655" ht="14.25" customHeight="1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  <c r="K655" s="208"/>
    </row>
    <row r="656" ht="14.25" customHeight="1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  <c r="K656" s="208"/>
    </row>
    <row r="657" ht="14.25" customHeight="1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  <c r="K657" s="208"/>
    </row>
    <row r="658" ht="14.25" customHeight="1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  <c r="K658" s="208"/>
    </row>
    <row r="659" ht="14.25" customHeight="1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  <c r="K659" s="208"/>
    </row>
    <row r="660" ht="14.25" customHeight="1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  <c r="K660" s="208"/>
    </row>
    <row r="661" ht="14.25" customHeight="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  <c r="K661" s="208"/>
    </row>
    <row r="662" ht="14.25" customHeight="1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  <c r="K662" s="208"/>
    </row>
    <row r="663" ht="14.25" customHeight="1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  <c r="K663" s="208"/>
    </row>
    <row r="664" ht="14.25" customHeight="1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  <c r="K664" s="208"/>
    </row>
    <row r="665" ht="14.25" customHeight="1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  <c r="K665" s="208"/>
    </row>
    <row r="666" ht="14.25" customHeight="1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</row>
    <row r="667" ht="14.25" customHeight="1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  <c r="K667" s="208"/>
    </row>
    <row r="668" ht="14.25" customHeight="1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  <c r="K668" s="208"/>
    </row>
    <row r="669" ht="14.25" customHeight="1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  <c r="K669" s="208"/>
    </row>
    <row r="670" ht="14.25" customHeight="1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  <c r="K670" s="208"/>
    </row>
    <row r="671" ht="14.25" customHeight="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  <c r="K671" s="208"/>
    </row>
    <row r="672" ht="14.25" customHeight="1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  <c r="K672" s="208"/>
    </row>
    <row r="673" ht="14.25" customHeight="1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</row>
    <row r="674" ht="14.25" customHeight="1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  <c r="K674" s="208"/>
    </row>
    <row r="675" ht="14.25" customHeight="1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  <c r="K675" s="208"/>
    </row>
    <row r="676" ht="14.25" customHeight="1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  <c r="K676" s="208"/>
    </row>
    <row r="677" ht="14.25" customHeight="1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  <c r="K677" s="208"/>
    </row>
    <row r="678" ht="14.25" customHeight="1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  <c r="K678" s="208"/>
    </row>
    <row r="679" ht="14.25" customHeight="1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  <c r="K679" s="208"/>
    </row>
    <row r="680" ht="14.25" customHeight="1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  <c r="K680" s="208"/>
    </row>
    <row r="681" ht="14.25" customHeight="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  <c r="K681" s="208"/>
    </row>
    <row r="682" ht="14.25" customHeight="1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  <c r="K682" s="208"/>
    </row>
    <row r="683" ht="14.25" customHeight="1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  <c r="K683" s="208"/>
    </row>
    <row r="684" ht="14.25" customHeight="1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  <c r="K684" s="208"/>
    </row>
    <row r="685" ht="14.25" customHeight="1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  <c r="K685" s="208"/>
    </row>
    <row r="686" ht="14.25" customHeight="1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  <c r="K686" s="208"/>
    </row>
    <row r="687" ht="14.25" customHeight="1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  <c r="K687" s="208"/>
    </row>
    <row r="688" ht="14.25" customHeight="1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  <c r="K688" s="208"/>
    </row>
    <row r="689" ht="14.25" customHeight="1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  <c r="K689" s="208"/>
    </row>
    <row r="690" ht="14.25" customHeight="1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  <c r="K690" s="208"/>
    </row>
    <row r="691" ht="14.25" customHeight="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  <c r="K691" s="208"/>
    </row>
    <row r="692" ht="14.25" customHeight="1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  <c r="K692" s="208"/>
    </row>
    <row r="693" ht="14.25" customHeight="1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  <c r="K693" s="208"/>
    </row>
    <row r="694" ht="14.25" customHeight="1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  <c r="K694" s="208"/>
    </row>
    <row r="695" ht="14.25" customHeight="1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  <c r="K695" s="208"/>
    </row>
    <row r="696" ht="14.25" customHeight="1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  <c r="K696" s="208"/>
    </row>
    <row r="697" ht="14.25" customHeight="1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  <c r="K697" s="208"/>
    </row>
    <row r="698" ht="14.25" customHeight="1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  <c r="K698" s="208"/>
    </row>
    <row r="699" ht="14.25" customHeight="1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  <c r="K699" s="208"/>
    </row>
    <row r="700" ht="14.25" customHeight="1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</row>
    <row r="701" ht="14.25" customHeight="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  <c r="K701" s="208"/>
    </row>
    <row r="702" ht="14.25" customHeight="1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  <c r="K702" s="208"/>
    </row>
    <row r="703" ht="14.25" customHeight="1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  <c r="K703" s="208"/>
    </row>
    <row r="704" ht="14.25" customHeight="1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</row>
    <row r="705" ht="14.25" customHeight="1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  <c r="K705" s="208"/>
    </row>
    <row r="706" ht="14.25" customHeight="1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  <c r="K706" s="208"/>
    </row>
    <row r="707" ht="14.25" customHeight="1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  <c r="K707" s="208"/>
    </row>
    <row r="708" ht="14.25" customHeight="1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  <c r="K708" s="208"/>
    </row>
    <row r="709" ht="14.25" customHeight="1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  <c r="K709" s="208"/>
    </row>
    <row r="710" ht="14.25" customHeight="1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</row>
    <row r="711" ht="14.25" customHeight="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  <c r="K711" s="208"/>
    </row>
    <row r="712" ht="14.25" customHeight="1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  <c r="K712" s="208"/>
    </row>
    <row r="713" ht="14.25" customHeight="1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  <c r="K713" s="208"/>
    </row>
    <row r="714" ht="14.25" customHeight="1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  <c r="K714" s="208"/>
    </row>
    <row r="715" ht="14.25" customHeight="1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  <c r="K715" s="208"/>
    </row>
    <row r="716" ht="14.25" customHeight="1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  <c r="K716" s="208"/>
    </row>
    <row r="717" ht="14.25" customHeight="1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  <c r="K717" s="208"/>
    </row>
    <row r="718" ht="14.25" customHeight="1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  <c r="K718" s="208"/>
    </row>
    <row r="719" ht="14.25" customHeight="1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  <c r="K719" s="208"/>
    </row>
    <row r="720" ht="14.25" customHeight="1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  <c r="K720" s="208"/>
    </row>
    <row r="721" ht="14.25" customHeight="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</row>
    <row r="722" ht="14.25" customHeight="1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  <c r="K722" s="208"/>
    </row>
    <row r="723" ht="14.25" customHeight="1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  <c r="K723" s="208"/>
    </row>
    <row r="724" ht="14.25" customHeight="1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  <c r="K724" s="208"/>
    </row>
    <row r="725" ht="14.25" customHeight="1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  <c r="K725" s="208"/>
    </row>
    <row r="726" ht="14.25" customHeight="1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  <c r="K726" s="208"/>
    </row>
    <row r="727" ht="14.25" customHeight="1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</row>
    <row r="728" ht="14.25" customHeight="1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  <c r="K728" s="208"/>
    </row>
    <row r="729" ht="14.25" customHeight="1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  <c r="K729" s="208"/>
    </row>
    <row r="730" ht="14.25" customHeight="1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  <c r="K730" s="208"/>
    </row>
    <row r="731" ht="14.25" customHeight="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  <c r="K731" s="208"/>
    </row>
    <row r="732" ht="14.25" customHeight="1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</row>
    <row r="733" ht="14.25" customHeight="1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  <c r="K733" s="208"/>
    </row>
    <row r="734" ht="14.25" customHeight="1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  <c r="K734" s="208"/>
    </row>
    <row r="735" ht="14.25" customHeight="1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  <c r="K735" s="208"/>
    </row>
    <row r="736" ht="14.25" customHeight="1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  <c r="K736" s="208"/>
    </row>
    <row r="737" ht="14.25" customHeight="1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  <c r="K737" s="208"/>
    </row>
    <row r="738" ht="14.25" customHeight="1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  <c r="K738" s="208"/>
    </row>
    <row r="739" ht="14.25" customHeight="1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  <c r="K739" s="208"/>
    </row>
    <row r="740" ht="14.25" customHeight="1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</row>
    <row r="741" ht="14.25" customHeight="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  <c r="K741" s="208"/>
    </row>
    <row r="742" ht="14.25" customHeight="1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  <c r="K742" s="208"/>
    </row>
    <row r="743" ht="14.25" customHeight="1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  <c r="K743" s="208"/>
    </row>
    <row r="744" ht="14.25" customHeight="1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  <c r="K744" s="208"/>
    </row>
    <row r="745" ht="14.25" customHeight="1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  <c r="K745" s="208"/>
    </row>
    <row r="746" ht="14.25" customHeight="1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  <c r="K746" s="208"/>
    </row>
    <row r="747" ht="14.25" customHeight="1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</row>
    <row r="748" ht="14.25" customHeight="1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  <c r="K748" s="208"/>
    </row>
    <row r="749" ht="14.25" customHeight="1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  <c r="K749" s="208"/>
    </row>
    <row r="750" ht="14.25" customHeight="1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  <c r="K750" s="208"/>
    </row>
    <row r="751" ht="14.25" customHeight="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  <c r="K751" s="208"/>
    </row>
    <row r="752" ht="14.25" customHeight="1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  <c r="K752" s="208"/>
    </row>
    <row r="753" ht="14.25" customHeight="1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</row>
    <row r="754" ht="14.25" customHeight="1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  <c r="K754" s="208"/>
    </row>
    <row r="755" ht="14.25" customHeight="1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  <c r="K755" s="208"/>
    </row>
    <row r="756" ht="14.25" customHeight="1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  <c r="K756" s="208"/>
    </row>
    <row r="757" ht="14.25" customHeight="1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  <c r="K757" s="208"/>
    </row>
    <row r="758" ht="14.25" customHeight="1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</row>
    <row r="759" ht="14.25" customHeight="1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  <c r="K759" s="208"/>
    </row>
    <row r="760" ht="14.25" customHeight="1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  <c r="K760" s="208"/>
    </row>
    <row r="761" ht="14.25" customHeight="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</row>
    <row r="762" ht="14.25" customHeight="1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  <c r="K762" s="208"/>
    </row>
    <row r="763" ht="14.25" customHeight="1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  <c r="K763" s="208"/>
    </row>
    <row r="764" ht="14.25" customHeight="1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  <c r="K764" s="208"/>
    </row>
    <row r="765" ht="14.25" customHeight="1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  <c r="K765" s="208"/>
    </row>
    <row r="766" ht="14.25" customHeight="1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  <c r="K766" s="208"/>
    </row>
    <row r="767" ht="14.25" customHeight="1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  <c r="K767" s="208"/>
    </row>
    <row r="768" ht="14.25" customHeight="1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  <c r="K768" s="208"/>
    </row>
    <row r="769" ht="14.25" customHeight="1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  <c r="K769" s="208"/>
    </row>
    <row r="770" ht="14.25" customHeight="1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  <c r="K770" s="208"/>
    </row>
    <row r="771" ht="14.25" customHeight="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  <c r="K771" s="208"/>
    </row>
    <row r="772" ht="14.25" customHeight="1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  <c r="K772" s="208"/>
    </row>
    <row r="773" ht="14.25" customHeight="1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  <c r="K773" s="208"/>
    </row>
    <row r="774" ht="14.25" customHeight="1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  <c r="K774" s="208"/>
    </row>
    <row r="775" ht="14.25" customHeight="1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  <c r="K775" s="208"/>
    </row>
    <row r="776" ht="14.25" customHeight="1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  <c r="K776" s="208"/>
    </row>
    <row r="777" ht="14.25" customHeight="1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  <c r="K777" s="208"/>
    </row>
    <row r="778" ht="14.25" customHeight="1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  <c r="K778" s="208"/>
    </row>
    <row r="779" ht="14.25" customHeight="1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  <c r="K779" s="208"/>
    </row>
    <row r="780" ht="14.25" customHeight="1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  <c r="K780" s="208"/>
    </row>
    <row r="781" ht="14.25" customHeight="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  <c r="K781" s="208"/>
    </row>
    <row r="782" ht="14.25" customHeight="1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  <c r="K782" s="208"/>
    </row>
    <row r="783" ht="14.25" customHeight="1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  <c r="K783" s="208"/>
    </row>
    <row r="784" ht="14.25" customHeight="1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  <c r="K784" s="208"/>
    </row>
    <row r="785" ht="14.25" customHeight="1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</row>
    <row r="786" ht="14.25" customHeight="1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  <c r="K786" s="208"/>
    </row>
    <row r="787" ht="14.25" customHeight="1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  <c r="K787" s="208"/>
    </row>
    <row r="788" ht="14.25" customHeight="1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  <c r="K788" s="208"/>
    </row>
    <row r="789" ht="14.25" customHeight="1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  <c r="K789" s="208"/>
    </row>
    <row r="790" ht="14.25" customHeight="1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  <c r="K790" s="208"/>
    </row>
    <row r="791" ht="14.25" customHeight="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  <c r="K791" s="208"/>
    </row>
    <row r="792" ht="14.25" customHeight="1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  <c r="K792" s="208"/>
    </row>
    <row r="793" ht="14.25" customHeight="1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  <c r="K793" s="208"/>
    </row>
    <row r="794" ht="14.25" customHeight="1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  <c r="K794" s="208"/>
    </row>
    <row r="795" ht="14.25" customHeight="1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  <c r="K795" s="208"/>
    </row>
    <row r="796" ht="14.25" customHeight="1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  <c r="K796" s="208"/>
    </row>
    <row r="797" ht="14.25" customHeight="1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  <c r="K797" s="208"/>
    </row>
    <row r="798" ht="14.25" customHeight="1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  <c r="K798" s="208"/>
    </row>
    <row r="799" ht="14.25" customHeight="1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  <c r="K799" s="208"/>
    </row>
    <row r="800" ht="14.25" customHeight="1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  <c r="K800" s="208"/>
    </row>
    <row r="801" ht="14.25" customHeight="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  <c r="K801" s="208"/>
    </row>
    <row r="802" ht="14.25" customHeight="1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  <c r="K802" s="208"/>
    </row>
    <row r="803" ht="14.25" customHeight="1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  <c r="K803" s="208"/>
    </row>
    <row r="804" ht="14.25" customHeight="1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  <c r="K804" s="208"/>
    </row>
    <row r="805" ht="14.25" customHeight="1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  <c r="K805" s="208"/>
    </row>
    <row r="806" ht="14.25" customHeight="1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  <c r="K806" s="208"/>
    </row>
    <row r="807" ht="14.25" customHeight="1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  <c r="K807" s="208"/>
    </row>
    <row r="808" ht="14.25" customHeight="1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  <c r="K808" s="208"/>
    </row>
    <row r="809" ht="14.25" customHeight="1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  <c r="K809" s="208"/>
    </row>
    <row r="810" ht="14.25" customHeight="1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</row>
    <row r="811" ht="14.25" customHeight="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  <c r="K811" s="208"/>
    </row>
    <row r="812" ht="14.25" customHeight="1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  <c r="K812" s="208"/>
    </row>
    <row r="813" ht="14.25" customHeight="1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  <c r="K813" s="208"/>
    </row>
    <row r="814" ht="14.25" customHeight="1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  <c r="K814" s="208"/>
    </row>
    <row r="815" ht="14.25" customHeight="1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  <c r="K815" s="208"/>
    </row>
    <row r="816" ht="14.25" customHeight="1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  <c r="K816" s="208"/>
    </row>
    <row r="817" ht="14.25" customHeight="1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  <c r="K817" s="208"/>
    </row>
    <row r="818" ht="14.25" customHeight="1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  <c r="K818" s="208"/>
    </row>
    <row r="819" ht="14.25" customHeight="1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  <c r="K819" s="208"/>
    </row>
    <row r="820" ht="14.25" customHeight="1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  <c r="K820" s="208"/>
    </row>
    <row r="821" ht="14.25" customHeight="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  <c r="K821" s="208"/>
    </row>
    <row r="822" ht="14.25" customHeight="1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  <c r="K822" s="208"/>
    </row>
    <row r="823" ht="14.25" customHeight="1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  <c r="K823" s="208"/>
    </row>
    <row r="824" ht="14.25" customHeight="1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  <c r="K824" s="208"/>
    </row>
    <row r="825" ht="14.25" customHeight="1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  <c r="K825" s="208"/>
    </row>
    <row r="826" ht="14.25" customHeight="1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  <c r="K826" s="208"/>
    </row>
    <row r="827" ht="14.25" customHeight="1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  <c r="K827" s="208"/>
    </row>
    <row r="828" ht="14.25" customHeight="1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</row>
    <row r="829" ht="14.25" customHeight="1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  <c r="K829" s="208"/>
    </row>
    <row r="830" ht="14.25" customHeight="1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  <c r="K830" s="208"/>
    </row>
    <row r="831" ht="14.25" customHeight="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  <c r="K831" s="208"/>
    </row>
    <row r="832" ht="14.25" customHeight="1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  <c r="K832" s="208"/>
    </row>
    <row r="833" ht="14.25" customHeight="1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  <c r="K833" s="208"/>
    </row>
    <row r="834" ht="14.25" customHeight="1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  <c r="K834" s="208"/>
    </row>
    <row r="835" ht="14.25" customHeight="1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  <c r="K835" s="208"/>
    </row>
    <row r="836" ht="14.25" customHeight="1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  <c r="K836" s="208"/>
    </row>
    <row r="837" ht="14.25" customHeight="1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  <c r="K837" s="208"/>
    </row>
    <row r="838" ht="14.25" customHeight="1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  <c r="K838" s="208"/>
    </row>
    <row r="839" ht="14.25" customHeight="1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  <c r="K839" s="208"/>
    </row>
    <row r="840" ht="14.25" customHeight="1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  <c r="K840" s="208"/>
    </row>
    <row r="841" ht="14.25" customHeight="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  <c r="K841" s="208"/>
    </row>
    <row r="842" ht="14.25" customHeight="1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  <c r="K842" s="208"/>
    </row>
    <row r="843" ht="14.25" customHeight="1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  <c r="K843" s="208"/>
    </row>
    <row r="844" ht="14.25" customHeight="1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  <c r="K844" s="208"/>
    </row>
    <row r="845" ht="14.25" customHeight="1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  <c r="K845" s="208"/>
    </row>
    <row r="846" ht="14.25" customHeight="1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  <c r="K846" s="208"/>
    </row>
    <row r="847" ht="14.25" customHeight="1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  <c r="K847" s="208"/>
    </row>
    <row r="848" ht="14.25" customHeight="1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  <c r="K848" s="208"/>
    </row>
    <row r="849" ht="14.25" customHeight="1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  <c r="K849" s="208"/>
    </row>
    <row r="850" ht="14.25" customHeight="1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  <c r="K850" s="208"/>
    </row>
    <row r="851" ht="14.25" customHeight="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  <c r="K851" s="208"/>
    </row>
    <row r="852" ht="14.25" customHeight="1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  <c r="K852" s="208"/>
    </row>
    <row r="853" ht="14.25" customHeight="1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  <c r="K853" s="208"/>
    </row>
    <row r="854" ht="14.25" customHeight="1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  <c r="K854" s="208"/>
    </row>
    <row r="855" ht="14.25" customHeight="1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  <c r="K855" s="208"/>
    </row>
    <row r="856" ht="14.25" customHeight="1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</row>
    <row r="857" ht="14.25" customHeight="1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  <c r="K857" s="208"/>
    </row>
    <row r="858" ht="14.25" customHeight="1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  <c r="K858" s="208"/>
    </row>
    <row r="859" ht="14.25" customHeight="1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  <c r="K859" s="208"/>
    </row>
    <row r="860" ht="14.25" customHeight="1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  <c r="K860" s="208"/>
    </row>
    <row r="861" ht="14.25" customHeight="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  <c r="K861" s="208"/>
    </row>
    <row r="862" ht="14.25" customHeight="1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  <c r="K862" s="208"/>
    </row>
    <row r="863" ht="14.25" customHeight="1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  <c r="K863" s="208"/>
    </row>
    <row r="864" ht="14.25" customHeight="1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  <c r="K864" s="208"/>
    </row>
    <row r="865" ht="14.25" customHeight="1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  <c r="K865" s="208"/>
    </row>
    <row r="866" ht="14.25" customHeight="1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  <c r="K866" s="208"/>
    </row>
    <row r="867" ht="14.25" customHeight="1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  <c r="K867" s="208"/>
    </row>
    <row r="868" ht="14.25" customHeight="1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  <c r="K868" s="208"/>
    </row>
    <row r="869" ht="14.25" customHeight="1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  <c r="K869" s="208"/>
    </row>
    <row r="870" ht="14.25" customHeight="1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  <c r="K870" s="208"/>
    </row>
    <row r="871" ht="14.25" customHeight="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  <c r="K871" s="208"/>
    </row>
    <row r="872" ht="14.25" customHeight="1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  <c r="K872" s="208"/>
    </row>
    <row r="873" ht="14.25" customHeight="1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  <c r="K873" s="208"/>
    </row>
    <row r="874" ht="14.25" customHeight="1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  <c r="K874" s="208"/>
    </row>
    <row r="875" ht="14.25" customHeight="1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  <c r="K875" s="208"/>
    </row>
    <row r="876" ht="14.25" customHeight="1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  <c r="K876" s="208"/>
    </row>
    <row r="877" ht="14.25" customHeight="1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  <c r="K877" s="208"/>
    </row>
    <row r="878" ht="14.25" customHeight="1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  <c r="K878" s="208"/>
    </row>
    <row r="879" ht="14.25" customHeight="1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  <c r="K879" s="208"/>
    </row>
    <row r="880" ht="14.25" customHeight="1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  <c r="K880" s="208"/>
    </row>
    <row r="881" ht="14.25" customHeight="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  <c r="K881" s="208"/>
    </row>
    <row r="882" ht="14.25" customHeight="1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  <c r="K882" s="208"/>
    </row>
    <row r="883" ht="14.25" customHeight="1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  <c r="K883" s="208"/>
    </row>
    <row r="884" ht="14.25" customHeight="1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  <c r="K884" s="208"/>
    </row>
    <row r="885" ht="14.25" customHeight="1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  <c r="K885" s="208"/>
    </row>
    <row r="886" ht="14.25" customHeight="1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</row>
    <row r="887" ht="14.25" customHeight="1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  <c r="K887" s="208"/>
    </row>
    <row r="888" ht="14.25" customHeight="1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  <c r="K888" s="208"/>
    </row>
    <row r="889" ht="14.25" customHeight="1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  <c r="K889" s="208"/>
    </row>
    <row r="890" ht="14.25" customHeight="1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  <c r="K890" s="208"/>
    </row>
    <row r="891" ht="14.25" customHeight="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  <c r="K891" s="208"/>
    </row>
    <row r="892" ht="14.25" customHeight="1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  <c r="K892" s="208"/>
    </row>
    <row r="893" ht="14.25" customHeight="1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  <c r="K893" s="208"/>
    </row>
    <row r="894" ht="14.25" customHeight="1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  <c r="K894" s="208"/>
    </row>
    <row r="895" ht="14.25" customHeight="1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</row>
    <row r="896" ht="14.25" customHeight="1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  <c r="K896" s="208"/>
    </row>
    <row r="897" ht="14.25" customHeight="1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  <c r="K897" s="208"/>
    </row>
    <row r="898" ht="14.25" customHeight="1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  <c r="K898" s="208"/>
    </row>
    <row r="899" ht="14.25" customHeight="1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  <c r="K899" s="208"/>
    </row>
    <row r="900" ht="14.25" customHeight="1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  <c r="K900" s="208"/>
    </row>
    <row r="901" ht="14.25" customHeight="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  <c r="K901" s="208"/>
    </row>
    <row r="902" ht="14.25" customHeight="1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  <c r="K902" s="208"/>
    </row>
    <row r="903" ht="14.25" customHeight="1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  <c r="K903" s="208"/>
    </row>
    <row r="904" ht="14.25" customHeight="1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  <c r="K904" s="208"/>
    </row>
    <row r="905" ht="14.25" customHeight="1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  <c r="K905" s="208"/>
    </row>
    <row r="906" ht="14.25" customHeight="1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  <c r="K906" s="208"/>
    </row>
    <row r="907" ht="14.25" customHeight="1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  <c r="K907" s="208"/>
    </row>
    <row r="908" ht="14.25" customHeight="1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  <c r="K908" s="208"/>
    </row>
    <row r="909" ht="14.25" customHeight="1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  <c r="K909" s="208"/>
    </row>
    <row r="910" ht="14.25" customHeight="1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  <c r="K910" s="208"/>
    </row>
    <row r="911" ht="14.25" customHeight="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  <c r="K911" s="208"/>
    </row>
    <row r="912" ht="14.25" customHeight="1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  <c r="K912" s="208"/>
    </row>
    <row r="913" ht="14.25" customHeight="1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  <c r="K913" s="208"/>
    </row>
    <row r="914" ht="14.25" customHeight="1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  <c r="K914" s="208"/>
    </row>
    <row r="915" ht="14.25" customHeight="1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  <c r="K915" s="208"/>
    </row>
    <row r="916" ht="14.25" customHeight="1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  <c r="K916" s="208"/>
    </row>
    <row r="917" ht="14.25" customHeight="1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  <c r="K917" s="208"/>
    </row>
    <row r="918" ht="14.25" customHeight="1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  <c r="K918" s="208"/>
    </row>
    <row r="919" ht="14.25" customHeight="1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  <c r="K919" s="208"/>
    </row>
    <row r="920" ht="14.25" customHeight="1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  <c r="K920" s="208"/>
    </row>
    <row r="921" ht="14.25" customHeight="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  <c r="K921" s="208"/>
    </row>
    <row r="922" ht="14.25" customHeight="1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</row>
    <row r="923" ht="14.25" customHeight="1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  <c r="K923" s="208"/>
    </row>
    <row r="924" ht="14.25" customHeight="1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  <c r="K924" s="208"/>
    </row>
    <row r="925" ht="14.25" customHeight="1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  <c r="K925" s="208"/>
    </row>
    <row r="926" ht="14.25" customHeight="1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  <c r="K926" s="208"/>
    </row>
    <row r="927" ht="14.25" customHeight="1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  <c r="K927" s="208"/>
    </row>
    <row r="928" ht="14.25" customHeight="1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  <c r="K928" s="208"/>
    </row>
    <row r="929" ht="14.25" customHeight="1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  <c r="K929" s="208"/>
    </row>
    <row r="930" ht="14.25" customHeight="1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  <c r="K930" s="208"/>
    </row>
    <row r="931" ht="14.25" customHeight="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  <c r="K931" s="208"/>
    </row>
    <row r="932" ht="14.25" customHeight="1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  <c r="K932" s="208"/>
    </row>
    <row r="933" ht="14.25" customHeight="1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  <c r="K933" s="208"/>
    </row>
    <row r="934" ht="14.25" customHeight="1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  <c r="K934" s="208"/>
    </row>
    <row r="935" ht="14.25" customHeight="1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  <c r="K935" s="208"/>
    </row>
    <row r="936" ht="14.25" customHeight="1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  <c r="K936" s="208"/>
    </row>
    <row r="937" ht="14.25" customHeight="1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  <c r="K937" s="208"/>
    </row>
    <row r="938" ht="14.25" customHeight="1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  <c r="K938" s="208"/>
    </row>
    <row r="939" ht="14.25" customHeight="1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  <c r="K939" s="208"/>
    </row>
    <row r="940" ht="14.25" customHeight="1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  <c r="K940" s="208"/>
    </row>
    <row r="941" ht="14.25" customHeight="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  <c r="K941" s="208"/>
    </row>
    <row r="942" ht="14.25" customHeight="1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  <c r="K942" s="208"/>
    </row>
    <row r="943" ht="14.25" customHeight="1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  <c r="K943" s="208"/>
    </row>
    <row r="944" ht="14.25" customHeight="1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  <c r="K944" s="208"/>
    </row>
    <row r="945" ht="14.25" customHeight="1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  <c r="K945" s="208"/>
    </row>
    <row r="946" ht="14.25" customHeight="1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  <c r="K946" s="208"/>
    </row>
    <row r="947" ht="14.25" customHeight="1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  <c r="K947" s="208"/>
    </row>
    <row r="948" ht="14.25" customHeight="1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  <c r="K948" s="208"/>
    </row>
    <row r="949" ht="14.25" customHeight="1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  <c r="K949" s="208"/>
    </row>
    <row r="950" ht="14.25" customHeight="1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  <c r="K950" s="208"/>
    </row>
    <row r="951" ht="14.25" customHeight="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</row>
    <row r="952" ht="14.25" customHeight="1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  <c r="K952" s="208"/>
    </row>
    <row r="953" ht="14.25" customHeight="1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  <c r="K953" s="208"/>
    </row>
    <row r="954" ht="14.25" customHeight="1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  <c r="K954" s="208"/>
    </row>
    <row r="955" ht="14.25" customHeight="1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  <c r="K955" s="208"/>
    </row>
    <row r="956" ht="14.25" customHeight="1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  <c r="K956" s="208"/>
    </row>
    <row r="957" ht="14.25" customHeight="1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  <c r="K957" s="208"/>
    </row>
    <row r="958" ht="14.25" customHeight="1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  <c r="K958" s="208"/>
    </row>
    <row r="959" ht="14.25" customHeight="1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  <c r="K959" s="208"/>
    </row>
    <row r="960" ht="14.25" customHeight="1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  <c r="K960" s="208"/>
    </row>
    <row r="961" ht="14.25" customHeight="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</row>
    <row r="962" ht="14.25" customHeight="1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  <c r="K962" s="208"/>
    </row>
    <row r="963" ht="14.25" customHeight="1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  <c r="K963" s="208"/>
    </row>
    <row r="964" ht="14.25" customHeight="1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  <c r="K964" s="208"/>
    </row>
    <row r="965" ht="14.25" customHeight="1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  <c r="K965" s="208"/>
    </row>
    <row r="966" ht="14.25" customHeight="1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  <c r="K966" s="208"/>
    </row>
    <row r="967" ht="14.25" customHeight="1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  <c r="K967" s="208"/>
    </row>
    <row r="968" ht="14.25" customHeight="1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  <c r="K968" s="208"/>
    </row>
    <row r="969" ht="14.25" customHeight="1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  <c r="K969" s="208"/>
    </row>
    <row r="970" ht="14.25" customHeight="1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</row>
    <row r="971" ht="14.25" customHeight="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</row>
    <row r="972" ht="14.25" customHeight="1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  <c r="K972" s="208"/>
    </row>
    <row r="973" ht="14.25" customHeight="1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  <c r="K973" s="208"/>
    </row>
    <row r="974" ht="14.25" customHeight="1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  <c r="K974" s="208"/>
    </row>
    <row r="975" ht="14.25" customHeight="1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  <c r="K975" s="208"/>
    </row>
    <row r="976" ht="14.25" customHeight="1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  <c r="K976" s="208"/>
    </row>
    <row r="977" ht="14.25" customHeight="1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  <c r="K977" s="208"/>
    </row>
    <row r="978" ht="14.25" customHeight="1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  <c r="K978" s="208"/>
    </row>
    <row r="979" ht="14.25" customHeight="1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  <c r="K979" s="208"/>
    </row>
    <row r="980" ht="14.25" customHeight="1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</row>
    <row r="981" ht="14.25" customHeight="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  <c r="K981" s="208"/>
    </row>
    <row r="982" ht="14.25" customHeight="1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  <c r="K982" s="208"/>
    </row>
    <row r="983" ht="14.25" customHeight="1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  <c r="K983" s="208"/>
    </row>
    <row r="984" ht="14.25" customHeight="1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  <c r="K984" s="208"/>
    </row>
    <row r="985" ht="14.25" customHeight="1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  <c r="K985" s="208"/>
    </row>
    <row r="986" ht="14.25" customHeight="1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  <c r="K986" s="208"/>
    </row>
    <row r="987" ht="14.25" customHeight="1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  <c r="K987" s="208"/>
    </row>
    <row r="988" ht="14.25" customHeight="1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  <c r="K988" s="208"/>
    </row>
    <row r="989" ht="14.25" customHeight="1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</row>
    <row r="990" ht="14.25" customHeight="1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  <c r="K990" s="208"/>
    </row>
    <row r="991" ht="14.25" customHeight="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  <c r="K991" s="208"/>
    </row>
    <row r="992" ht="14.25" customHeight="1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  <c r="K992" s="208"/>
    </row>
    <row r="993" ht="14.25" customHeight="1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  <c r="K993" s="208"/>
    </row>
    <row r="994" ht="14.25" customHeight="1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  <c r="K994" s="208"/>
    </row>
    <row r="995" ht="14.25" customHeight="1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  <c r="K995" s="208"/>
    </row>
    <row r="996" ht="14.25" customHeight="1">
      <c r="A996" s="208"/>
      <c r="B996" s="208"/>
      <c r="C996" s="208"/>
      <c r="D996" s="208"/>
      <c r="E996" s="208"/>
      <c r="F996" s="208"/>
      <c r="G996" s="208"/>
      <c r="H996" s="208"/>
      <c r="I996" s="208"/>
      <c r="J996" s="208"/>
      <c r="K996" s="208"/>
    </row>
    <row r="997" ht="14.25" customHeight="1">
      <c r="A997" s="208"/>
      <c r="B997" s="208"/>
      <c r="C997" s="208"/>
      <c r="D997" s="208"/>
      <c r="E997" s="208"/>
      <c r="F997" s="208"/>
      <c r="G997" s="208"/>
      <c r="H997" s="208"/>
      <c r="I997" s="208"/>
      <c r="J997" s="208"/>
      <c r="K997" s="208"/>
    </row>
    <row r="998" ht="14.25" customHeight="1">
      <c r="A998" s="208"/>
      <c r="B998" s="208"/>
      <c r="C998" s="208"/>
      <c r="D998" s="208"/>
      <c r="E998" s="208"/>
      <c r="F998" s="208"/>
      <c r="G998" s="208"/>
      <c r="H998" s="208"/>
      <c r="I998" s="208"/>
      <c r="J998" s="208"/>
      <c r="K998" s="208"/>
    </row>
    <row r="999" ht="14.25" customHeight="1">
      <c r="A999" s="208"/>
      <c r="B999" s="208"/>
      <c r="C999" s="208"/>
      <c r="D999" s="208"/>
      <c r="E999" s="208"/>
      <c r="F999" s="208"/>
      <c r="G999" s="208"/>
      <c r="H999" s="208"/>
      <c r="I999" s="208"/>
      <c r="J999" s="208"/>
      <c r="K999" s="208"/>
    </row>
    <row r="1000" ht="14.25" customHeight="1">
      <c r="A1000" s="208"/>
      <c r="B1000" s="208"/>
      <c r="C1000" s="208"/>
      <c r="D1000" s="208"/>
      <c r="E1000" s="208"/>
      <c r="F1000" s="208"/>
      <c r="G1000" s="208"/>
      <c r="H1000" s="208"/>
      <c r="I1000" s="208"/>
      <c r="J1000" s="208"/>
      <c r="K1000" s="208"/>
    </row>
    <row r="1001" ht="14.25" customHeight="1">
      <c r="A1001" s="208"/>
      <c r="B1001" s="208"/>
      <c r="C1001" s="208"/>
      <c r="D1001" s="208"/>
      <c r="E1001" s="208"/>
      <c r="F1001" s="208"/>
      <c r="G1001" s="208"/>
      <c r="H1001" s="208"/>
      <c r="I1001" s="208"/>
      <c r="J1001" s="208"/>
      <c r="K1001" s="208"/>
    </row>
    <row r="1002" ht="14.25" customHeight="1">
      <c r="A1002" s="208"/>
      <c r="B1002" s="208"/>
      <c r="C1002" s="208"/>
      <c r="D1002" s="208"/>
      <c r="E1002" s="208"/>
      <c r="F1002" s="208"/>
      <c r="G1002" s="208"/>
      <c r="H1002" s="208"/>
      <c r="I1002" s="208"/>
      <c r="J1002" s="208"/>
      <c r="K1002" s="208"/>
    </row>
    <row r="1003" ht="14.25" customHeight="1">
      <c r="A1003" s="208"/>
      <c r="B1003" s="208"/>
      <c r="C1003" s="208"/>
      <c r="D1003" s="208"/>
      <c r="E1003" s="208"/>
      <c r="F1003" s="208"/>
      <c r="G1003" s="208"/>
      <c r="H1003" s="208"/>
      <c r="I1003" s="208"/>
      <c r="J1003" s="208"/>
      <c r="K1003" s="208"/>
    </row>
    <row r="1004" ht="14.25" customHeight="1">
      <c r="A1004" s="208"/>
      <c r="B1004" s="208"/>
      <c r="C1004" s="208"/>
      <c r="D1004" s="208"/>
      <c r="E1004" s="208"/>
      <c r="F1004" s="208"/>
      <c r="G1004" s="208"/>
      <c r="H1004" s="208"/>
      <c r="I1004" s="208"/>
      <c r="J1004" s="208"/>
      <c r="K1004" s="208"/>
    </row>
    <row r="1005" ht="14.25" customHeight="1">
      <c r="A1005" s="208"/>
      <c r="B1005" s="208"/>
      <c r="C1005" s="208"/>
      <c r="D1005" s="208"/>
      <c r="E1005" s="208"/>
      <c r="F1005" s="208"/>
      <c r="G1005" s="208"/>
      <c r="H1005" s="208"/>
      <c r="I1005" s="208"/>
      <c r="J1005" s="208"/>
      <c r="K1005" s="208"/>
    </row>
    <row r="1006" ht="14.25" customHeight="1">
      <c r="A1006" s="208"/>
      <c r="B1006" s="208"/>
      <c r="C1006" s="208"/>
      <c r="D1006" s="208"/>
      <c r="E1006" s="208"/>
      <c r="F1006" s="208"/>
      <c r="G1006" s="208"/>
      <c r="H1006" s="208"/>
      <c r="I1006" s="208"/>
      <c r="J1006" s="208"/>
      <c r="K1006" s="208"/>
    </row>
    <row r="1007" ht="14.25" customHeight="1">
      <c r="A1007" s="208"/>
      <c r="B1007" s="208"/>
      <c r="C1007" s="208"/>
      <c r="D1007" s="208"/>
      <c r="E1007" s="208"/>
      <c r="F1007" s="208"/>
      <c r="G1007" s="208"/>
      <c r="H1007" s="208"/>
      <c r="I1007" s="208"/>
      <c r="J1007" s="208"/>
      <c r="K1007" s="208"/>
    </row>
    <row r="1008" ht="14.25" customHeight="1">
      <c r="A1008" s="208"/>
      <c r="B1008" s="208"/>
      <c r="C1008" s="208"/>
      <c r="D1008" s="208"/>
      <c r="E1008" s="208"/>
      <c r="F1008" s="208"/>
      <c r="G1008" s="208"/>
      <c r="H1008" s="208"/>
      <c r="I1008" s="208"/>
      <c r="J1008" s="208"/>
      <c r="K1008" s="208"/>
    </row>
    <row r="1009" ht="14.25" customHeight="1">
      <c r="A1009" s="208"/>
      <c r="B1009" s="208"/>
      <c r="C1009" s="208"/>
      <c r="D1009" s="208"/>
      <c r="E1009" s="208"/>
      <c r="F1009" s="208"/>
      <c r="G1009" s="208"/>
      <c r="H1009" s="208"/>
      <c r="I1009" s="208"/>
      <c r="J1009" s="208"/>
      <c r="K1009" s="208"/>
    </row>
    <row r="1010" ht="14.25" customHeight="1">
      <c r="A1010" s="208"/>
      <c r="B1010" s="208"/>
      <c r="C1010" s="208"/>
      <c r="D1010" s="208"/>
      <c r="E1010" s="208"/>
      <c r="F1010" s="208"/>
      <c r="G1010" s="208"/>
      <c r="H1010" s="208"/>
      <c r="I1010" s="208"/>
      <c r="J1010" s="208"/>
      <c r="K1010" s="208"/>
    </row>
    <row r="1011" ht="14.25" customHeight="1">
      <c r="A1011" s="208"/>
      <c r="B1011" s="208"/>
      <c r="C1011" s="208"/>
      <c r="D1011" s="208"/>
      <c r="E1011" s="208"/>
      <c r="F1011" s="208"/>
      <c r="G1011" s="208"/>
      <c r="H1011" s="208"/>
      <c r="I1011" s="208"/>
      <c r="J1011" s="208"/>
      <c r="K1011" s="208"/>
    </row>
    <row r="1012" ht="14.25" customHeight="1">
      <c r="A1012" s="208"/>
      <c r="B1012" s="208"/>
      <c r="C1012" s="208"/>
      <c r="D1012" s="208"/>
      <c r="E1012" s="208"/>
      <c r="F1012" s="208"/>
      <c r="G1012" s="208"/>
      <c r="H1012" s="208"/>
      <c r="I1012" s="208"/>
      <c r="J1012" s="208"/>
      <c r="K1012" s="208"/>
    </row>
    <row r="1013" ht="14.25" customHeight="1">
      <c r="A1013" s="208"/>
      <c r="B1013" s="208"/>
      <c r="C1013" s="208"/>
      <c r="D1013" s="208"/>
      <c r="E1013" s="208"/>
      <c r="F1013" s="208"/>
      <c r="G1013" s="208"/>
      <c r="H1013" s="208"/>
      <c r="I1013" s="208"/>
      <c r="J1013" s="208"/>
      <c r="K1013" s="208"/>
    </row>
  </sheetData>
  <mergeCells count="30">
    <mergeCell ref="A1:H1"/>
    <mergeCell ref="A9:M9"/>
    <mergeCell ref="A17:M17"/>
    <mergeCell ref="A41:M41"/>
    <mergeCell ref="A53:M53"/>
    <mergeCell ref="B54:M54"/>
    <mergeCell ref="B55:M55"/>
    <mergeCell ref="B56:M56"/>
    <mergeCell ref="B57:M57"/>
    <mergeCell ref="B58:M58"/>
    <mergeCell ref="B59:M59"/>
    <mergeCell ref="B60:M60"/>
    <mergeCell ref="B61:M61"/>
    <mergeCell ref="B62:M62"/>
    <mergeCell ref="B63:M63"/>
    <mergeCell ref="B64:M64"/>
    <mergeCell ref="B65:M65"/>
    <mergeCell ref="B66:M66"/>
    <mergeCell ref="B67:M67"/>
    <mergeCell ref="B68:M68"/>
    <mergeCell ref="B69:M69"/>
    <mergeCell ref="B77:M77"/>
    <mergeCell ref="B78:M78"/>
    <mergeCell ref="B70:M70"/>
    <mergeCell ref="B71:M71"/>
    <mergeCell ref="B72:M72"/>
    <mergeCell ref="B73:M73"/>
    <mergeCell ref="B74:M74"/>
    <mergeCell ref="B75:M75"/>
    <mergeCell ref="B76:M76"/>
  </mergeCells>
  <dataValidations>
    <dataValidation type="list" allowBlank="1" sqref="A19:A38 B43:B50">
      <formula1>"📌 ЗАДАЧА,📦 ПРОЕКТ,🔬 ГИПОТЕЗА,💡 ИДЕЯ"</formula1>
    </dataValidation>
    <dataValidation type="list" allowBlank="1" sqref="F11:F15">
      <formula1>"On track,Опаздываем,Выполнено,Не начато,Требует внимания"</formula1>
    </dataValidation>
    <dataValidation type="list" allowBlank="1" sqref="E43:E50">
      <formula1>"High,Medium,Low"</formula1>
    </dataValidation>
    <dataValidation type="list" allowBlank="1" sqref="F19:J19 F20:I23 F24:J27 F28:I29 F30:J31 F32:I38">
      <formula1>"⏸️ Не начато,🔄 В работе,✅ Выполнено,⏸️ На паузе,❌ Отменено,⚠️ Требует решения"</formula1>
    </dataValidation>
    <dataValidation type="list" allowBlank="1" sqref="B19:B38 D43:D50">
      <formula1>"Проведены ключевые флагманские,Размещены статьи публикации СМИ,Развит PR личный бренд,Подготовлен запланирован проект,Выстроено партнёрство 3 фондами"</formula1>
    </dataValidation>
  </dataValidations>
  <printOptions/>
  <pageMargins bottom="1.0" footer="0.0" header="0.0" left="0.75" right="0.75" top="1.0"/>
  <pageSetup orientation="landscape"/>
  <drawing r:id="rId1"/>
</worksheet>
</file>